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nit Economics" sheetId="2" state="visible" r:id="rId4"/>
    <sheet name="Monthly_Base" sheetId="3" state="visible" r:id="rId5"/>
    <sheet name="Monthly_Downside" sheetId="4" state="visible" r:id="rId6"/>
    <sheet name="Monthly_Upside" sheetId="5" state="visible" r:id="rId7"/>
    <sheet name="Monthly_DownResponse" sheetId="6" state="visible" r:id="rId8"/>
    <sheet name="Scenarios" sheetId="7" state="visible" r:id="rId9"/>
    <sheet name="Sensitivity" sheetId="8" state="visible" r:id="rId10"/>
    <sheet name="Investor Test" sheetId="9" state="visible" r:id="rId11"/>
    <sheet name="Funnel" sheetId="10" state="visible" r:id="rId12"/>
    <sheet name="Repeat check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<sst xmlns="http://schemas.openxmlformats.org/spreadsheetml/2006/main" count="815" uniqueCount="347">
  <si>
    <t xml:space="preserve">OpenBench — Assumptions Register (Team Inferno, Tech Zephyr Finale)</t>
  </si>
  <si>
    <t xml:space="preserve">Legend: blue = input you can change · black = formula · green = link to another sheet · yellow = key assumption. Change any blue cell; every sheet recalculates.</t>
  </si>
  <si>
    <t xml:space="preserve">ID</t>
  </si>
  <si>
    <t xml:space="preserve">Parameter</t>
  </si>
  <si>
    <t xml:space="preserve">Base</t>
  </si>
  <si>
    <t xml:space="preserve">Downside</t>
  </si>
  <si>
    <t xml:space="preserve">Upside</t>
  </si>
  <si>
    <t xml:space="preserve">Downside + response</t>
  </si>
  <si>
    <t xml:space="preserve">Unit</t>
  </si>
  <si>
    <t xml:space="preserve">Source / rationale</t>
  </si>
  <si>
    <t xml:space="preserve">A1</t>
  </si>
  <si>
    <t xml:space="preserve">Capture of Exhibit 2 mature volume</t>
  </si>
  <si>
    <t xml:space="preserve">%</t>
  </si>
  <si>
    <t xml:space="preserve">Pilot runs at 17.5 vs 20 baseline bookings/host = 87.5% (Ex.1, Ex.3). Base 85%; downside 65%.</t>
  </si>
  <si>
    <t xml:space="preserve">A2</t>
  </si>
  <si>
    <t xml:space="preserve">Ramp: share of mature volume, live month 1</t>
  </si>
  <si>
    <t xml:space="preserve">Team assumption: new host needs ~3 months to fill committed slots</t>
  </si>
  <si>
    <t xml:space="preserve">A3</t>
  </si>
  <si>
    <t xml:space="preserve">Ramp: live month 2</t>
  </si>
  <si>
    <t xml:space="preserve">Team assumption</t>
  </si>
  <si>
    <t xml:space="preserve">A4</t>
  </si>
  <si>
    <t xml:space="preserve">Ramp: live month 3</t>
  </si>
  <si>
    <t xml:space="preserve">A5</t>
  </si>
  <si>
    <t xml:space="preserve">Ramp: live month 4+</t>
  </si>
  <si>
    <t xml:space="preserve">A6</t>
  </si>
  <si>
    <t xml:space="preserve">Pilot host bookings/month today</t>
  </si>
  <si>
    <t xml:space="preserve">#</t>
  </si>
  <si>
    <t xml:space="preserve">Ex.1: 70 bookings / 4 hosts</t>
  </si>
  <si>
    <t xml:space="preserve">A7</t>
  </si>
  <si>
    <t xml:space="preserve">Pilot host bookings/month after Assured conversion</t>
  </si>
  <si>
    <t xml:space="preserve">Ex.3 comparison baseline (20/host)</t>
  </si>
  <si>
    <t xml:space="preserve">A8</t>
  </si>
  <si>
    <t xml:space="preserve">Months for pilot hosts to reach target</t>
  </si>
  <si>
    <t xml:space="preserve">months</t>
  </si>
  <si>
    <t xml:space="preserve">A9</t>
  </si>
  <si>
    <t xml:space="preserve">Average booking value multiplier</t>
  </si>
  <si>
    <t xml:space="preserve">x</t>
  </si>
  <si>
    <t xml:space="preserve">Downside: 10% price pressure</t>
  </si>
  <si>
    <t xml:space="preserve">A10</t>
  </si>
  <si>
    <t xml:space="preserve">Bookings lost to cancellation (beyond tier on-time)</t>
  </si>
  <si>
    <t xml:space="preserve">Downside stress</t>
  </si>
  <si>
    <t xml:space="preserve">A11</t>
  </si>
  <si>
    <t xml:space="preserve">Onboarding delay for new hosts</t>
  </si>
  <si>
    <t xml:space="preserve">Downside: institutional approvals slip 2 months (Stanford/Science Exchange precedent [S6])</t>
  </si>
  <si>
    <t xml:space="preserve">A12</t>
  </si>
  <si>
    <t xml:space="preserve">Fixed cost multiplier</t>
  </si>
  <si>
    <t xml:space="preserve">Downside: 15% overrun</t>
  </si>
  <si>
    <t xml:space="preserve">A13</t>
  </si>
  <si>
    <t xml:space="preserve">Current fixed operating cost / month</t>
  </si>
  <si>
    <t xml:space="preserve">₹</t>
  </si>
  <si>
    <t xml:space="preserve">Ex.1</t>
  </si>
  <si>
    <t xml:space="preserve">A14</t>
  </si>
  <si>
    <t xml:space="preserve">Central trust &amp; quality lead (from month below)</t>
  </si>
  <si>
    <t xml:space="preserve">₹/month</t>
  </si>
  <si>
    <t xml:space="preserve">Team assumption: 1 hire runs SLA, custody, disputes</t>
  </si>
  <si>
    <t xml:space="preserve">A15</t>
  </si>
  <si>
    <t xml:space="preserve">Month central hire starts</t>
  </si>
  <si>
    <t xml:space="preserve">month</t>
  </si>
  <si>
    <t xml:space="preserve">A16</t>
  </si>
  <si>
    <t xml:space="preserve">Fixed cost per new city (city partner manager + local ops)</t>
  </si>
  <si>
    <t xml:space="preserve">Team assumption; added the month before first host goes live</t>
  </si>
  <si>
    <t xml:space="preserve">A17</t>
  </si>
  <si>
    <t xml:space="preserve">City 2 (Cluster A) cost starts</t>
  </si>
  <si>
    <t xml:space="preserve">Plan</t>
  </si>
  <si>
    <t xml:space="preserve">A18</t>
  </si>
  <si>
    <t xml:space="preserve">City 3 (Cluster C) cost starts</t>
  </si>
  <si>
    <t xml:space="preserve">A19</t>
  </si>
  <si>
    <t xml:space="preserve">City 4 (Cluster B) cost starts</t>
  </si>
  <si>
    <t xml:space="preserve">A20</t>
  </si>
  <si>
    <t xml:space="preserve">Assured variable cost after learning</t>
  </si>
  <si>
    <t xml:space="preserve">₹/booking</t>
  </si>
  <si>
    <t xml:space="preserve">Team assumption: batching, custody kits, scheduling tool cut ₹1,350 by 11%</t>
  </si>
  <si>
    <t xml:space="preserve">A21</t>
  </si>
  <si>
    <t xml:space="preserve">Month learning applies from</t>
  </si>
  <si>
    <t xml:space="preserve">A22</t>
  </si>
  <si>
    <t xml:space="preserve">Priority SLA: share of Assured bookings</t>
  </si>
  <si>
    <t xml:space="preserve">Team assumption; 31% of customers cite turnaround (Ex.1)</t>
  </si>
  <si>
    <t xml:space="preserve">A23</t>
  </si>
  <si>
    <t xml:space="preserve">Priority SLA: price uplift</t>
  </si>
  <si>
    <t xml:space="preserve">Evidence: Auriga Research (NABL lab, India) charges a 50% surcharge for express testing [S9]</t>
  </si>
  <si>
    <t xml:space="preserve">A24</t>
  </si>
  <si>
    <t xml:space="preserve">Priority SLA: share of uplift OpenBench keeps</t>
  </si>
  <si>
    <t xml:space="preserve">Other 50% paid to lab/technician pool (host incentive)</t>
  </si>
  <si>
    <t xml:space="preserve">A25</t>
  </si>
  <si>
    <t xml:space="preserve">Months to roll out trust layer (on-time reaches tier level)</t>
  </si>
  <si>
    <t xml:space="preserve">A26</t>
  </si>
  <si>
    <t xml:space="preserve">Starting on-time rate</t>
  </si>
  <si>
    <t xml:space="preserve">A27</t>
  </si>
  <si>
    <t xml:space="preserve">Repeat-rate elasticity to on-time (1-quarter lag)</t>
  </si>
  <si>
    <t xml:space="preserve">Team assumption: +1pt on-time → +1pt 90-day repeat</t>
  </si>
  <si>
    <t xml:space="preserve">A28</t>
  </si>
  <si>
    <t xml:space="preserve">Starting 90-day repeat rate</t>
  </si>
  <si>
    <t xml:space="preserve">A29</t>
  </si>
  <si>
    <t xml:space="preserve">Investor capital</t>
  </si>
  <si>
    <t xml:space="preserve">Case: ₹1.20 Cr</t>
  </si>
  <si>
    <t xml:space="preserve">A30</t>
  </si>
  <si>
    <t xml:space="preserve">Pilot conversion cost (share of Assured onboarding)</t>
  </si>
  <si>
    <t xml:space="preserve">Team assumption: pilot hosts already onboarded</t>
  </si>
  <si>
    <t xml:space="preserve">A31</t>
  </si>
  <si>
    <t xml:space="preserve">Customer-acquisition cost per paid-acquired customer organisation</t>
  </si>
  <si>
    <t xml:space="preserve">Team assumption: association events/webinars (~₹30k each, ~20 orgs). Benchmark: Indian B2B SaaS partnership CAC is ₹50k–1.5L for ₹4–8L deals [S10], so we avoid paid/outbound channels</t>
  </si>
  <si>
    <t xml:space="preserve">A32</t>
  </si>
  <si>
    <t xml:space="preserve">New customer organisations per booking at pilot repeat</t>
  </si>
  <si>
    <t xml:space="preserve">Exhibit 1: 170 organisations / 420 bookings</t>
  </si>
  <si>
    <t xml:space="preserve">A33</t>
  </si>
  <si>
    <t xml:space="preserve">Share of new customers won through free channels</t>
  </si>
  <si>
    <t xml:space="preserve">Team assumption (disclosed lever): incubator MoUs (72 AICs [S11]), SATHI centres [S12], I-STEM leads, referrals. Pilot won all 170 orgs with no separate marketing budget</t>
  </si>
  <si>
    <t xml:space="preserve">A34</t>
  </si>
  <si>
    <t xml:space="preserve">Onboarding funnel: contact → meeting</t>
  </si>
  <si>
    <t xml:space="preserve">A35</t>
  </si>
  <si>
    <t xml:space="preserve">Skip Cluster B Verified labs (1 = yes)</t>
  </si>
  <si>
    <t xml:space="preserve">flag</t>
  </si>
  <si>
    <t xml:space="preserve">Slide 11 response to "demand below plan" trigger at M9</t>
  </si>
  <si>
    <t xml:space="preserve">A36</t>
  </si>
  <si>
    <t xml:space="preserve">City-4 (Cluster B) cost removed from month</t>
  </si>
  <si>
    <t xml:space="preserve">Slide 11 response: cut City-4 cost at M9 (99 = never)</t>
  </si>
  <si>
    <t xml:space="preserve">Operating tiers (Exhibit 3)</t>
  </si>
  <si>
    <t xml:space="preserve">Tier</t>
  </si>
  <si>
    <t xml:space="preserve">Take rate</t>
  </si>
  <si>
    <t xml:space="preserve">Lab subscription ₹/month</t>
  </si>
  <si>
    <t xml:space="preserve">Variable cost ₹/booking</t>
  </si>
  <si>
    <t xml:space="preserve">Onboarding ₹/host</t>
  </si>
  <si>
    <t xml:space="preserve">On-time target</t>
  </si>
  <si>
    <t xml:space="preserve">Exhibit 3 model</t>
  </si>
  <si>
    <t xml:space="preserve">Assured</t>
  </si>
  <si>
    <t xml:space="preserve">B. Managed fulfilment</t>
  </si>
  <si>
    <t xml:space="preserve">Connect</t>
  </si>
  <si>
    <t xml:space="preserve">C. Lab SaaS + booking fee</t>
  </si>
  <si>
    <t xml:space="preserve">Verified</t>
  </si>
  <si>
    <t xml:space="preserve">A. Marketplace</t>
  </si>
  <si>
    <t xml:space="preserve">Clusters (Exhibit 1 &amp; 2)</t>
  </si>
  <si>
    <t xml:space="preserve">Cluster</t>
  </si>
  <si>
    <t xml:space="preserve">Potential hosts</t>
  </si>
  <si>
    <t xml:space="preserve">Avg booking value ₹</t>
  </si>
  <si>
    <t xml:space="preserve">Mature bookings/host/month</t>
  </si>
  <si>
    <t xml:space="preserve">Key issue</t>
  </si>
  <si>
    <t xml:space="preserve">Pilot</t>
  </si>
  <si>
    <t xml:space="preserve">Reliability; repeat</t>
  </si>
  <si>
    <t xml:space="preserve">A</t>
  </si>
  <si>
    <t xml:space="preserve">IP protection; custom protocols</t>
  </si>
  <si>
    <t xml:space="preserve">B</t>
  </si>
  <si>
    <t xml:space="preserve">Price sensitivity; predictable turnaround</t>
  </si>
  <si>
    <t xml:space="preserve">C</t>
  </si>
  <si>
    <t xml:space="preserve">Seasonal demand; small batches</t>
  </si>
  <si>
    <t xml:space="preserve">Host onboarding plan (planned go-live month, before any delay)</t>
  </si>
  <si>
    <t xml:space="preserve">Host #</t>
  </si>
  <si>
    <t xml:space="preserve">Mature bookings/month</t>
  </si>
  <si>
    <t xml:space="preserve">Planned go-live month</t>
  </si>
  <si>
    <t xml:space="preserve">Pilot host?</t>
  </si>
  <si>
    <t xml:space="preserve">Unit economics by operating model (Exhibit 3) and cluster (Exhibit 2)</t>
  </si>
  <si>
    <t xml:space="preserve">Baseline booking value ₹</t>
  </si>
  <si>
    <t xml:space="preserve">Ex.3 comparison baseline</t>
  </si>
  <si>
    <t xml:space="preserve">Baseline bookings/host/month</t>
  </si>
  <si>
    <t xml:space="preserve">Model (tier)</t>
  </si>
  <si>
    <t xml:space="preserve">Revenue/booking ₹</t>
  </si>
  <si>
    <t xml:space="preserve">Variable cost ₹</t>
  </si>
  <si>
    <t xml:space="preserve">Contribution/booking ₹</t>
  </si>
  <si>
    <t xml:space="preserve">Subscription ₹/host/month</t>
  </si>
  <si>
    <t xml:space="preserve">Contribution/host/month ₹</t>
  </si>
  <si>
    <t xml:space="preserve">Payback (months)</t>
  </si>
  <si>
    <t xml:space="preserve">B. Managed fulfilment (Assured)</t>
  </si>
  <si>
    <t xml:space="preserve">C. Lab SaaS + booking fee (Connect)</t>
  </si>
  <si>
    <t xml:space="preserve">A. Marketplace (Verified)</t>
  </si>
  <si>
    <t xml:space="preserve">Pilot today (Marketplace, 18%)</t>
  </si>
  <si>
    <t xml:space="preserve">Revenue per booking ₹</t>
  </si>
  <si>
    <t xml:space="preserve">Contribution per booking ₹</t>
  </si>
  <si>
    <t xml:space="preserve">Bookings per month</t>
  </si>
  <si>
    <t xml:space="preserve">Ex.1: 420 bookings / 6 months</t>
  </si>
  <si>
    <t xml:space="preserve">Monthly contribution ₹</t>
  </si>
  <si>
    <t xml:space="preserve">Fixed cost ₹</t>
  </si>
  <si>
    <t xml:space="preserve">Monthly operating loss ₹</t>
  </si>
  <si>
    <t xml:space="preserve">Break-even bookings/month at today's fixed cost</t>
  </si>
  <si>
    <t xml:space="preserve">Multiple of today's volume</t>
  </si>
  <si>
    <t xml:space="preserve">Cluster × tier (contribution per host per month at mature Exhibit 2 volume, ₹)</t>
  </si>
  <si>
    <t xml:space="preserve">Booking value</t>
  </si>
  <si>
    <t xml:space="preserve">Bookings/host</t>
  </si>
  <si>
    <t xml:space="preserve">Verified (18%)</t>
  </si>
  <si>
    <t xml:space="preserve">Assured (28%)</t>
  </si>
  <si>
    <t xml:space="preserve">Connect (₹12k + 8%)</t>
  </si>
  <si>
    <t xml:space="preserve">Best tier</t>
  </si>
  <si>
    <t xml:space="preserve">Cluster A</t>
  </si>
  <si>
    <t xml:space="preserve">Cluster B</t>
  </si>
  <si>
    <t xml:space="preserve">Cluster C</t>
  </si>
  <si>
    <t xml:space="preserve">Reading: Assured wins where booking value and IP sensitivity are high (A, C). In price-sensitive B, Connect charges customers 8% instead of 28% and still earns a subscription floor.</t>
  </si>
  <si>
    <t xml:space="preserve">Cluster B break-even point: Connect beats Verified below this many bookings/host/month</t>
  </si>
  <si>
    <t xml:space="preserve">of Exhibit 2 volume → Connect is the safer default for B; labs that refuse a subscription (6 of 10, Ex.3) go on Verified</t>
  </si>
  <si>
    <t xml:space="preserve">Why labs join: pilot lab revenue per host per month</t>
  </si>
  <si>
    <t xml:space="preserve">Today: marketplace, 17.5 bookings × ₹8,500 × (1 − 18%)</t>
  </si>
  <si>
    <t xml:space="preserve">Assured: 20 bookings × ₹8,500 × (1 − 28% + Priority share to lab)</t>
  </si>
  <si>
    <t xml:space="preserve">Change for the lab (and OpenBench now does the admin)</t>
  </si>
  <si>
    <t xml:space="preserve">Monthly engine — Base scenario (M1–M18)</t>
  </si>
  <si>
    <t xml:space="preserve">All values flow from the Assumptions tab. Green = linked input.</t>
  </si>
  <si>
    <t xml:space="preserve">Value</t>
  </si>
  <si>
    <t xml:space="preserve">Month →</t>
  </si>
  <si>
    <t xml:space="preserve">Bookings per host</t>
  </si>
  <si>
    <t xml:space="preserve">Booking value ₹</t>
  </si>
  <si>
    <t xml:space="preserve">Mature/month</t>
  </si>
  <si>
    <t xml:space="preserve">Pilot?</t>
  </si>
  <si>
    <t xml:space="preserve">Live from month</t>
  </si>
  <si>
    <t xml:space="preserve">OpenBench revenue per host (₹)</t>
  </si>
  <si>
    <t xml:space="preserve">Variable cost per host (₹)</t>
  </si>
  <si>
    <t xml:space="preserve">Onboarding spend per host (₹)</t>
  </si>
  <si>
    <t xml:space="preserve">On-time-weighted bookings per host</t>
  </si>
  <si>
    <t xml:space="preserve">Monthly summary</t>
  </si>
  <si>
    <t xml:space="preserve">Active hosts</t>
  </si>
  <si>
    <t xml:space="preserve">Bookings</t>
  </si>
  <si>
    <t xml:space="preserve">Cumulative bookings</t>
  </si>
  <si>
    <t xml:space="preserve">GMV (₹)</t>
  </si>
  <si>
    <t xml:space="preserve">OpenBench revenue (₹)</t>
  </si>
  <si>
    <t xml:space="preserve">Effective take rate</t>
  </si>
  <si>
    <t xml:space="preserve">Variable cost (₹)</t>
  </si>
  <si>
    <t xml:space="preserve">Contribution (₹)</t>
  </si>
  <si>
    <t xml:space="preserve">Contribution per booking (₹)</t>
  </si>
  <si>
    <t xml:space="preserve">Fixed cost (₹)</t>
  </si>
  <si>
    <t xml:space="preserve">New customer organisations</t>
  </si>
  <si>
    <t xml:space="preserve">Customer acquisition cost (₹)</t>
  </si>
  <si>
    <t xml:space="preserve">EBITDA (₹)</t>
  </si>
  <si>
    <t xml:space="preserve">Onboarding spend (₹)</t>
  </si>
  <si>
    <t xml:space="preserve">Net cash flow (₹)</t>
  </si>
  <si>
    <t xml:space="preserve">Cash balance (₹)</t>
  </si>
  <si>
    <t xml:space="preserve">On-time fulfilment</t>
  </si>
  <si>
    <t xml:space="preserve">90-day repeat rate</t>
  </si>
  <si>
    <t xml:space="preserve">Break-even flag (month if EBITDA ≥ 0)</t>
  </si>
  <si>
    <t xml:space="preserve">Key outputs</t>
  </si>
  <si>
    <t xml:space="preserve">Break-even month</t>
  </si>
  <si>
    <t xml:space="preserve">Hosts live at M12</t>
  </si>
  <si>
    <t xml:space="preserve">Paid bookings M1–M12</t>
  </si>
  <si>
    <t xml:space="preserve">On-time at M12</t>
  </si>
  <si>
    <t xml:space="preserve">90-day repeat at M12</t>
  </si>
  <si>
    <t xml:space="preserve">EBITDA at M12</t>
  </si>
  <si>
    <t xml:space="preserve">EBITDA at M18</t>
  </si>
  <si>
    <t xml:space="preserve">Bookings in M18</t>
  </si>
  <si>
    <t xml:space="preserve">Cumulative bookings M18</t>
  </si>
  <si>
    <t xml:space="preserve">Contribution per booking M18</t>
  </si>
  <si>
    <t xml:space="preserve">Total customer-acquisition spend M1–M18</t>
  </si>
  <si>
    <t xml:space="preserve">CAC spend at M12</t>
  </si>
  <si>
    <t xml:space="preserve">New customer orgs at M12</t>
  </si>
  <si>
    <t xml:space="preserve">Cash used M1–M18</t>
  </si>
  <si>
    <t xml:space="preserve">Lowest cash balance</t>
  </si>
  <si>
    <t xml:space="preserve">Total onboarding spend</t>
  </si>
  <si>
    <t xml:space="preserve">Worst monthly EBITDA</t>
  </si>
  <si>
    <t xml:space="preserve">Cash used M1–M7</t>
  </si>
  <si>
    <t xml:space="preserve">Hosts live at M3</t>
  </si>
  <si>
    <t xml:space="preserve">Bookings M1–M3</t>
  </si>
  <si>
    <t xml:space="preserve">On-time at M3</t>
  </si>
  <si>
    <t xml:space="preserve">Hosts live at M6</t>
  </si>
  <si>
    <t xml:space="preserve">Bookings M1–M6</t>
  </si>
  <si>
    <t xml:space="preserve">On-time at M6</t>
  </si>
  <si>
    <t xml:space="preserve">Repeat at M6</t>
  </si>
  <si>
    <t xml:space="preserve">Hosts live at M18</t>
  </si>
  <si>
    <t xml:space="preserve">On-time at M18</t>
  </si>
  <si>
    <t xml:space="preserve">Repeat at M18</t>
  </si>
  <si>
    <t xml:space="preserve">EBITDA at M6</t>
  </si>
  <si>
    <t xml:space="preserve">Monthly engine — Downside scenario (M1–M18)</t>
  </si>
  <si>
    <t xml:space="preserve">Monthly engine — Upside scenario (M1–M18)</t>
  </si>
  <si>
    <t xml:space="preserve">Monthly engine — Downside + response scenario (M1–M18)</t>
  </si>
  <si>
    <t xml:space="preserve">Scenario comparison (live from the three monthly engines)</t>
  </si>
  <si>
    <t xml:space="preserve">Output</t>
  </si>
  <si>
    <t xml:space="preserve">Scenario definitions</t>
  </si>
  <si>
    <t xml:space="preserve">Base: 85% capture, plan timing, Exhibit prices. Downside: 65% capture, 10% lower booking value, 5% extra cancellations, 2-month onboarding delay, 15% fixed-cost overrun. Upside: 100% capture. Downside + response: downside inputs plus the slide-11 responses fired at M9 (skip Cluster B Verified labs, remove City-4 cost). All scenarios include customer-acquisition cost (A31–A33).</t>
  </si>
  <si>
    <t xml:space="preserve">Monthly EBITDA (₹)</t>
  </si>
  <si>
    <t xml:space="preserve">Monthly bookings</t>
  </si>
  <si>
    <t xml:space="preserve">Base: on-time &amp; repeat</t>
  </si>
  <si>
    <t xml:space="preserve">Sensitivity of Month-18 EBITDA (base = live link)</t>
  </si>
  <si>
    <t xml:space="preserve">Each row re-runs the full 18-month engine with ONE assumption moved (Python run of the identical engine; values pasted, regenerate by editing Assumptions and reading Monthly_Base!EBITDA at M18).</t>
  </si>
  <si>
    <t xml:space="preserve">Base EBITDA at M18</t>
  </si>
  <si>
    <t xml:space="preserve">Assumption</t>
  </si>
  <si>
    <t xml:space="preserve">Low setting</t>
  </si>
  <si>
    <t xml:space="preserve">High setting</t>
  </si>
  <si>
    <t xml:space="preserve">EBITDA M18 at low ₹</t>
  </si>
  <si>
    <t xml:space="preserve">EBITDA M18 at high ₹</t>
  </si>
  <si>
    <t xml:space="preserve">Swing ₹</t>
  </si>
  <si>
    <t xml:space="preserve">Average booking value</t>
  </si>
  <si>
    <t xml:space="preserve">-10%</t>
  </si>
  <si>
    <t xml:space="preserve">+10%</t>
  </si>
  <si>
    <t xml:space="preserve">Priority SLA uptake</t>
  </si>
  <si>
    <t xml:space="preserve">0%</t>
  </si>
  <si>
    <t xml:space="preserve">30%</t>
  </si>
  <si>
    <t xml:space="preserve">Capture of Exhibit 2 volume</t>
  </si>
  <si>
    <t xml:space="preserve">70%</t>
  </si>
  <si>
    <t xml:space="preserve">100%</t>
  </si>
  <si>
    <t xml:space="preserve">Fixed cost</t>
  </si>
  <si>
    <t xml:space="preserve">+15%</t>
  </si>
  <si>
    <t xml:space="preserve">Assured variable cost from M10</t>
  </si>
  <si>
    <t xml:space="preserve">₹1,350</t>
  </si>
  <si>
    <t xml:space="preserve">₹1,100</t>
  </si>
  <si>
    <t xml:space="preserve">Customer-acquisition cost (paid share)</t>
  </si>
  <si>
    <t xml:space="preserve">₹3,000</t>
  </si>
  <si>
    <t xml:space="preserve">₹750</t>
  </si>
  <si>
    <t xml:space="preserve">Free-channel share of new customers</t>
  </si>
  <si>
    <t xml:space="preserve">60%</t>
  </si>
  <si>
    <t xml:space="preserve">90%</t>
  </si>
  <si>
    <t xml:space="preserve">Host onboarding delay</t>
  </si>
  <si>
    <t xml:space="preserve">+2 months</t>
  </si>
  <si>
    <t xml:space="preserve">On plan</t>
  </si>
  <si>
    <t xml:space="preserve">Both operating levers off (no Priority SLA, no cost learning)</t>
  </si>
  <si>
    <t xml:space="preserve">Off</t>
  </si>
  <si>
    <t xml:space="preserve">On</t>
  </si>
  <si>
    <t xml:space="preserve">Investor term sheet test: offered terms vs our model, and our counter-proposal</t>
  </si>
  <si>
    <t xml:space="preserve">Condition</t>
  </si>
  <si>
    <t xml:space="preserve">Investor asks</t>
  </si>
  <si>
    <t xml:space="preserve">Base model</t>
  </si>
  <si>
    <t xml:space="preserve">Downside model</t>
  </si>
  <si>
    <t xml:space="preserve">Base meets ask?</t>
  </si>
  <si>
    <t xml:space="preserve">Team Inferno proposal</t>
  </si>
  <si>
    <t xml:space="preserve">Host institutions by M12</t>
  </si>
  <si>
    <t xml:space="preserve">Accept: 13 hosts in 3 cities by M8; 17 by M12</t>
  </si>
  <si>
    <t xml:space="preserve">Revise to 2,200 (base clears it by ~5%)</t>
  </si>
  <si>
    <t xml:space="preserve">On-time fulfilment at M12</t>
  </si>
  <si>
    <t xml:space="preserve">Accept, plus host cancellations ≤5% covenant</t>
  </si>
  <si>
    <t xml:space="preserve">Revise to 55% blended; ≥60% for Assured customers</t>
  </si>
  <si>
    <t xml:space="preserve">Operating break-even month</t>
  </si>
  <si>
    <t xml:space="preserve">Accept (base: M15). Downside triggers cut cost at M9</t>
  </si>
  <si>
    <t xml:space="preserve">Capital ₹</t>
  </si>
  <si>
    <t xml:space="preserve">Tranche: ₹60L at signing + ₹60L at M7 gate (≥10 hosts, on-time ≥90%)</t>
  </si>
  <si>
    <t xml:space="preserve">What the investor gets in return</t>
  </si>
  <si>
    <t xml:space="preserve">• At most ₹60L at risk before reliability is proven (downside uses ₹37.6L by M7)</t>
  </si>
  <si>
    <t xml:space="preserve">• A stricter quality bar: host cancellation ≤5% and on-time ≥90% for 3 consecutive months</t>
  </si>
  <si>
    <t xml:space="preserve">• Board observer seat and a monthly KPI pack (on-time, cancellations, repeat, contribution/booking, cash)</t>
  </si>
  <si>
    <t xml:space="preserve">• Unused second tranche funds city 5 only after break-even is visible</t>
  </si>
  <si>
    <t xml:space="preserve">Lab onboarding funnel: how many labs to contact to get 16 new labs live</t>
  </si>
  <si>
    <t xml:space="preserve">Step</t>
  </si>
  <si>
    <t xml:space="preserve">Conversion to next step</t>
  </si>
  <si>
    <t xml:space="preserve">Labs needed</t>
  </si>
  <si>
    <t xml:space="preserve">Per month (13 onboarding months)</t>
  </si>
  <si>
    <t xml:space="preserve">Source</t>
  </si>
  <si>
    <t xml:space="preserve">Labs contacted</t>
  </si>
  <si>
    <t xml:space="preserve">Lead pools: I-STEM 3,812 institutions [S1]; 72 Atal Incubation Centres [S11]; 5 SATHI centres [S12]</t>
  </si>
  <si>
    <t xml:space="preserve">Meetings held</t>
  </si>
  <si>
    <t xml:space="preserve">Agreements signed</t>
  </si>
  <si>
    <t xml:space="preserve">Labs live</t>
  </si>
  <si>
    <t xml:space="preserve">Plan: 5 (A) + 4 (C) + 7 (B) new labs, M3–M14</t>
  </si>
  <si>
    <t xml:space="preserve">Overall conversion contact → live</t>
  </si>
  <si>
    <t xml:space="preserve">Slow-onboarding check (only 12 of 16 new labs go live; Python run of the same engine, values pasted)</t>
  </si>
  <si>
    <t xml:space="preserve">Plan (16 new labs)</t>
  </si>
  <si>
    <t xml:space="preserve">Slow (12 new labs)</t>
  </si>
  <si>
    <t xml:space="preserve">Not by M18</t>
  </si>
  <si>
    <t xml:space="preserve">EBITDA at M18 (₹)</t>
  </si>
  <si>
    <t xml:space="preserve">Lowest cash balance (₹)</t>
  </si>
  <si>
    <t xml:space="preserve">Bookings M1–M12</t>
  </si>
  <si>
    <t xml:space="preserve">Sensitivity of 90-day repeat to A27 (on-time → repeat link)</t>
  </si>
  <si>
    <t xml:space="preserve">The case gives one data point (78% on-time ↔ 42% repeat). A supply-chain study links on-time to retention at roughly 0.55–0.83 points per point [S13]. Values pasted from the identical engine.</t>
  </si>
  <si>
    <t xml:space="preserve">A27 multiplier</t>
  </si>
  <si>
    <t xml:space="preserve">Repeat at M12</t>
  </si>
  <si>
    <t xml:space="preserve">0.5×</t>
  </si>
  <si>
    <t xml:space="preserve">1.0×</t>
  </si>
  <si>
    <t xml:space="preserve">1.5×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</si>
</sst>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#,##0.0;\(#,##0.0\);\-"/>
    <numFmt numFmtId="167" formatCode="#,##0;\(#,##0\);\-"/>
    <numFmt numFmtId="168" formatCode="0.00\x"/>
    <numFmt numFmtId="169" formatCode="\₹#,##0;&quot;(₹&quot;#,##0\);\-"/>
    <numFmt numFmtId="170" formatCode="0.0"/>
    <numFmt numFmtId="171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6" t="s">
        <v>11</v>
      </c>
      <c r="C5" s="7" t="n">
        <v>0.85</v>
      </c>
      <c r="D5" s="8" t="n">
        <v>0.65</v>
      </c>
      <c r="E5" s="8" t="n">
        <v>1</v>
      </c>
      <c r="F5" s="9" t="n">
        <f aca="false">D5</f>
        <v>0.65</v>
      </c>
      <c r="G5" s="6" t="s">
        <v>12</v>
      </c>
      <c r="H5" s="10" t="s">
        <v>13</v>
      </c>
    </row>
    <row r="6" customFormat="false" ht="15" hidden="false" customHeight="false" outlineLevel="0" collapsed="false">
      <c r="A6" s="5" t="s">
        <v>14</v>
      </c>
      <c r="B6" s="6" t="s">
        <v>15</v>
      </c>
      <c r="C6" s="8" t="n">
        <v>0.3</v>
      </c>
      <c r="D6" s="9" t="n">
        <f aca="false">C6</f>
        <v>0.3</v>
      </c>
      <c r="E6" s="9" t="n">
        <f aca="false">C6</f>
        <v>0.3</v>
      </c>
      <c r="F6" s="9" t="n">
        <f aca="false">D6</f>
        <v>0.3</v>
      </c>
      <c r="G6" s="6" t="s">
        <v>12</v>
      </c>
      <c r="H6" s="10" t="s">
        <v>16</v>
      </c>
    </row>
    <row r="7" customFormat="false" ht="15" hidden="false" customHeight="false" outlineLevel="0" collapsed="false">
      <c r="A7" s="5" t="s">
        <v>17</v>
      </c>
      <c r="B7" s="6" t="s">
        <v>18</v>
      </c>
      <c r="C7" s="8" t="n">
        <v>0.6</v>
      </c>
      <c r="D7" s="9" t="n">
        <f aca="false">C7</f>
        <v>0.6</v>
      </c>
      <c r="E7" s="9" t="n">
        <f aca="false">C7</f>
        <v>0.6</v>
      </c>
      <c r="F7" s="9" t="n">
        <f aca="false">D7</f>
        <v>0.6</v>
      </c>
      <c r="G7" s="6" t="s">
        <v>12</v>
      </c>
      <c r="H7" s="10" t="s">
        <v>19</v>
      </c>
    </row>
    <row r="8" customFormat="false" ht="15" hidden="false" customHeight="false" outlineLevel="0" collapsed="false">
      <c r="A8" s="5" t="s">
        <v>20</v>
      </c>
      <c r="B8" s="6" t="s">
        <v>21</v>
      </c>
      <c r="C8" s="8" t="n">
        <v>0.85</v>
      </c>
      <c r="D8" s="9" t="n">
        <f aca="false">C8</f>
        <v>0.85</v>
      </c>
      <c r="E8" s="9" t="n">
        <f aca="false">C8</f>
        <v>0.85</v>
      </c>
      <c r="F8" s="9" t="n">
        <f aca="false">D8</f>
        <v>0.85</v>
      </c>
      <c r="G8" s="6" t="s">
        <v>12</v>
      </c>
      <c r="H8" s="10" t="s">
        <v>19</v>
      </c>
    </row>
    <row r="9" customFormat="false" ht="15" hidden="false" customHeight="false" outlineLevel="0" collapsed="false">
      <c r="A9" s="5" t="s">
        <v>22</v>
      </c>
      <c r="B9" s="6" t="s">
        <v>23</v>
      </c>
      <c r="C9" s="8" t="n">
        <v>1</v>
      </c>
      <c r="D9" s="9" t="n">
        <f aca="false">C9</f>
        <v>1</v>
      </c>
      <c r="E9" s="9" t="n">
        <f aca="false">C9</f>
        <v>1</v>
      </c>
      <c r="F9" s="9" t="n">
        <f aca="false">D9</f>
        <v>1</v>
      </c>
      <c r="G9" s="6" t="s">
        <v>12</v>
      </c>
      <c r="H9" s="10" t="s">
        <v>19</v>
      </c>
    </row>
    <row r="10" customFormat="false" ht="15" hidden="false" customHeight="false" outlineLevel="0" collapsed="false">
      <c r="A10" s="5" t="s">
        <v>24</v>
      </c>
      <c r="B10" s="6" t="s">
        <v>25</v>
      </c>
      <c r="C10" s="11" t="n">
        <v>17.5</v>
      </c>
      <c r="D10" s="12" t="n">
        <f aca="false">C10</f>
        <v>17.5</v>
      </c>
      <c r="E10" s="12" t="n">
        <f aca="false">C10</f>
        <v>17.5</v>
      </c>
      <c r="F10" s="12" t="n">
        <f aca="false">D10</f>
        <v>17.5</v>
      </c>
      <c r="G10" s="6" t="s">
        <v>26</v>
      </c>
      <c r="H10" s="10" t="s">
        <v>27</v>
      </c>
    </row>
    <row r="11" customFormat="false" ht="15" hidden="false" customHeight="false" outlineLevel="0" collapsed="false">
      <c r="A11" s="5" t="s">
        <v>28</v>
      </c>
      <c r="B11" s="6" t="s">
        <v>29</v>
      </c>
      <c r="C11" s="11" t="n">
        <v>20</v>
      </c>
      <c r="D11" s="12" t="n">
        <f aca="false">C11</f>
        <v>20</v>
      </c>
      <c r="E11" s="12" t="n">
        <f aca="false">C11</f>
        <v>20</v>
      </c>
      <c r="F11" s="12" t="n">
        <f aca="false">D11</f>
        <v>20</v>
      </c>
      <c r="G11" s="6" t="s">
        <v>26</v>
      </c>
      <c r="H11" s="10" t="s">
        <v>30</v>
      </c>
    </row>
    <row r="12" customFormat="false" ht="15" hidden="false" customHeight="false" outlineLevel="0" collapsed="false">
      <c r="A12" s="5" t="s">
        <v>31</v>
      </c>
      <c r="B12" s="6" t="s">
        <v>32</v>
      </c>
      <c r="C12" s="13" t="n">
        <v>3</v>
      </c>
      <c r="D12" s="14" t="n">
        <f aca="false">C12</f>
        <v>3</v>
      </c>
      <c r="E12" s="14" t="n">
        <f aca="false">C12</f>
        <v>3</v>
      </c>
      <c r="F12" s="14" t="n">
        <f aca="false">D12</f>
        <v>3</v>
      </c>
      <c r="G12" s="6" t="s">
        <v>33</v>
      </c>
      <c r="H12" s="10" t="s">
        <v>19</v>
      </c>
    </row>
    <row r="13" customFormat="false" ht="15" hidden="false" customHeight="false" outlineLevel="0" collapsed="false">
      <c r="A13" s="5" t="s">
        <v>34</v>
      </c>
      <c r="B13" s="6" t="s">
        <v>35</v>
      </c>
      <c r="C13" s="15" t="n">
        <v>1</v>
      </c>
      <c r="D13" s="15" t="n">
        <v>0.9</v>
      </c>
      <c r="E13" s="15" t="n">
        <v>1</v>
      </c>
      <c r="F13" s="16" t="n">
        <f aca="false">D13</f>
        <v>0.9</v>
      </c>
      <c r="G13" s="6" t="s">
        <v>36</v>
      </c>
      <c r="H13" s="10" t="s">
        <v>37</v>
      </c>
    </row>
    <row r="14" customFormat="false" ht="15" hidden="false" customHeight="false" outlineLevel="0" collapsed="false">
      <c r="A14" s="5" t="s">
        <v>38</v>
      </c>
      <c r="B14" s="6" t="s">
        <v>39</v>
      </c>
      <c r="C14" s="8" t="n">
        <v>0</v>
      </c>
      <c r="D14" s="8" t="n">
        <v>0.05</v>
      </c>
      <c r="E14" s="8" t="n">
        <v>0</v>
      </c>
      <c r="F14" s="9" t="n">
        <f aca="false">D14</f>
        <v>0.05</v>
      </c>
      <c r="G14" s="6" t="s">
        <v>12</v>
      </c>
      <c r="H14" s="10" t="s">
        <v>40</v>
      </c>
    </row>
    <row r="15" customFormat="false" ht="15" hidden="false" customHeight="false" outlineLevel="0" collapsed="false">
      <c r="A15" s="5" t="s">
        <v>41</v>
      </c>
      <c r="B15" s="6" t="s">
        <v>42</v>
      </c>
      <c r="C15" s="17" t="n">
        <v>0</v>
      </c>
      <c r="D15" s="13" t="n">
        <v>2</v>
      </c>
      <c r="E15" s="13" t="n">
        <v>0</v>
      </c>
      <c r="F15" s="14" t="n">
        <f aca="false">D15</f>
        <v>2</v>
      </c>
      <c r="G15" s="6" t="s">
        <v>33</v>
      </c>
      <c r="H15" s="10" t="s">
        <v>43</v>
      </c>
    </row>
    <row r="16" customFormat="false" ht="15" hidden="false" customHeight="false" outlineLevel="0" collapsed="false">
      <c r="A16" s="5" t="s">
        <v>44</v>
      </c>
      <c r="B16" s="6" t="s">
        <v>45</v>
      </c>
      <c r="C16" s="15" t="n">
        <v>1</v>
      </c>
      <c r="D16" s="15" t="n">
        <v>1.15</v>
      </c>
      <c r="E16" s="15" t="n">
        <v>1</v>
      </c>
      <c r="F16" s="16" t="n">
        <f aca="false">D16</f>
        <v>1.15</v>
      </c>
      <c r="G16" s="6" t="s">
        <v>36</v>
      </c>
      <c r="H16" s="10" t="s">
        <v>46</v>
      </c>
    </row>
    <row r="17" customFormat="false" ht="15" hidden="false" customHeight="false" outlineLevel="0" collapsed="false">
      <c r="A17" s="5" t="s">
        <v>47</v>
      </c>
      <c r="B17" s="6" t="s">
        <v>48</v>
      </c>
      <c r="C17" s="18" t="n">
        <v>360000</v>
      </c>
      <c r="D17" s="19" t="n">
        <f aca="false">C17</f>
        <v>360000</v>
      </c>
      <c r="E17" s="19" t="n">
        <f aca="false">C17</f>
        <v>360000</v>
      </c>
      <c r="F17" s="19" t="n">
        <f aca="false">D17</f>
        <v>360000</v>
      </c>
      <c r="G17" s="6" t="s">
        <v>49</v>
      </c>
      <c r="H17" s="10" t="s">
        <v>50</v>
      </c>
    </row>
    <row r="18" customFormat="false" ht="15" hidden="false" customHeight="false" outlineLevel="0" collapsed="false">
      <c r="A18" s="5" t="s">
        <v>51</v>
      </c>
      <c r="B18" s="6" t="s">
        <v>52</v>
      </c>
      <c r="C18" s="18" t="n">
        <v>40000</v>
      </c>
      <c r="D18" s="19" t="n">
        <f aca="false">C18</f>
        <v>40000</v>
      </c>
      <c r="E18" s="19" t="n">
        <f aca="false">C18</f>
        <v>40000</v>
      </c>
      <c r="F18" s="19" t="n">
        <f aca="false">D18</f>
        <v>40000</v>
      </c>
      <c r="G18" s="6" t="s">
        <v>53</v>
      </c>
      <c r="H18" s="10" t="s">
        <v>54</v>
      </c>
    </row>
    <row r="19" customFormat="false" ht="15" hidden="false" customHeight="false" outlineLevel="0" collapsed="false">
      <c r="A19" s="5" t="s">
        <v>55</v>
      </c>
      <c r="B19" s="6" t="s">
        <v>56</v>
      </c>
      <c r="C19" s="13" t="n">
        <v>2</v>
      </c>
      <c r="D19" s="14" t="n">
        <f aca="false">C19</f>
        <v>2</v>
      </c>
      <c r="E19" s="14" t="n">
        <f aca="false">C19</f>
        <v>2</v>
      </c>
      <c r="F19" s="14" t="n">
        <f aca="false">D19</f>
        <v>2</v>
      </c>
      <c r="G19" s="6" t="s">
        <v>57</v>
      </c>
      <c r="H19" s="10" t="s">
        <v>19</v>
      </c>
    </row>
    <row r="20" customFormat="false" ht="15" hidden="false" customHeight="false" outlineLevel="0" collapsed="false">
      <c r="A20" s="5" t="s">
        <v>58</v>
      </c>
      <c r="B20" s="6" t="s">
        <v>59</v>
      </c>
      <c r="C20" s="20" t="n">
        <v>50000</v>
      </c>
      <c r="D20" s="19" t="n">
        <f aca="false">C20</f>
        <v>50000</v>
      </c>
      <c r="E20" s="19" t="n">
        <f aca="false">C20</f>
        <v>50000</v>
      </c>
      <c r="F20" s="19" t="n">
        <f aca="false">D20</f>
        <v>50000</v>
      </c>
      <c r="G20" s="6" t="s">
        <v>53</v>
      </c>
      <c r="H20" s="10" t="s">
        <v>60</v>
      </c>
    </row>
    <row r="21" customFormat="false" ht="15" hidden="false" customHeight="false" outlineLevel="0" collapsed="false">
      <c r="A21" s="5" t="s">
        <v>61</v>
      </c>
      <c r="B21" s="6" t="s">
        <v>62</v>
      </c>
      <c r="C21" s="13" t="n">
        <v>2</v>
      </c>
      <c r="D21" s="14" t="n">
        <f aca="false">C21</f>
        <v>2</v>
      </c>
      <c r="E21" s="14" t="n">
        <f aca="false">C21</f>
        <v>2</v>
      </c>
      <c r="F21" s="14" t="n">
        <f aca="false">D21</f>
        <v>2</v>
      </c>
      <c r="G21" s="6" t="s">
        <v>57</v>
      </c>
      <c r="H21" s="10" t="s">
        <v>63</v>
      </c>
    </row>
    <row r="22" customFormat="false" ht="15" hidden="false" customHeight="false" outlineLevel="0" collapsed="false">
      <c r="A22" s="5" t="s">
        <v>64</v>
      </c>
      <c r="B22" s="6" t="s">
        <v>65</v>
      </c>
      <c r="C22" s="13" t="n">
        <v>5</v>
      </c>
      <c r="D22" s="14" t="n">
        <f aca="false">C22</f>
        <v>5</v>
      </c>
      <c r="E22" s="14" t="n">
        <f aca="false">C22</f>
        <v>5</v>
      </c>
      <c r="F22" s="14" t="n">
        <f aca="false">D22</f>
        <v>5</v>
      </c>
      <c r="G22" s="6" t="s">
        <v>57</v>
      </c>
      <c r="H22" s="10" t="s">
        <v>63</v>
      </c>
    </row>
    <row r="23" customFormat="false" ht="15" hidden="false" customHeight="false" outlineLevel="0" collapsed="false">
      <c r="A23" s="5" t="s">
        <v>66</v>
      </c>
      <c r="B23" s="6" t="s">
        <v>67</v>
      </c>
      <c r="C23" s="13" t="n">
        <v>8</v>
      </c>
      <c r="D23" s="14" t="n">
        <f aca="false">C23</f>
        <v>8</v>
      </c>
      <c r="E23" s="14" t="n">
        <f aca="false">C23</f>
        <v>8</v>
      </c>
      <c r="F23" s="14" t="n">
        <f aca="false">D23</f>
        <v>8</v>
      </c>
      <c r="G23" s="6" t="s">
        <v>57</v>
      </c>
      <c r="H23" s="10" t="s">
        <v>63</v>
      </c>
    </row>
    <row r="24" customFormat="false" ht="15" hidden="false" customHeight="false" outlineLevel="0" collapsed="false">
      <c r="A24" s="5" t="s">
        <v>68</v>
      </c>
      <c r="B24" s="6" t="s">
        <v>69</v>
      </c>
      <c r="C24" s="20" t="n">
        <v>1200</v>
      </c>
      <c r="D24" s="19" t="n">
        <f aca="false">C24</f>
        <v>1200</v>
      </c>
      <c r="E24" s="19" t="n">
        <f aca="false">C24</f>
        <v>1200</v>
      </c>
      <c r="F24" s="19" t="n">
        <f aca="false">D24</f>
        <v>1200</v>
      </c>
      <c r="G24" s="6" t="s">
        <v>70</v>
      </c>
      <c r="H24" s="10" t="s">
        <v>71</v>
      </c>
    </row>
    <row r="25" customFormat="false" ht="15" hidden="false" customHeight="false" outlineLevel="0" collapsed="false">
      <c r="A25" s="5" t="s">
        <v>72</v>
      </c>
      <c r="B25" s="6" t="s">
        <v>73</v>
      </c>
      <c r="C25" s="13" t="n">
        <v>10</v>
      </c>
      <c r="D25" s="14" t="n">
        <f aca="false">C25</f>
        <v>10</v>
      </c>
      <c r="E25" s="14" t="n">
        <f aca="false">C25</f>
        <v>10</v>
      </c>
      <c r="F25" s="14" t="n">
        <f aca="false">D25</f>
        <v>10</v>
      </c>
      <c r="G25" s="6" t="s">
        <v>57</v>
      </c>
      <c r="H25" s="10" t="s">
        <v>19</v>
      </c>
    </row>
    <row r="26" customFormat="false" ht="15" hidden="false" customHeight="false" outlineLevel="0" collapsed="false">
      <c r="A26" s="5" t="s">
        <v>74</v>
      </c>
      <c r="B26" s="6" t="s">
        <v>75</v>
      </c>
      <c r="C26" s="7" t="n">
        <v>0.15</v>
      </c>
      <c r="D26" s="9" t="n">
        <f aca="false">C26</f>
        <v>0.15</v>
      </c>
      <c r="E26" s="9" t="n">
        <f aca="false">C26</f>
        <v>0.15</v>
      </c>
      <c r="F26" s="9" t="n">
        <f aca="false">D26</f>
        <v>0.15</v>
      </c>
      <c r="G26" s="6" t="s">
        <v>12</v>
      </c>
      <c r="H26" s="10" t="s">
        <v>76</v>
      </c>
    </row>
    <row r="27" customFormat="false" ht="15" hidden="false" customHeight="false" outlineLevel="0" collapsed="false">
      <c r="A27" s="5" t="s">
        <v>77</v>
      </c>
      <c r="B27" s="6" t="s">
        <v>78</v>
      </c>
      <c r="C27" s="7" t="n">
        <v>0.5</v>
      </c>
      <c r="D27" s="9" t="n">
        <f aca="false">C27</f>
        <v>0.5</v>
      </c>
      <c r="E27" s="9" t="n">
        <f aca="false">C27</f>
        <v>0.5</v>
      </c>
      <c r="F27" s="9" t="n">
        <f aca="false">D27</f>
        <v>0.5</v>
      </c>
      <c r="G27" s="6" t="s">
        <v>12</v>
      </c>
      <c r="H27" s="10" t="s">
        <v>79</v>
      </c>
    </row>
    <row r="28" customFormat="false" ht="15" hidden="false" customHeight="false" outlineLevel="0" collapsed="false">
      <c r="A28" s="5" t="s">
        <v>80</v>
      </c>
      <c r="B28" s="6" t="s">
        <v>81</v>
      </c>
      <c r="C28" s="8" t="n">
        <v>0.5</v>
      </c>
      <c r="D28" s="9" t="n">
        <f aca="false">C28</f>
        <v>0.5</v>
      </c>
      <c r="E28" s="9" t="n">
        <f aca="false">C28</f>
        <v>0.5</v>
      </c>
      <c r="F28" s="9" t="n">
        <f aca="false">D28</f>
        <v>0.5</v>
      </c>
      <c r="G28" s="6" t="s">
        <v>12</v>
      </c>
      <c r="H28" s="10" t="s">
        <v>82</v>
      </c>
    </row>
    <row r="29" customFormat="false" ht="15" hidden="false" customHeight="false" outlineLevel="0" collapsed="false">
      <c r="A29" s="5" t="s">
        <v>83</v>
      </c>
      <c r="B29" s="6" t="s">
        <v>84</v>
      </c>
      <c r="C29" s="13" t="n">
        <v>6</v>
      </c>
      <c r="D29" s="14" t="n">
        <f aca="false">C29</f>
        <v>6</v>
      </c>
      <c r="E29" s="14" t="n">
        <f aca="false">C29</f>
        <v>6</v>
      </c>
      <c r="F29" s="14" t="n">
        <f aca="false">D29</f>
        <v>6</v>
      </c>
      <c r="G29" s="6" t="s">
        <v>33</v>
      </c>
      <c r="H29" s="10" t="s">
        <v>19</v>
      </c>
    </row>
    <row r="30" customFormat="false" ht="15" hidden="false" customHeight="false" outlineLevel="0" collapsed="false">
      <c r="A30" s="5" t="s">
        <v>85</v>
      </c>
      <c r="B30" s="6" t="s">
        <v>86</v>
      </c>
      <c r="C30" s="8" t="n">
        <v>0.78</v>
      </c>
      <c r="D30" s="9" t="n">
        <f aca="false">C30</f>
        <v>0.78</v>
      </c>
      <c r="E30" s="9" t="n">
        <f aca="false">C30</f>
        <v>0.78</v>
      </c>
      <c r="F30" s="9" t="n">
        <f aca="false">D30</f>
        <v>0.78</v>
      </c>
      <c r="G30" s="6" t="s">
        <v>12</v>
      </c>
      <c r="H30" s="10" t="s">
        <v>50</v>
      </c>
    </row>
    <row r="31" customFormat="false" ht="15" hidden="false" customHeight="false" outlineLevel="0" collapsed="false">
      <c r="A31" s="5" t="s">
        <v>87</v>
      </c>
      <c r="B31" s="6" t="s">
        <v>88</v>
      </c>
      <c r="C31" s="21" t="n">
        <v>1</v>
      </c>
      <c r="D31" s="16" t="n">
        <f aca="false">C31</f>
        <v>1</v>
      </c>
      <c r="E31" s="16" t="n">
        <f aca="false">C31</f>
        <v>1</v>
      </c>
      <c r="F31" s="16" t="n">
        <f aca="false">D31</f>
        <v>1</v>
      </c>
      <c r="G31" s="6" t="s">
        <v>36</v>
      </c>
      <c r="H31" s="10" t="s">
        <v>89</v>
      </c>
    </row>
    <row r="32" customFormat="false" ht="15" hidden="false" customHeight="false" outlineLevel="0" collapsed="false">
      <c r="A32" s="5" t="s">
        <v>90</v>
      </c>
      <c r="B32" s="6" t="s">
        <v>91</v>
      </c>
      <c r="C32" s="8" t="n">
        <v>0.42</v>
      </c>
      <c r="D32" s="9" t="n">
        <f aca="false">C32</f>
        <v>0.42</v>
      </c>
      <c r="E32" s="9" t="n">
        <f aca="false">C32</f>
        <v>0.42</v>
      </c>
      <c r="F32" s="9" t="n">
        <f aca="false">D32</f>
        <v>0.42</v>
      </c>
      <c r="G32" s="6" t="s">
        <v>12</v>
      </c>
      <c r="H32" s="10" t="s">
        <v>50</v>
      </c>
    </row>
    <row r="33" customFormat="false" ht="15" hidden="false" customHeight="false" outlineLevel="0" collapsed="false">
      <c r="A33" s="5" t="s">
        <v>92</v>
      </c>
      <c r="B33" s="6" t="s">
        <v>93</v>
      </c>
      <c r="C33" s="18" t="n">
        <v>12000000</v>
      </c>
      <c r="D33" s="19" t="n">
        <f aca="false">C33</f>
        <v>12000000</v>
      </c>
      <c r="E33" s="19" t="n">
        <f aca="false">C33</f>
        <v>12000000</v>
      </c>
      <c r="F33" s="19" t="n">
        <f aca="false">D33</f>
        <v>12000000</v>
      </c>
      <c r="G33" s="6" t="s">
        <v>49</v>
      </c>
      <c r="H33" s="10" t="s">
        <v>94</v>
      </c>
    </row>
    <row r="34" customFormat="false" ht="15" hidden="false" customHeight="false" outlineLevel="0" collapsed="false">
      <c r="A34" s="5" t="s">
        <v>95</v>
      </c>
      <c r="B34" s="6" t="s">
        <v>96</v>
      </c>
      <c r="C34" s="8" t="n">
        <v>0.5</v>
      </c>
      <c r="D34" s="9" t="n">
        <f aca="false">C34</f>
        <v>0.5</v>
      </c>
      <c r="E34" s="9" t="n">
        <f aca="false">C34</f>
        <v>0.5</v>
      </c>
      <c r="F34" s="9" t="n">
        <f aca="false">D34</f>
        <v>0.5</v>
      </c>
      <c r="G34" s="6" t="s">
        <v>12</v>
      </c>
      <c r="H34" s="10" t="s">
        <v>97</v>
      </c>
    </row>
    <row r="35" customFormat="false" ht="15" hidden="false" customHeight="false" outlineLevel="0" collapsed="false">
      <c r="A35" s="5" t="s">
        <v>98</v>
      </c>
      <c r="B35" s="6" t="s">
        <v>99</v>
      </c>
      <c r="C35" s="20" t="n">
        <v>1500</v>
      </c>
      <c r="D35" s="19" t="n">
        <f aca="false">C35</f>
        <v>1500</v>
      </c>
      <c r="E35" s="19" t="n">
        <f aca="false">C35</f>
        <v>1500</v>
      </c>
      <c r="F35" s="19" t="n">
        <f aca="false">D35</f>
        <v>1500</v>
      </c>
      <c r="G35" s="6" t="s">
        <v>49</v>
      </c>
      <c r="H35" s="10" t="s">
        <v>100</v>
      </c>
    </row>
    <row r="36" customFormat="false" ht="15" hidden="false" customHeight="false" outlineLevel="0" collapsed="false">
      <c r="A36" s="5" t="s">
        <v>101</v>
      </c>
      <c r="B36" s="6" t="s">
        <v>102</v>
      </c>
      <c r="C36" s="11" t="n">
        <v>0.405</v>
      </c>
      <c r="D36" s="12" t="n">
        <f aca="false">C36</f>
        <v>0.405</v>
      </c>
      <c r="E36" s="12" t="n">
        <f aca="false">C36</f>
        <v>0.405</v>
      </c>
      <c r="F36" s="12" t="n">
        <f aca="false">D36</f>
        <v>0.405</v>
      </c>
      <c r="G36" s="6" t="s">
        <v>26</v>
      </c>
      <c r="H36" s="10" t="s">
        <v>103</v>
      </c>
    </row>
    <row r="37" customFormat="false" ht="15" hidden="false" customHeight="false" outlineLevel="0" collapsed="false">
      <c r="A37" s="5" t="s">
        <v>104</v>
      </c>
      <c r="B37" s="6" t="s">
        <v>105</v>
      </c>
      <c r="C37" s="7" t="n">
        <v>0.8</v>
      </c>
      <c r="D37" s="9" t="n">
        <f aca="false">C37</f>
        <v>0.8</v>
      </c>
      <c r="E37" s="9" t="n">
        <f aca="false">C37</f>
        <v>0.8</v>
      </c>
      <c r="F37" s="9" t="n">
        <f aca="false">D37</f>
        <v>0.8</v>
      </c>
      <c r="G37" s="6" t="s">
        <v>12</v>
      </c>
      <c r="H37" s="10" t="s">
        <v>106</v>
      </c>
    </row>
    <row r="38" customFormat="false" ht="15" hidden="false" customHeight="false" outlineLevel="0" collapsed="false">
      <c r="A38" s="5" t="s">
        <v>107</v>
      </c>
      <c r="B38" s="6" t="s">
        <v>108</v>
      </c>
      <c r="C38" s="8" t="n">
        <v>0.3</v>
      </c>
      <c r="D38" s="9" t="n">
        <f aca="false">C38</f>
        <v>0.3</v>
      </c>
      <c r="E38" s="9" t="n">
        <f aca="false">C38</f>
        <v>0.3</v>
      </c>
      <c r="F38" s="9" t="n">
        <f aca="false">D38</f>
        <v>0.3</v>
      </c>
      <c r="G38" s="6" t="s">
        <v>12</v>
      </c>
      <c r="H38" s="10" t="s">
        <v>19</v>
      </c>
    </row>
    <row r="39" customFormat="false" ht="15" hidden="false" customHeight="false" outlineLevel="0" collapsed="false">
      <c r="A39" s="5" t="s">
        <v>109</v>
      </c>
      <c r="B39" s="6" t="s">
        <v>110</v>
      </c>
      <c r="C39" s="13" t="n">
        <v>0</v>
      </c>
      <c r="D39" s="14" t="n">
        <f aca="false">C39</f>
        <v>0</v>
      </c>
      <c r="E39" s="14" t="n">
        <f aca="false">C39</f>
        <v>0</v>
      </c>
      <c r="F39" s="13" t="n">
        <v>1</v>
      </c>
      <c r="G39" s="6" t="s">
        <v>111</v>
      </c>
      <c r="H39" s="10" t="s">
        <v>112</v>
      </c>
    </row>
    <row r="40" customFormat="false" ht="15" hidden="false" customHeight="false" outlineLevel="0" collapsed="false">
      <c r="A40" s="5" t="s">
        <v>113</v>
      </c>
      <c r="B40" s="6" t="s">
        <v>114</v>
      </c>
      <c r="C40" s="13" t="n">
        <v>99</v>
      </c>
      <c r="D40" s="14" t="n">
        <f aca="false">C40</f>
        <v>99</v>
      </c>
      <c r="E40" s="14" t="n">
        <f aca="false">C40</f>
        <v>99</v>
      </c>
      <c r="F40" s="13" t="n">
        <v>9</v>
      </c>
      <c r="G40" s="6" t="s">
        <v>57</v>
      </c>
      <c r="H40" s="10" t="s">
        <v>115</v>
      </c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A42" s="5" t="s">
        <v>116</v>
      </c>
      <c r="B42" s="2"/>
      <c r="C42" s="2"/>
      <c r="D42" s="2"/>
      <c r="E42" s="2"/>
      <c r="F42" s="2"/>
      <c r="G42" s="2"/>
      <c r="H42" s="2"/>
    </row>
    <row r="43" customFormat="false" ht="35.05" hidden="false" customHeight="false" outlineLevel="0" collapsed="false">
      <c r="A43" s="4" t="s">
        <v>117</v>
      </c>
      <c r="B43" s="4" t="s">
        <v>118</v>
      </c>
      <c r="C43" s="4" t="s">
        <v>119</v>
      </c>
      <c r="D43" s="4" t="s">
        <v>120</v>
      </c>
      <c r="E43" s="4" t="s">
        <v>121</v>
      </c>
      <c r="F43" s="4" t="s">
        <v>122</v>
      </c>
      <c r="G43" s="4" t="s">
        <v>123</v>
      </c>
      <c r="H43" s="2"/>
    </row>
    <row r="44" customFormat="false" ht="15" hidden="false" customHeight="false" outlineLevel="0" collapsed="false">
      <c r="A44" s="6" t="s">
        <v>124</v>
      </c>
      <c r="B44" s="8" t="n">
        <v>0.28</v>
      </c>
      <c r="C44" s="18" t="n">
        <v>0</v>
      </c>
      <c r="D44" s="18" t="n">
        <v>1350</v>
      </c>
      <c r="E44" s="18" t="n">
        <v>120000</v>
      </c>
      <c r="F44" s="8" t="n">
        <v>0.94</v>
      </c>
      <c r="G44" s="6" t="s">
        <v>125</v>
      </c>
      <c r="H44" s="2"/>
    </row>
    <row r="45" customFormat="false" ht="15" hidden="false" customHeight="false" outlineLevel="0" collapsed="false">
      <c r="A45" s="6" t="s">
        <v>126</v>
      </c>
      <c r="B45" s="8" t="n">
        <v>0.08</v>
      </c>
      <c r="C45" s="18" t="n">
        <v>12000</v>
      </c>
      <c r="D45" s="18" t="n">
        <v>400</v>
      </c>
      <c r="E45" s="18" t="n">
        <v>70000</v>
      </c>
      <c r="F45" s="8" t="n">
        <v>0.86</v>
      </c>
      <c r="G45" s="6" t="s">
        <v>127</v>
      </c>
      <c r="H45" s="2"/>
    </row>
    <row r="46" customFormat="false" ht="15" hidden="false" customHeight="false" outlineLevel="0" collapsed="false">
      <c r="A46" s="6" t="s">
        <v>128</v>
      </c>
      <c r="B46" s="8" t="n">
        <v>0.18</v>
      </c>
      <c r="C46" s="18" t="n">
        <v>0</v>
      </c>
      <c r="D46" s="18" t="n">
        <v>600</v>
      </c>
      <c r="E46" s="18" t="n">
        <v>45000</v>
      </c>
      <c r="F46" s="8" t="n">
        <v>0.82</v>
      </c>
      <c r="G46" s="6" t="s">
        <v>129</v>
      </c>
      <c r="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5" t="s">
        <v>130</v>
      </c>
      <c r="B48" s="2"/>
      <c r="C48" s="2"/>
      <c r="D48" s="2"/>
      <c r="E48" s="2"/>
      <c r="F48" s="2"/>
      <c r="G48" s="2"/>
      <c r="H48" s="2"/>
    </row>
    <row r="49" customFormat="false" ht="35.05" hidden="false" customHeight="false" outlineLevel="0" collapsed="false">
      <c r="A49" s="4" t="s">
        <v>131</v>
      </c>
      <c r="B49" s="4" t="s">
        <v>132</v>
      </c>
      <c r="C49" s="4" t="s">
        <v>133</v>
      </c>
      <c r="D49" s="4" t="s">
        <v>134</v>
      </c>
      <c r="E49" s="4" t="s">
        <v>135</v>
      </c>
      <c r="F49" s="2"/>
      <c r="G49" s="2"/>
      <c r="H49" s="2"/>
    </row>
    <row r="50" customFormat="false" ht="15" hidden="false" customHeight="false" outlineLevel="0" collapsed="false">
      <c r="A50" s="6" t="s">
        <v>136</v>
      </c>
      <c r="B50" s="13" t="n">
        <v>4</v>
      </c>
      <c r="C50" s="18" t="n">
        <v>8500</v>
      </c>
      <c r="D50" s="11" t="n">
        <v>20</v>
      </c>
      <c r="E50" s="6" t="s">
        <v>137</v>
      </c>
      <c r="F50" s="2"/>
      <c r="G50" s="2"/>
      <c r="H50" s="2"/>
    </row>
    <row r="51" customFormat="false" ht="15" hidden="false" customHeight="false" outlineLevel="0" collapsed="false">
      <c r="A51" s="6" t="s">
        <v>138</v>
      </c>
      <c r="B51" s="13" t="n">
        <v>5</v>
      </c>
      <c r="C51" s="18" t="n">
        <v>12000</v>
      </c>
      <c r="D51" s="11" t="n">
        <v>24</v>
      </c>
      <c r="E51" s="6" t="s">
        <v>139</v>
      </c>
      <c r="F51" s="2"/>
      <c r="G51" s="2"/>
      <c r="H51" s="2"/>
    </row>
    <row r="52" customFormat="false" ht="15" hidden="false" customHeight="false" outlineLevel="0" collapsed="false">
      <c r="A52" s="6" t="s">
        <v>140</v>
      </c>
      <c r="B52" s="13" t="n">
        <v>7</v>
      </c>
      <c r="C52" s="18" t="n">
        <v>6500</v>
      </c>
      <c r="D52" s="11" t="n">
        <v>30</v>
      </c>
      <c r="E52" s="6" t="s">
        <v>141</v>
      </c>
      <c r="F52" s="2"/>
      <c r="G52" s="2"/>
      <c r="H52" s="2"/>
    </row>
    <row r="53" customFormat="false" ht="15" hidden="false" customHeight="false" outlineLevel="0" collapsed="false">
      <c r="A53" s="6" t="s">
        <v>142</v>
      </c>
      <c r="B53" s="13" t="n">
        <v>4</v>
      </c>
      <c r="C53" s="18" t="n">
        <v>8000</v>
      </c>
      <c r="D53" s="11" t="n">
        <v>26</v>
      </c>
      <c r="E53" s="6" t="s">
        <v>143</v>
      </c>
      <c r="F53" s="2"/>
      <c r="G53" s="2"/>
      <c r="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" hidden="false" customHeight="false" outlineLevel="0" collapsed="false">
      <c r="A55" s="5" t="s">
        <v>144</v>
      </c>
      <c r="B55" s="2"/>
      <c r="C55" s="2"/>
      <c r="D55" s="2"/>
      <c r="E55" s="2"/>
      <c r="F55" s="2"/>
      <c r="G55" s="2"/>
      <c r="H55" s="2"/>
    </row>
    <row r="56" customFormat="false" ht="35.05" hidden="false" customHeight="false" outlineLevel="0" collapsed="false">
      <c r="A56" s="4" t="s">
        <v>145</v>
      </c>
      <c r="B56" s="4" t="s">
        <v>131</v>
      </c>
      <c r="C56" s="4" t="s">
        <v>117</v>
      </c>
      <c r="D56" s="4" t="s">
        <v>133</v>
      </c>
      <c r="E56" s="4" t="s">
        <v>146</v>
      </c>
      <c r="F56" s="4" t="s">
        <v>147</v>
      </c>
      <c r="G56" s="4" t="s">
        <v>148</v>
      </c>
      <c r="H56" s="2"/>
    </row>
    <row r="57" customFormat="false" ht="15" hidden="false" customHeight="false" outlineLevel="0" collapsed="false">
      <c r="A57" s="6" t="n">
        <v>1</v>
      </c>
      <c r="B57" s="22" t="s">
        <v>136</v>
      </c>
      <c r="C57" s="22" t="s">
        <v>124</v>
      </c>
      <c r="D57" s="23" t="n">
        <f aca="false">INDEX($C$50:$C$53,MATCH(B57,$A$50:$A$53,0))</f>
        <v>8500</v>
      </c>
      <c r="E57" s="24" t="n">
        <f aca="false">INDEX($D$50:$D$53,MATCH(B57,$A$50:$A$53,0))</f>
        <v>20</v>
      </c>
      <c r="F57" s="22" t="n">
        <v>1</v>
      </c>
      <c r="G57" s="2" t="n">
        <f aca="false">IF(B57="Pilot",1,0)</f>
        <v>1</v>
      </c>
      <c r="H57" s="2"/>
    </row>
    <row r="58" customFormat="false" ht="15" hidden="false" customHeight="false" outlineLevel="0" collapsed="false">
      <c r="A58" s="6" t="n">
        <v>2</v>
      </c>
      <c r="B58" s="22" t="s">
        <v>136</v>
      </c>
      <c r="C58" s="22" t="s">
        <v>124</v>
      </c>
      <c r="D58" s="23" t="n">
        <f aca="false">INDEX($C$50:$C$53,MATCH(B58,$A$50:$A$53,0))</f>
        <v>8500</v>
      </c>
      <c r="E58" s="24" t="n">
        <f aca="false">INDEX($D$50:$D$53,MATCH(B58,$A$50:$A$53,0))</f>
        <v>20</v>
      </c>
      <c r="F58" s="22" t="n">
        <v>1</v>
      </c>
      <c r="G58" s="2" t="n">
        <f aca="false">IF(B58="Pilot",1,0)</f>
        <v>1</v>
      </c>
      <c r="H58" s="2"/>
    </row>
    <row r="59" customFormat="false" ht="15" hidden="false" customHeight="false" outlineLevel="0" collapsed="false">
      <c r="A59" s="6" t="n">
        <v>3</v>
      </c>
      <c r="B59" s="22" t="s">
        <v>136</v>
      </c>
      <c r="C59" s="22" t="s">
        <v>124</v>
      </c>
      <c r="D59" s="23" t="n">
        <f aca="false">INDEX($C$50:$C$53,MATCH(B59,$A$50:$A$53,0))</f>
        <v>8500</v>
      </c>
      <c r="E59" s="24" t="n">
        <f aca="false">INDEX($D$50:$D$53,MATCH(B59,$A$50:$A$53,0))</f>
        <v>20</v>
      </c>
      <c r="F59" s="22" t="n">
        <v>1</v>
      </c>
      <c r="G59" s="2" t="n">
        <f aca="false">IF(B59="Pilot",1,0)</f>
        <v>1</v>
      </c>
      <c r="H59" s="2"/>
    </row>
    <row r="60" customFormat="false" ht="15" hidden="false" customHeight="false" outlineLevel="0" collapsed="false">
      <c r="A60" s="6" t="n">
        <v>4</v>
      </c>
      <c r="B60" s="22" t="s">
        <v>136</v>
      </c>
      <c r="C60" s="22" t="s">
        <v>124</v>
      </c>
      <c r="D60" s="23" t="n">
        <f aca="false">INDEX($C$50:$C$53,MATCH(B60,$A$50:$A$53,0))</f>
        <v>8500</v>
      </c>
      <c r="E60" s="24" t="n">
        <f aca="false">INDEX($D$50:$D$53,MATCH(B60,$A$50:$A$53,0))</f>
        <v>20</v>
      </c>
      <c r="F60" s="22" t="n">
        <v>1</v>
      </c>
      <c r="G60" s="2" t="n">
        <f aca="false">IF(B60="Pilot",1,0)</f>
        <v>1</v>
      </c>
      <c r="H60" s="2"/>
    </row>
    <row r="61" customFormat="false" ht="15" hidden="false" customHeight="false" outlineLevel="0" collapsed="false">
      <c r="A61" s="6" t="n">
        <v>5</v>
      </c>
      <c r="B61" s="22" t="s">
        <v>138</v>
      </c>
      <c r="C61" s="22" t="s">
        <v>124</v>
      </c>
      <c r="D61" s="23" t="n">
        <f aca="false">INDEX($C$50:$C$53,MATCH(B61,$A$50:$A$53,0))</f>
        <v>12000</v>
      </c>
      <c r="E61" s="24" t="n">
        <f aca="false">INDEX($D$50:$D$53,MATCH(B61,$A$50:$A$53,0))</f>
        <v>24</v>
      </c>
      <c r="F61" s="22" t="n">
        <v>3</v>
      </c>
      <c r="G61" s="2" t="n">
        <f aca="false">IF(B61="Pilot",1,0)</f>
        <v>0</v>
      </c>
      <c r="H61" s="2"/>
    </row>
    <row r="62" customFormat="false" ht="15" hidden="false" customHeight="false" outlineLevel="0" collapsed="false">
      <c r="A62" s="6" t="n">
        <v>6</v>
      </c>
      <c r="B62" s="22" t="s">
        <v>138</v>
      </c>
      <c r="C62" s="22" t="s">
        <v>124</v>
      </c>
      <c r="D62" s="23" t="n">
        <f aca="false">INDEX($C$50:$C$53,MATCH(B62,$A$50:$A$53,0))</f>
        <v>12000</v>
      </c>
      <c r="E62" s="24" t="n">
        <f aca="false">INDEX($D$50:$D$53,MATCH(B62,$A$50:$A$53,0))</f>
        <v>24</v>
      </c>
      <c r="F62" s="22" t="n">
        <v>3</v>
      </c>
      <c r="G62" s="2" t="n">
        <f aca="false">IF(B62="Pilot",1,0)</f>
        <v>0</v>
      </c>
      <c r="H62" s="2"/>
    </row>
    <row r="63" customFormat="false" ht="15" hidden="false" customHeight="false" outlineLevel="0" collapsed="false">
      <c r="A63" s="6" t="n">
        <v>7</v>
      </c>
      <c r="B63" s="22" t="s">
        <v>138</v>
      </c>
      <c r="C63" s="22" t="s">
        <v>124</v>
      </c>
      <c r="D63" s="23" t="n">
        <f aca="false">INDEX($C$50:$C$53,MATCH(B63,$A$50:$A$53,0))</f>
        <v>12000</v>
      </c>
      <c r="E63" s="24" t="n">
        <f aca="false">INDEX($D$50:$D$53,MATCH(B63,$A$50:$A$53,0))</f>
        <v>24</v>
      </c>
      <c r="F63" s="22" t="n">
        <v>4</v>
      </c>
      <c r="G63" s="2" t="n">
        <f aca="false">IF(B63="Pilot",1,0)</f>
        <v>0</v>
      </c>
      <c r="H63" s="2"/>
    </row>
    <row r="64" customFormat="false" ht="15" hidden="false" customHeight="false" outlineLevel="0" collapsed="false">
      <c r="A64" s="6" t="n">
        <v>8</v>
      </c>
      <c r="B64" s="22" t="s">
        <v>138</v>
      </c>
      <c r="C64" s="22" t="s">
        <v>124</v>
      </c>
      <c r="D64" s="23" t="n">
        <f aca="false">INDEX($C$50:$C$53,MATCH(B64,$A$50:$A$53,0))</f>
        <v>12000</v>
      </c>
      <c r="E64" s="24" t="n">
        <f aca="false">INDEX($D$50:$D$53,MATCH(B64,$A$50:$A$53,0))</f>
        <v>24</v>
      </c>
      <c r="F64" s="22" t="n">
        <v>4</v>
      </c>
      <c r="G64" s="2" t="n">
        <f aca="false">IF(B64="Pilot",1,0)</f>
        <v>0</v>
      </c>
      <c r="H64" s="2"/>
    </row>
    <row r="65" customFormat="false" ht="15" hidden="false" customHeight="false" outlineLevel="0" collapsed="false">
      <c r="A65" s="6" t="n">
        <v>9</v>
      </c>
      <c r="B65" s="22" t="s">
        <v>138</v>
      </c>
      <c r="C65" s="22" t="s">
        <v>124</v>
      </c>
      <c r="D65" s="23" t="n">
        <f aca="false">INDEX($C$50:$C$53,MATCH(B65,$A$50:$A$53,0))</f>
        <v>12000</v>
      </c>
      <c r="E65" s="24" t="n">
        <f aca="false">INDEX($D$50:$D$53,MATCH(B65,$A$50:$A$53,0))</f>
        <v>24</v>
      </c>
      <c r="F65" s="22" t="n">
        <v>5</v>
      </c>
      <c r="G65" s="2" t="n">
        <f aca="false">IF(B65="Pilot",1,0)</f>
        <v>0</v>
      </c>
      <c r="H65" s="2"/>
    </row>
    <row r="66" customFormat="false" ht="15" hidden="false" customHeight="false" outlineLevel="0" collapsed="false">
      <c r="A66" s="6" t="n">
        <v>10</v>
      </c>
      <c r="B66" s="22" t="s">
        <v>142</v>
      </c>
      <c r="C66" s="22" t="s">
        <v>124</v>
      </c>
      <c r="D66" s="23" t="n">
        <f aca="false">INDEX($C$50:$C$53,MATCH(B66,$A$50:$A$53,0))</f>
        <v>8000</v>
      </c>
      <c r="E66" s="24" t="n">
        <f aca="false">INDEX($D$50:$D$53,MATCH(B66,$A$50:$A$53,0))</f>
        <v>26</v>
      </c>
      <c r="F66" s="22" t="n">
        <v>6</v>
      </c>
      <c r="G66" s="2" t="n">
        <f aca="false">IF(B66="Pilot",1,0)</f>
        <v>0</v>
      </c>
      <c r="H66" s="2"/>
    </row>
    <row r="67" customFormat="false" ht="15" hidden="false" customHeight="false" outlineLevel="0" collapsed="false">
      <c r="A67" s="6" t="n">
        <v>11</v>
      </c>
      <c r="B67" s="22" t="s">
        <v>142</v>
      </c>
      <c r="C67" s="22" t="s">
        <v>124</v>
      </c>
      <c r="D67" s="23" t="n">
        <f aca="false">INDEX($C$50:$C$53,MATCH(B67,$A$50:$A$53,0))</f>
        <v>8000</v>
      </c>
      <c r="E67" s="24" t="n">
        <f aca="false">INDEX($D$50:$D$53,MATCH(B67,$A$50:$A$53,0))</f>
        <v>26</v>
      </c>
      <c r="F67" s="22" t="n">
        <v>7</v>
      </c>
      <c r="G67" s="2" t="n">
        <f aca="false">IF(B67="Pilot",1,0)</f>
        <v>0</v>
      </c>
      <c r="H67" s="2"/>
    </row>
    <row r="68" customFormat="false" ht="15" hidden="false" customHeight="false" outlineLevel="0" collapsed="false">
      <c r="A68" s="6" t="n">
        <v>12</v>
      </c>
      <c r="B68" s="22" t="s">
        <v>142</v>
      </c>
      <c r="C68" s="22" t="s">
        <v>124</v>
      </c>
      <c r="D68" s="23" t="n">
        <f aca="false">INDEX($C$50:$C$53,MATCH(B68,$A$50:$A$53,0))</f>
        <v>8000</v>
      </c>
      <c r="E68" s="24" t="n">
        <f aca="false">INDEX($D$50:$D$53,MATCH(B68,$A$50:$A$53,0))</f>
        <v>26</v>
      </c>
      <c r="F68" s="22" t="n">
        <v>7</v>
      </c>
      <c r="G68" s="2" t="n">
        <f aca="false">IF(B68="Pilot",1,0)</f>
        <v>0</v>
      </c>
      <c r="H68" s="2"/>
    </row>
    <row r="69" customFormat="false" ht="15" hidden="false" customHeight="false" outlineLevel="0" collapsed="false">
      <c r="A69" s="6" t="n">
        <v>13</v>
      </c>
      <c r="B69" s="22" t="s">
        <v>142</v>
      </c>
      <c r="C69" s="22" t="s">
        <v>124</v>
      </c>
      <c r="D69" s="23" t="n">
        <f aca="false">INDEX($C$50:$C$53,MATCH(B69,$A$50:$A$53,0))</f>
        <v>8000</v>
      </c>
      <c r="E69" s="24" t="n">
        <f aca="false">INDEX($D$50:$D$53,MATCH(B69,$A$50:$A$53,0))</f>
        <v>26</v>
      </c>
      <c r="F69" s="22" t="n">
        <v>8</v>
      </c>
      <c r="G69" s="2" t="n">
        <f aca="false">IF(B69="Pilot",1,0)</f>
        <v>0</v>
      </c>
      <c r="H69" s="2"/>
    </row>
    <row r="70" customFormat="false" ht="15" hidden="false" customHeight="false" outlineLevel="0" collapsed="false">
      <c r="A70" s="6" t="n">
        <v>14</v>
      </c>
      <c r="B70" s="22" t="s">
        <v>140</v>
      </c>
      <c r="C70" s="22" t="s">
        <v>126</v>
      </c>
      <c r="D70" s="23" t="n">
        <f aca="false">INDEX($C$50:$C$53,MATCH(B70,$A$50:$A$53,0))</f>
        <v>6500</v>
      </c>
      <c r="E70" s="24" t="n">
        <f aca="false">INDEX($D$50:$D$53,MATCH(B70,$A$50:$A$53,0))</f>
        <v>30</v>
      </c>
      <c r="F70" s="22" t="n">
        <v>9</v>
      </c>
      <c r="G70" s="2" t="n">
        <f aca="false">IF(B70="Pilot",1,0)</f>
        <v>0</v>
      </c>
      <c r="H70" s="2"/>
    </row>
    <row r="71" customFormat="false" ht="15" hidden="false" customHeight="false" outlineLevel="0" collapsed="false">
      <c r="A71" s="6" t="n">
        <v>15</v>
      </c>
      <c r="B71" s="22" t="s">
        <v>140</v>
      </c>
      <c r="C71" s="22" t="s">
        <v>126</v>
      </c>
      <c r="D71" s="23" t="n">
        <f aca="false">INDEX($C$50:$C$53,MATCH(B71,$A$50:$A$53,0))</f>
        <v>6500</v>
      </c>
      <c r="E71" s="24" t="n">
        <f aca="false">INDEX($D$50:$D$53,MATCH(B71,$A$50:$A$53,0))</f>
        <v>30</v>
      </c>
      <c r="F71" s="22" t="n">
        <v>10</v>
      </c>
      <c r="G71" s="2" t="n">
        <f aca="false">IF(B71="Pilot",1,0)</f>
        <v>0</v>
      </c>
      <c r="H71" s="2"/>
    </row>
    <row r="72" customFormat="false" ht="15" hidden="false" customHeight="false" outlineLevel="0" collapsed="false">
      <c r="A72" s="6" t="n">
        <v>16</v>
      </c>
      <c r="B72" s="22" t="s">
        <v>140</v>
      </c>
      <c r="C72" s="22" t="s">
        <v>126</v>
      </c>
      <c r="D72" s="23" t="n">
        <f aca="false">INDEX($C$50:$C$53,MATCH(B72,$A$50:$A$53,0))</f>
        <v>6500</v>
      </c>
      <c r="E72" s="24" t="n">
        <f aca="false">INDEX($D$50:$D$53,MATCH(B72,$A$50:$A$53,0))</f>
        <v>30</v>
      </c>
      <c r="F72" s="22" t="n">
        <v>11</v>
      </c>
      <c r="G72" s="2" t="n">
        <f aca="false">IF(B72="Pilot",1,0)</f>
        <v>0</v>
      </c>
      <c r="H72" s="2"/>
    </row>
    <row r="73" customFormat="false" ht="15" hidden="false" customHeight="false" outlineLevel="0" collapsed="false">
      <c r="A73" s="6" t="n">
        <v>17</v>
      </c>
      <c r="B73" s="22" t="s">
        <v>140</v>
      </c>
      <c r="C73" s="22" t="s">
        <v>128</v>
      </c>
      <c r="D73" s="23" t="n">
        <f aca="false">INDEX($C$50:$C$53,MATCH(B73,$A$50:$A$53,0))</f>
        <v>6500</v>
      </c>
      <c r="E73" s="24" t="n">
        <f aca="false">INDEX($D$50:$D$53,MATCH(B73,$A$50:$A$53,0))</f>
        <v>30</v>
      </c>
      <c r="F73" s="22" t="n">
        <v>12</v>
      </c>
      <c r="G73" s="2" t="n">
        <f aca="false">IF(B73="Pilot",1,0)</f>
        <v>0</v>
      </c>
      <c r="H73" s="2"/>
    </row>
    <row r="74" customFormat="false" ht="15" hidden="false" customHeight="false" outlineLevel="0" collapsed="false">
      <c r="A74" s="6" t="n">
        <v>18</v>
      </c>
      <c r="B74" s="22" t="s">
        <v>140</v>
      </c>
      <c r="C74" s="22" t="s">
        <v>128</v>
      </c>
      <c r="D74" s="23" t="n">
        <f aca="false">INDEX($C$50:$C$53,MATCH(B74,$A$50:$A$53,0))</f>
        <v>6500</v>
      </c>
      <c r="E74" s="24" t="n">
        <f aca="false">INDEX($D$50:$D$53,MATCH(B74,$A$50:$A$53,0))</f>
        <v>30</v>
      </c>
      <c r="F74" s="22" t="n">
        <v>13</v>
      </c>
      <c r="G74" s="2" t="n">
        <f aca="false">IF(B74="Pilot",1,0)</f>
        <v>0</v>
      </c>
      <c r="H74" s="2"/>
    </row>
    <row r="75" customFormat="false" ht="15" hidden="false" customHeight="false" outlineLevel="0" collapsed="false">
      <c r="A75" s="6" t="n">
        <v>19</v>
      </c>
      <c r="B75" s="22" t="s">
        <v>140</v>
      </c>
      <c r="C75" s="22" t="s">
        <v>128</v>
      </c>
      <c r="D75" s="23" t="n">
        <f aca="false">INDEX($C$50:$C$53,MATCH(B75,$A$50:$A$53,0))</f>
        <v>6500</v>
      </c>
      <c r="E75" s="24" t="n">
        <f aca="false">INDEX($D$50:$D$53,MATCH(B75,$A$50:$A$53,0))</f>
        <v>30</v>
      </c>
      <c r="F75" s="22" t="n">
        <v>14</v>
      </c>
      <c r="G75" s="2" t="n">
        <f aca="false">IF(B75="Pilot",1,0)</f>
        <v>0</v>
      </c>
      <c r="H75" s="2"/>
    </row>
    <row r="76" customFormat="false" ht="15" hidden="false" customHeight="false" outlineLevel="0" collapsed="false">
      <c r="A76" s="6" t="n">
        <v>20</v>
      </c>
      <c r="B76" s="22" t="s">
        <v>140</v>
      </c>
      <c r="C76" s="22" t="s">
        <v>128</v>
      </c>
      <c r="D76" s="23" t="n">
        <f aca="false">INDEX($C$50:$C$53,MATCH(B76,$A$50:$A$53,0))</f>
        <v>6500</v>
      </c>
      <c r="E76" s="24" t="n">
        <f aca="false">INDEX($D$50:$D$53,MATCH(B76,$A$50:$A$53,0))</f>
        <v>30</v>
      </c>
      <c r="F76" s="22" t="n">
        <v>14</v>
      </c>
      <c r="G76" s="2" t="n">
        <f aca="false">IF(B76="Pilot",1,0)</f>
        <v>0</v>
      </c>
      <c r="H7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149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150</v>
      </c>
      <c r="B3" s="2"/>
      <c r="C3" s="18" t="n">
        <v>8500</v>
      </c>
      <c r="D3" s="2" t="s">
        <v>151</v>
      </c>
      <c r="E3" s="2"/>
      <c r="F3" s="2"/>
      <c r="G3" s="2"/>
      <c r="H3" s="2"/>
    </row>
    <row r="4" customFormat="false" ht="15" hidden="false" customHeight="false" outlineLevel="0" collapsed="false">
      <c r="A4" s="2" t="s">
        <v>152</v>
      </c>
      <c r="B4" s="2"/>
      <c r="C4" s="22" t="n">
        <v>20</v>
      </c>
      <c r="D4" s="2" t="s">
        <v>151</v>
      </c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23.85" hidden="false" customHeight="false" outlineLevel="0" collapsed="false">
      <c r="A6" s="4" t="s">
        <v>153</v>
      </c>
      <c r="B6" s="4" t="s">
        <v>154</v>
      </c>
      <c r="C6" s="4" t="s">
        <v>155</v>
      </c>
      <c r="D6" s="4" t="s">
        <v>156</v>
      </c>
      <c r="E6" s="4" t="s">
        <v>157</v>
      </c>
      <c r="F6" s="4" t="s">
        <v>158</v>
      </c>
      <c r="G6" s="4" t="s">
        <v>121</v>
      </c>
      <c r="H6" s="4" t="s">
        <v>159</v>
      </c>
    </row>
    <row r="7" customFormat="false" ht="15" hidden="false" customHeight="false" outlineLevel="0" collapsed="false">
      <c r="A7" s="2" t="s">
        <v>160</v>
      </c>
      <c r="B7" s="23" t="n">
        <f aca="false">$C$3*Assumptions!B44</f>
        <v>2380</v>
      </c>
      <c r="C7" s="23" t="n">
        <f aca="false">Assumptions!D44</f>
        <v>1350</v>
      </c>
      <c r="D7" s="23" t="n">
        <f aca="false">B7-C7</f>
        <v>1030</v>
      </c>
      <c r="E7" s="23" t="n">
        <f aca="false">Assumptions!C44</f>
        <v>0</v>
      </c>
      <c r="F7" s="23" t="n">
        <f aca="false">D7*$C$4+E7</f>
        <v>20600</v>
      </c>
      <c r="G7" s="23" t="n">
        <f aca="false">Assumptions!E44</f>
        <v>120000</v>
      </c>
      <c r="H7" s="25" t="n">
        <f aca="false">G7/F7</f>
        <v>5.8252427184466</v>
      </c>
    </row>
    <row r="8" customFormat="false" ht="15" hidden="false" customHeight="false" outlineLevel="0" collapsed="false">
      <c r="A8" s="2" t="s">
        <v>161</v>
      </c>
      <c r="B8" s="23" t="n">
        <f aca="false">$C$3*Assumptions!B45</f>
        <v>680</v>
      </c>
      <c r="C8" s="23" t="n">
        <f aca="false">Assumptions!D45</f>
        <v>400</v>
      </c>
      <c r="D8" s="23" t="n">
        <f aca="false">B8-C8</f>
        <v>280</v>
      </c>
      <c r="E8" s="23" t="n">
        <f aca="false">Assumptions!C45</f>
        <v>12000</v>
      </c>
      <c r="F8" s="23" t="n">
        <f aca="false">D8*$C$4+E8</f>
        <v>17600</v>
      </c>
      <c r="G8" s="23" t="n">
        <f aca="false">Assumptions!E45</f>
        <v>70000</v>
      </c>
      <c r="H8" s="25" t="n">
        <f aca="false">G8/F8</f>
        <v>3.97727272727273</v>
      </c>
    </row>
    <row r="9" customFormat="false" ht="15" hidden="false" customHeight="false" outlineLevel="0" collapsed="false">
      <c r="A9" s="2" t="s">
        <v>162</v>
      </c>
      <c r="B9" s="23" t="n">
        <f aca="false">$C$3*Assumptions!B46</f>
        <v>1530</v>
      </c>
      <c r="C9" s="23" t="n">
        <f aca="false">Assumptions!D46</f>
        <v>600</v>
      </c>
      <c r="D9" s="23" t="n">
        <f aca="false">B9-C9</f>
        <v>930</v>
      </c>
      <c r="E9" s="23" t="n">
        <f aca="false">Assumptions!C46</f>
        <v>0</v>
      </c>
      <c r="F9" s="23" t="n">
        <f aca="false">D9*$C$4+E9</f>
        <v>18600</v>
      </c>
      <c r="G9" s="23" t="n">
        <f aca="false">Assumptions!E46</f>
        <v>45000</v>
      </c>
      <c r="H9" s="25" t="n">
        <f aca="false">G9/F9</f>
        <v>2.41935483870968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5" t="s">
        <v>163</v>
      </c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 t="s">
        <v>164</v>
      </c>
      <c r="B12" s="23" t="n">
        <f aca="false">Assumptions!C50*Assumptions!B46</f>
        <v>1530</v>
      </c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 t="s">
        <v>165</v>
      </c>
      <c r="B13" s="23" t="n">
        <f aca="false">B12-Assumptions!D46</f>
        <v>930</v>
      </c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 t="s">
        <v>166</v>
      </c>
      <c r="B14" s="13" t="n">
        <f aca="false">70</f>
        <v>70</v>
      </c>
      <c r="C14" s="2" t="s">
        <v>167</v>
      </c>
      <c r="D14" s="2"/>
      <c r="E14" s="2"/>
      <c r="F14" s="2"/>
      <c r="G14" s="2"/>
      <c r="H14" s="2"/>
    </row>
    <row r="15" customFormat="false" ht="15" hidden="false" customHeight="false" outlineLevel="0" collapsed="false">
      <c r="A15" s="2" t="s">
        <v>168</v>
      </c>
      <c r="B15" s="23" t="n">
        <f aca="false">B13*B14</f>
        <v>65100</v>
      </c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 t="s">
        <v>169</v>
      </c>
      <c r="B16" s="23" t="n">
        <f aca="false">Assumptions!C17</f>
        <v>360000</v>
      </c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 t="s">
        <v>170</v>
      </c>
      <c r="B17" s="23" t="n">
        <f aca="false">B15-B16</f>
        <v>-294900</v>
      </c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 t="s">
        <v>171</v>
      </c>
      <c r="B18" s="26" t="n">
        <f aca="false">B16/B13</f>
        <v>387.096774193548</v>
      </c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 t="s">
        <v>172</v>
      </c>
      <c r="B19" s="27" t="n">
        <f aca="false">B18/B14</f>
        <v>5.52995391705069</v>
      </c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23.85" hidden="false" customHeight="false" outlineLevel="0" collapsed="false">
      <c r="A22" s="4" t="s">
        <v>173</v>
      </c>
      <c r="B22" s="4" t="s">
        <v>174</v>
      </c>
      <c r="C22" s="4" t="s">
        <v>175</v>
      </c>
      <c r="D22" s="4" t="s">
        <v>176</v>
      </c>
      <c r="E22" s="4" t="s">
        <v>177</v>
      </c>
      <c r="F22" s="4" t="s">
        <v>178</v>
      </c>
      <c r="G22" s="4" t="s">
        <v>179</v>
      </c>
      <c r="H22" s="2"/>
    </row>
    <row r="23" customFormat="false" ht="15" hidden="false" customHeight="false" outlineLevel="0" collapsed="false">
      <c r="A23" s="2" t="s">
        <v>180</v>
      </c>
      <c r="B23" s="23" t="n">
        <f aca="false">Assumptions!C51</f>
        <v>12000</v>
      </c>
      <c r="C23" s="24" t="n">
        <f aca="false">Assumptions!D51</f>
        <v>24</v>
      </c>
      <c r="D23" s="23" t="n">
        <f aca="false">C23*(B23*Assumptions!B46-Assumptions!D46)</f>
        <v>37440</v>
      </c>
      <c r="E23" s="23" t="n">
        <f aca="false">C23*(B23*Assumptions!B44-Assumptions!D44)</f>
        <v>48240</v>
      </c>
      <c r="F23" s="23" t="n">
        <f aca="false">C23*(B23*Assumptions!B45-Assumptions!D45)+Assumptions!C45</f>
        <v>25440</v>
      </c>
      <c r="G23" s="2" t="str">
        <f aca="false">INDEX($D$22:$F$22,MATCH(MAX(D23:F23),D23:F23,0))</f>
        <v>Assured (28%)</v>
      </c>
      <c r="H23" s="2"/>
    </row>
    <row r="24" customFormat="false" ht="15" hidden="false" customHeight="false" outlineLevel="0" collapsed="false">
      <c r="A24" s="2" t="s">
        <v>181</v>
      </c>
      <c r="B24" s="23" t="n">
        <f aca="false">Assumptions!C52</f>
        <v>6500</v>
      </c>
      <c r="C24" s="24" t="n">
        <f aca="false">Assumptions!D52</f>
        <v>30</v>
      </c>
      <c r="D24" s="23" t="n">
        <f aca="false">C24*(B24*Assumptions!B46-Assumptions!D46)</f>
        <v>17100</v>
      </c>
      <c r="E24" s="23" t="n">
        <f aca="false">C24*(B24*Assumptions!B44-Assumptions!D44)</f>
        <v>14100</v>
      </c>
      <c r="F24" s="23" t="n">
        <f aca="false">C24*(B24*Assumptions!B45-Assumptions!D45)+Assumptions!C45</f>
        <v>15600</v>
      </c>
      <c r="G24" s="2" t="str">
        <f aca="false">INDEX($D$22:$F$22,MATCH(MAX(D24:F24),D24:F24,0))</f>
        <v>Verified (18%)</v>
      </c>
      <c r="H24" s="2"/>
    </row>
    <row r="25" customFormat="false" ht="15" hidden="false" customHeight="false" outlineLevel="0" collapsed="false">
      <c r="A25" s="2" t="s">
        <v>182</v>
      </c>
      <c r="B25" s="23" t="n">
        <f aca="false">Assumptions!C53</f>
        <v>8000</v>
      </c>
      <c r="C25" s="24" t="n">
        <f aca="false">Assumptions!D53</f>
        <v>26</v>
      </c>
      <c r="D25" s="23" t="n">
        <f aca="false">C25*(B25*Assumptions!B46-Assumptions!D46)</f>
        <v>21840</v>
      </c>
      <c r="E25" s="23" t="n">
        <f aca="false">C25*(B25*Assumptions!B44-Assumptions!D44)</f>
        <v>23140</v>
      </c>
      <c r="F25" s="23" t="n">
        <f aca="false">C25*(B25*Assumptions!B45-Assumptions!D45)+Assumptions!C45</f>
        <v>18240</v>
      </c>
      <c r="G25" s="2" t="str">
        <f aca="false">INDEX($D$22:$F$22,MATCH(MAX(D25:F25),D25:F25,0))</f>
        <v>Assured (28%)</v>
      </c>
      <c r="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3" t="s">
        <v>183</v>
      </c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5" t="s">
        <v>184</v>
      </c>
      <c r="B29" s="24" t="n">
        <f aca="false">Assumptions!C45/((B24*Assumptions!B46-Assumptions!D46)-(B24*Assumptions!B45-Assumptions!D45))</f>
        <v>26.6666666666667</v>
      </c>
      <c r="C29" s="28" t="n">
        <f aca="false">B29/C24</f>
        <v>0.888888888888889</v>
      </c>
      <c r="D29" s="2" t="s">
        <v>185</v>
      </c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5" t="s">
        <v>186</v>
      </c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 t="s">
        <v>187</v>
      </c>
      <c r="B32" s="23" t="n">
        <f aca="false">Assumptions!C10*Assumptions!C50*(1-Assumptions!B46)</f>
        <v>121975</v>
      </c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 t="s">
        <v>188</v>
      </c>
      <c r="B33" s="23" t="n">
        <f aca="false">Assumptions!C11*Assumptions!C50*(1-Assumptions!B44+Assumptions!C26*Assumptions!C27*(1-Assumptions!C28))</f>
        <v>128775</v>
      </c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 t="s">
        <v>189</v>
      </c>
      <c r="B34" s="28" t="n">
        <f aca="false">B33/B32-1</f>
        <v>0.0557491289198604</v>
      </c>
      <c r="C34" s="2"/>
      <c r="D34" s="2"/>
      <c r="E34" s="2"/>
      <c r="F34" s="2"/>
      <c r="G34" s="2"/>
      <c r="H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5" topLeftCell="H46" activePane="bottomRight" state="frozen"/>
      <selection pane="topLeft" activeCell="A1" activeCellId="0" sqref="A1"/>
      <selection pane="topRight" activeCell="H1" activeCellId="0" sqref="H1"/>
      <selection pane="bottomLeft" activeCell="A46" activeCellId="0" sqref="A4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25" min="3" style="0" width="12"/>
  </cols>
  <sheetData>
    <row r="1" customFormat="false" ht="17.35" hidden="false" customHeight="false" outlineLevel="0" collapsed="false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192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" hidden="false" customHeight="false" outlineLevel="0" collapsed="false">
      <c r="A5" s="5" t="s">
        <v>10</v>
      </c>
      <c r="B5" s="29" t="str">
        <f aca="false">Assumptions!B5</f>
        <v>Capture of Exhibit 2 mature volume</v>
      </c>
      <c r="C5" s="30" t="n">
        <f aca="false">Assumptions!C5</f>
        <v>0.85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" hidden="false" customHeight="false" outlineLevel="0" collapsed="false">
      <c r="A6" s="5" t="s">
        <v>14</v>
      </c>
      <c r="B6" s="29" t="str">
        <f aca="false">Assumptions!B6</f>
        <v>Ramp: share of mature volume, live month 1</v>
      </c>
      <c r="C6" s="30" t="n">
        <f aca="false">Assumptions!C6</f>
        <v>0.3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" hidden="false" customHeight="false" outlineLevel="0" collapsed="false">
      <c r="A7" s="5" t="s">
        <v>17</v>
      </c>
      <c r="B7" s="29" t="str">
        <f aca="false">Assumptions!B7</f>
        <v>Ramp: live month 2</v>
      </c>
      <c r="C7" s="30" t="n">
        <f aca="false">Assumptions!C7</f>
        <v>0.6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" hidden="false" customHeight="false" outlineLevel="0" collapsed="false">
      <c r="A8" s="5" t="s">
        <v>20</v>
      </c>
      <c r="B8" s="29" t="str">
        <f aca="false">Assumptions!B8</f>
        <v>Ramp: live month 3</v>
      </c>
      <c r="C8" s="30" t="n">
        <f aca="false">Assumptions!C8</f>
        <v>0.85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5" hidden="false" customHeight="false" outlineLevel="0" collapsed="false">
      <c r="A9" s="5" t="s">
        <v>22</v>
      </c>
      <c r="B9" s="29" t="str">
        <f aca="false">Assumptions!B9</f>
        <v>Ramp: live month 4+</v>
      </c>
      <c r="C9" s="30" t="n">
        <f aca="false">Assumptions!C9</f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15" hidden="false" customHeight="false" outlineLevel="0" collapsed="false">
      <c r="A10" s="5" t="s">
        <v>24</v>
      </c>
      <c r="B10" s="29" t="str">
        <f aca="false">Assumptions!B10</f>
        <v>Pilot host bookings/month today</v>
      </c>
      <c r="C10" s="31" t="n">
        <f aca="false">Assumptions!C10</f>
        <v>17.5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" hidden="false" customHeight="false" outlineLevel="0" collapsed="false">
      <c r="A11" s="5" t="s">
        <v>28</v>
      </c>
      <c r="B11" s="29" t="str">
        <f aca="false">Assumptions!B11</f>
        <v>Pilot host bookings/month after Assured conversion</v>
      </c>
      <c r="C11" s="31" t="n">
        <f aca="false">Assumptions!C11</f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" hidden="false" customHeight="false" outlineLevel="0" collapsed="false">
      <c r="A12" s="5" t="s">
        <v>31</v>
      </c>
      <c r="B12" s="29" t="str">
        <f aca="false">Assumptions!B12</f>
        <v>Months for pilot hosts to reach target</v>
      </c>
      <c r="C12" s="32" t="n">
        <f aca="false">Assumptions!C12</f>
        <v>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" hidden="false" customHeight="false" outlineLevel="0" collapsed="false">
      <c r="A13" s="5" t="s">
        <v>34</v>
      </c>
      <c r="B13" s="29" t="str">
        <f aca="false">Assumptions!B13</f>
        <v>Average booking value multiplier</v>
      </c>
      <c r="C13" s="33" t="n">
        <f aca="false">Assumptions!C13</f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5" hidden="false" customHeight="false" outlineLevel="0" collapsed="false">
      <c r="A14" s="5" t="s">
        <v>38</v>
      </c>
      <c r="B14" s="29" t="str">
        <f aca="false">Assumptions!B14</f>
        <v>Bookings lost to cancellation (beyond tier on-time)</v>
      </c>
      <c r="C14" s="30" t="n">
        <f aca="false">Assumptions!C14</f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" hidden="false" customHeight="false" outlineLevel="0" collapsed="false">
      <c r="A15" s="5" t="s">
        <v>41</v>
      </c>
      <c r="B15" s="29" t="str">
        <f aca="false">Assumptions!B15</f>
        <v>Onboarding delay for new hosts</v>
      </c>
      <c r="C15" s="32" t="n">
        <f aca="false">Assumptions!C15</f>
        <v>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5" hidden="false" customHeight="false" outlineLevel="0" collapsed="false">
      <c r="A16" s="5" t="s">
        <v>44</v>
      </c>
      <c r="B16" s="29" t="str">
        <f aca="false">Assumptions!B16</f>
        <v>Fixed cost multiplier</v>
      </c>
      <c r="C16" s="33" t="n">
        <f aca="false">Assumptions!C16</f>
        <v>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5" hidden="false" customHeight="false" outlineLevel="0" collapsed="false">
      <c r="A17" s="5" t="s">
        <v>47</v>
      </c>
      <c r="B17" s="29" t="str">
        <f aca="false">Assumptions!B17</f>
        <v>Current fixed operating cost / month</v>
      </c>
      <c r="C17" s="34" t="n">
        <f aca="false">Assumptions!C17</f>
        <v>360000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5" hidden="false" customHeight="false" outlineLevel="0" collapsed="false">
      <c r="A18" s="5" t="s">
        <v>51</v>
      </c>
      <c r="B18" s="29" t="str">
        <f aca="false">Assumptions!B18</f>
        <v>Central trust &amp; quality lead (from month below)</v>
      </c>
      <c r="C18" s="34" t="n">
        <f aca="false">Assumptions!C18</f>
        <v>40000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5" hidden="false" customHeight="false" outlineLevel="0" collapsed="false">
      <c r="A19" s="5" t="s">
        <v>55</v>
      </c>
      <c r="B19" s="29" t="str">
        <f aca="false">Assumptions!B19</f>
        <v>Month central hire starts</v>
      </c>
      <c r="C19" s="32" t="n">
        <f aca="false">Assumptions!C19</f>
        <v>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5" hidden="false" customHeight="false" outlineLevel="0" collapsed="false">
      <c r="A20" s="5" t="s">
        <v>58</v>
      </c>
      <c r="B20" s="29" t="str">
        <f aca="false">Assumptions!B20</f>
        <v>Fixed cost per new city (city partner manager + local ops)</v>
      </c>
      <c r="C20" s="34" t="n">
        <f aca="false">Assumptions!C20</f>
        <v>50000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5" hidden="false" customHeight="false" outlineLevel="0" collapsed="false">
      <c r="A21" s="5" t="s">
        <v>61</v>
      </c>
      <c r="B21" s="29" t="str">
        <f aca="false">Assumptions!B21</f>
        <v>City 2 (Cluster A) cost starts</v>
      </c>
      <c r="C21" s="32" t="n">
        <f aca="false">Assumptions!C21</f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5" hidden="false" customHeight="false" outlineLevel="0" collapsed="false">
      <c r="A22" s="5" t="s">
        <v>64</v>
      </c>
      <c r="B22" s="29" t="str">
        <f aca="false">Assumptions!B22</f>
        <v>City 3 (Cluster C) cost starts</v>
      </c>
      <c r="C22" s="32" t="n">
        <f aca="false">Assumptions!C22</f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5" hidden="false" customHeight="false" outlineLevel="0" collapsed="false">
      <c r="A23" s="5" t="s">
        <v>66</v>
      </c>
      <c r="B23" s="29" t="str">
        <f aca="false">Assumptions!B23</f>
        <v>City 4 (Cluster B) cost starts</v>
      </c>
      <c r="C23" s="32" t="n">
        <f aca="false">Assumptions!C23</f>
        <v>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5" hidden="false" customHeight="false" outlineLevel="0" collapsed="false">
      <c r="A24" s="5" t="s">
        <v>68</v>
      </c>
      <c r="B24" s="29" t="str">
        <f aca="false">Assumptions!B24</f>
        <v>Assured variable cost after learning</v>
      </c>
      <c r="C24" s="34" t="n">
        <f aca="false">Assumptions!C24</f>
        <v>1200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15" hidden="false" customHeight="false" outlineLevel="0" collapsed="false">
      <c r="A25" s="5" t="s">
        <v>72</v>
      </c>
      <c r="B25" s="29" t="str">
        <f aca="false">Assumptions!B25</f>
        <v>Month learning applies from</v>
      </c>
      <c r="C25" s="32" t="n">
        <f aca="false">Assumptions!C25</f>
        <v>10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5" hidden="false" customHeight="false" outlineLevel="0" collapsed="false">
      <c r="A26" s="5" t="s">
        <v>74</v>
      </c>
      <c r="B26" s="29" t="str">
        <f aca="false">Assumptions!B26</f>
        <v>Priority SLA: share of Assured bookings</v>
      </c>
      <c r="C26" s="30" t="n">
        <f aca="false">Assumptions!C26</f>
        <v>0.15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5" hidden="false" customHeight="false" outlineLevel="0" collapsed="false">
      <c r="A27" s="5" t="s">
        <v>77</v>
      </c>
      <c r="B27" s="29" t="str">
        <f aca="false">Assumptions!B27</f>
        <v>Priority SLA: price uplift</v>
      </c>
      <c r="C27" s="30" t="n">
        <f aca="false">Assumptions!C27</f>
        <v>0.5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5" hidden="false" customHeight="false" outlineLevel="0" collapsed="false">
      <c r="A28" s="5" t="s">
        <v>80</v>
      </c>
      <c r="B28" s="29" t="str">
        <f aca="false">Assumptions!B28</f>
        <v>Priority SLA: share of uplift OpenBench keeps</v>
      </c>
      <c r="C28" s="30" t="n">
        <f aca="false">Assumptions!C28</f>
        <v>0.5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5" hidden="false" customHeight="false" outlineLevel="0" collapsed="false">
      <c r="A29" s="5" t="s">
        <v>83</v>
      </c>
      <c r="B29" s="29" t="str">
        <f aca="false">Assumptions!B29</f>
        <v>Months to roll out trust layer (on-time reaches tier level)</v>
      </c>
      <c r="C29" s="32" t="n">
        <f aca="false">Assumptions!C29</f>
        <v>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5" hidden="false" customHeight="false" outlineLevel="0" collapsed="false">
      <c r="A30" s="5" t="s">
        <v>85</v>
      </c>
      <c r="B30" s="29" t="str">
        <f aca="false">Assumptions!B30</f>
        <v>Starting on-time rate</v>
      </c>
      <c r="C30" s="30" t="n">
        <f aca="false">Assumptions!C30</f>
        <v>0.78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" hidden="false" customHeight="false" outlineLevel="0" collapsed="false">
      <c r="A31" s="5" t="s">
        <v>87</v>
      </c>
      <c r="B31" s="29" t="str">
        <f aca="false">Assumptions!B31</f>
        <v>Repeat-rate elasticity to on-time (1-quarter lag)</v>
      </c>
      <c r="C31" s="33" t="n">
        <f aca="false">Assumptions!C31</f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" hidden="false" customHeight="false" outlineLevel="0" collapsed="false">
      <c r="A32" s="5" t="s">
        <v>90</v>
      </c>
      <c r="B32" s="29" t="str">
        <f aca="false">Assumptions!B32</f>
        <v>Starting 90-day repeat rate</v>
      </c>
      <c r="C32" s="30" t="n">
        <f aca="false">Assumptions!C32</f>
        <v>0.42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" hidden="false" customHeight="false" outlineLevel="0" collapsed="false">
      <c r="A33" s="5" t="s">
        <v>92</v>
      </c>
      <c r="B33" s="29" t="str">
        <f aca="false">Assumptions!B33</f>
        <v>Investor capital</v>
      </c>
      <c r="C33" s="34" t="n">
        <f aca="false">Assumptions!C33</f>
        <v>12000000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" hidden="false" customHeight="false" outlineLevel="0" collapsed="false">
      <c r="A34" s="5" t="s">
        <v>95</v>
      </c>
      <c r="B34" s="29" t="str">
        <f aca="false">Assumptions!B34</f>
        <v>Pilot conversion cost (share of Assured onboarding)</v>
      </c>
      <c r="C34" s="30" t="n">
        <f aca="false">Assumptions!C34</f>
        <v>0.5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5" hidden="false" customHeight="false" outlineLevel="0" collapsed="false">
      <c r="A35" s="5" t="s">
        <v>98</v>
      </c>
      <c r="B35" s="29" t="str">
        <f aca="false">Assumptions!B35</f>
        <v>Customer-acquisition cost per paid-acquired customer organisation</v>
      </c>
      <c r="C35" s="34" t="n">
        <f aca="false">Assumptions!C35</f>
        <v>1500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5" hidden="false" customHeight="false" outlineLevel="0" collapsed="false">
      <c r="A36" s="5" t="s">
        <v>101</v>
      </c>
      <c r="B36" s="29" t="str">
        <f aca="false">Assumptions!B36</f>
        <v>New customer organisations per booking at pilot repeat</v>
      </c>
      <c r="C36" s="31" t="n">
        <f aca="false">Assumptions!C36</f>
        <v>0.405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5" hidden="false" customHeight="false" outlineLevel="0" collapsed="false">
      <c r="A37" s="5" t="s">
        <v>104</v>
      </c>
      <c r="B37" s="29" t="str">
        <f aca="false">Assumptions!B37</f>
        <v>Share of new customers won through free channels</v>
      </c>
      <c r="C37" s="30" t="n">
        <f aca="false">Assumptions!C37</f>
        <v>0.8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5" hidden="false" customHeight="false" outlineLevel="0" collapsed="false">
      <c r="A38" s="5" t="s">
        <v>107</v>
      </c>
      <c r="B38" s="29" t="str">
        <f aca="false">Assumptions!B38</f>
        <v>Onboarding funnel: contact → meeting</v>
      </c>
      <c r="C38" s="30" t="n">
        <f aca="false">Assumptions!C38</f>
        <v>0.3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5" hidden="false" customHeight="false" outlineLevel="0" collapsed="false">
      <c r="A39" s="5" t="s">
        <v>109</v>
      </c>
      <c r="B39" s="29" t="str">
        <f aca="false">Assumptions!B39</f>
        <v>Skip Cluster B Verified labs (1 = yes)</v>
      </c>
      <c r="C39" s="32" t="n">
        <f aca="false">Assumptions!C39</f>
        <v>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5" hidden="false" customHeight="false" outlineLevel="0" collapsed="false">
      <c r="A40" s="5" t="s">
        <v>113</v>
      </c>
      <c r="B40" s="29" t="str">
        <f aca="false">Assumptions!B40</f>
        <v>City-4 (Cluster B) cost removed from month</v>
      </c>
      <c r="C40" s="32" t="n">
        <f aca="false">Assumptions!C40</f>
        <v>99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5" hidden="false" customHeight="false" outlineLevel="0" collapsed="false">
      <c r="A45" s="5" t="s">
        <v>193</v>
      </c>
      <c r="B45" s="2"/>
      <c r="C45" s="2"/>
      <c r="D45" s="2"/>
      <c r="E45" s="2"/>
      <c r="F45" s="2"/>
      <c r="G45" s="2"/>
      <c r="H45" s="35" t="n">
        <v>1</v>
      </c>
      <c r="I45" s="35" t="n">
        <v>2</v>
      </c>
      <c r="J45" s="35" t="n">
        <v>3</v>
      </c>
      <c r="K45" s="35" t="n">
        <v>4</v>
      </c>
      <c r="L45" s="35" t="n">
        <v>5</v>
      </c>
      <c r="M45" s="35" t="n">
        <v>6</v>
      </c>
      <c r="N45" s="35" t="n">
        <v>7</v>
      </c>
      <c r="O45" s="35" t="n">
        <v>8</v>
      </c>
      <c r="P45" s="35" t="n">
        <v>9</v>
      </c>
      <c r="Q45" s="35" t="n">
        <v>10</v>
      </c>
      <c r="R45" s="35" t="n">
        <v>11</v>
      </c>
      <c r="S45" s="35" t="n">
        <v>12</v>
      </c>
      <c r="T45" s="35" t="n">
        <v>13</v>
      </c>
      <c r="U45" s="35" t="n">
        <v>14</v>
      </c>
      <c r="V45" s="35" t="n">
        <v>15</v>
      </c>
      <c r="W45" s="35" t="n">
        <v>16</v>
      </c>
      <c r="X45" s="35" t="n">
        <v>17</v>
      </c>
      <c r="Y45" s="35" t="n">
        <v>18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3.85" hidden="false" customHeight="false" outlineLevel="0" collapsed="false">
      <c r="A47" s="4" t="s">
        <v>194</v>
      </c>
      <c r="B47" s="4" t="s">
        <v>131</v>
      </c>
      <c r="C47" s="4" t="s">
        <v>117</v>
      </c>
      <c r="D47" s="4" t="s">
        <v>195</v>
      </c>
      <c r="E47" s="4" t="s">
        <v>196</v>
      </c>
      <c r="F47" s="4" t="s">
        <v>197</v>
      </c>
      <c r="G47" s="4" t="s">
        <v>198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customFormat="false" ht="15" hidden="false" customHeight="false" outlineLevel="0" collapsed="false">
      <c r="A48" s="29" t="n">
        <f aca="false">Assumptions!A57</f>
        <v>1</v>
      </c>
      <c r="B48" s="29" t="str">
        <f aca="false">Assumptions!B57</f>
        <v>Pilot</v>
      </c>
      <c r="C48" s="29" t="str">
        <f aca="false">Assumptions!C57</f>
        <v>Assured</v>
      </c>
      <c r="D48" s="34" t="n">
        <f aca="false">Assumptions!D57</f>
        <v>8500</v>
      </c>
      <c r="E48" s="31" t="n">
        <f aca="false">Assumptions!E57</f>
        <v>20</v>
      </c>
      <c r="F48" s="29" t="n">
        <f aca="false">Assumptions!G57</f>
        <v>1</v>
      </c>
      <c r="G48" s="2" t="n">
        <f aca="false">Assumptions!F57+IF(F48=1,0,$C$15)</f>
        <v>1</v>
      </c>
      <c r="H48" s="24" t="n">
        <f aca="false">IF(H$45&lt;$G48,0,IF($F48=1,$C$10+($C$11-$C$10)*MIN(H$45-$G48,$C$12)/$C$12,$E48*$C$5*INDEX($C$6:$C$9,MIN(H$45-$G48,3)+1)))*(1-$C$14)*IF(AND($C48="Verified",$C$39=1),0,1)</f>
        <v>17.5</v>
      </c>
      <c r="I48" s="24" t="n">
        <f aca="false">IF(I$45&lt;$G48,0,IF($F48=1,$C$10+($C$11-$C$10)*MIN(I$45-$G48,$C$12)/$C$12,$E48*$C$5*INDEX($C$6:$C$9,MIN(I$45-$G48,3)+1)))*(1-$C$14)*IF(AND($C48="Verified",$C$39=1),0,1)</f>
        <v>18.3333333333333</v>
      </c>
      <c r="J48" s="24" t="n">
        <f aca="false">IF(J$45&lt;$G48,0,IF($F48=1,$C$10+($C$11-$C$10)*MIN(J$45-$G48,$C$12)/$C$12,$E48*$C$5*INDEX($C$6:$C$9,MIN(J$45-$G48,3)+1)))*(1-$C$14)*IF(AND($C48="Verified",$C$39=1),0,1)</f>
        <v>19.1666666666667</v>
      </c>
      <c r="K48" s="24" t="n">
        <f aca="false">IF(K$45&lt;$G48,0,IF($F48=1,$C$10+($C$11-$C$10)*MIN(K$45-$G48,$C$12)/$C$12,$E48*$C$5*INDEX($C$6:$C$9,MIN(K$45-$G48,3)+1)))*(1-$C$14)*IF(AND($C48="Verified",$C$39=1),0,1)</f>
        <v>20</v>
      </c>
      <c r="L48" s="24" t="n">
        <f aca="false">IF(L$45&lt;$G48,0,IF($F48=1,$C$10+($C$11-$C$10)*MIN(L$45-$G48,$C$12)/$C$12,$E48*$C$5*INDEX($C$6:$C$9,MIN(L$45-$G48,3)+1)))*(1-$C$14)*IF(AND($C48="Verified",$C$39=1),0,1)</f>
        <v>20</v>
      </c>
      <c r="M48" s="24" t="n">
        <f aca="false">IF(M$45&lt;$G48,0,IF($F48=1,$C$10+($C$11-$C$10)*MIN(M$45-$G48,$C$12)/$C$12,$E48*$C$5*INDEX($C$6:$C$9,MIN(M$45-$G48,3)+1)))*(1-$C$14)*IF(AND($C48="Verified",$C$39=1),0,1)</f>
        <v>20</v>
      </c>
      <c r="N48" s="24" t="n">
        <f aca="false">IF(N$45&lt;$G48,0,IF($F48=1,$C$10+($C$11-$C$10)*MIN(N$45-$G48,$C$12)/$C$12,$E48*$C$5*INDEX($C$6:$C$9,MIN(N$45-$G48,3)+1)))*(1-$C$14)*IF(AND($C48="Verified",$C$39=1),0,1)</f>
        <v>20</v>
      </c>
      <c r="O48" s="24" t="n">
        <f aca="false">IF(O$45&lt;$G48,0,IF($F48=1,$C$10+($C$11-$C$10)*MIN(O$45-$G48,$C$12)/$C$12,$E48*$C$5*INDEX($C$6:$C$9,MIN(O$45-$G48,3)+1)))*(1-$C$14)*IF(AND($C48="Verified",$C$39=1),0,1)</f>
        <v>20</v>
      </c>
      <c r="P48" s="24" t="n">
        <f aca="false">IF(P$45&lt;$G48,0,IF($F48=1,$C$10+($C$11-$C$10)*MIN(P$45-$G48,$C$12)/$C$12,$E48*$C$5*INDEX($C$6:$C$9,MIN(P$45-$G48,3)+1)))*(1-$C$14)*IF(AND($C48="Verified",$C$39=1),0,1)</f>
        <v>20</v>
      </c>
      <c r="Q48" s="24" t="n">
        <f aca="false">IF(Q$45&lt;$G48,0,IF($F48=1,$C$10+($C$11-$C$10)*MIN(Q$45-$G48,$C$12)/$C$12,$E48*$C$5*INDEX($C$6:$C$9,MIN(Q$45-$G48,3)+1)))*(1-$C$14)*IF(AND($C48="Verified",$C$39=1),0,1)</f>
        <v>20</v>
      </c>
      <c r="R48" s="24" t="n">
        <f aca="false">IF(R$45&lt;$G48,0,IF($F48=1,$C$10+($C$11-$C$10)*MIN(R$45-$G48,$C$12)/$C$12,$E48*$C$5*INDEX($C$6:$C$9,MIN(R$45-$G48,3)+1)))*(1-$C$14)*IF(AND($C48="Verified",$C$39=1),0,1)</f>
        <v>20</v>
      </c>
      <c r="S48" s="24" t="n">
        <f aca="false">IF(S$45&lt;$G48,0,IF($F48=1,$C$10+($C$11-$C$10)*MIN(S$45-$G48,$C$12)/$C$12,$E48*$C$5*INDEX($C$6:$C$9,MIN(S$45-$G48,3)+1)))*(1-$C$14)*IF(AND($C48="Verified",$C$39=1),0,1)</f>
        <v>20</v>
      </c>
      <c r="T48" s="24" t="n">
        <f aca="false">IF(T$45&lt;$G48,0,IF($F48=1,$C$10+($C$11-$C$10)*MIN(T$45-$G48,$C$12)/$C$12,$E48*$C$5*INDEX($C$6:$C$9,MIN(T$45-$G48,3)+1)))*(1-$C$14)*IF(AND($C48="Verified",$C$39=1),0,1)</f>
        <v>20</v>
      </c>
      <c r="U48" s="24" t="n">
        <f aca="false">IF(U$45&lt;$G48,0,IF($F48=1,$C$10+($C$11-$C$10)*MIN(U$45-$G48,$C$12)/$C$12,$E48*$C$5*INDEX($C$6:$C$9,MIN(U$45-$G48,3)+1)))*(1-$C$14)*IF(AND($C48="Verified",$C$39=1),0,1)</f>
        <v>20</v>
      </c>
      <c r="V48" s="24" t="n">
        <f aca="false">IF(V$45&lt;$G48,0,IF($F48=1,$C$10+($C$11-$C$10)*MIN(V$45-$G48,$C$12)/$C$12,$E48*$C$5*INDEX($C$6:$C$9,MIN(V$45-$G48,3)+1)))*(1-$C$14)*IF(AND($C48="Verified",$C$39=1),0,1)</f>
        <v>20</v>
      </c>
      <c r="W48" s="24" t="n">
        <f aca="false">IF(W$45&lt;$G48,0,IF($F48=1,$C$10+($C$11-$C$10)*MIN(W$45-$G48,$C$12)/$C$12,$E48*$C$5*INDEX($C$6:$C$9,MIN(W$45-$G48,3)+1)))*(1-$C$14)*IF(AND($C48="Verified",$C$39=1),0,1)</f>
        <v>20</v>
      </c>
      <c r="X48" s="24" t="n">
        <f aca="false">IF(X$45&lt;$G48,0,IF($F48=1,$C$10+($C$11-$C$10)*MIN(X$45-$G48,$C$12)/$C$12,$E48*$C$5*INDEX($C$6:$C$9,MIN(X$45-$G48,3)+1)))*(1-$C$14)*IF(AND($C48="Verified",$C$39=1),0,1)</f>
        <v>20</v>
      </c>
      <c r="Y48" s="24" t="n">
        <f aca="false">IF(Y$45&lt;$G48,0,IF($F48=1,$C$10+($C$11-$C$10)*MIN(Y$45-$G48,$C$12)/$C$12,$E48*$C$5*INDEX($C$6:$C$9,MIN(Y$45-$G48,3)+1)))*(1-$C$14)*IF(AND($C48="Verified",$C$39=1),0,1)</f>
        <v>20</v>
      </c>
    </row>
    <row r="49" customFormat="false" ht="15" hidden="false" customHeight="false" outlineLevel="0" collapsed="false">
      <c r="A49" s="29" t="n">
        <f aca="false">Assumptions!A58</f>
        <v>2</v>
      </c>
      <c r="B49" s="29" t="str">
        <f aca="false">Assumptions!B58</f>
        <v>Pilot</v>
      </c>
      <c r="C49" s="29" t="str">
        <f aca="false">Assumptions!C58</f>
        <v>Assured</v>
      </c>
      <c r="D49" s="34" t="n">
        <f aca="false">Assumptions!D58</f>
        <v>8500</v>
      </c>
      <c r="E49" s="31" t="n">
        <f aca="false">Assumptions!E58</f>
        <v>20</v>
      </c>
      <c r="F49" s="29" t="n">
        <f aca="false">Assumptions!G58</f>
        <v>1</v>
      </c>
      <c r="G49" s="2" t="n">
        <f aca="false">Assumptions!F58+IF(F49=1,0,$C$15)</f>
        <v>1</v>
      </c>
      <c r="H49" s="24" t="n">
        <f aca="false">IF(H$45&lt;$G49,0,IF($F49=1,$C$10+($C$11-$C$10)*MIN(H$45-$G49,$C$12)/$C$12,$E49*$C$5*INDEX($C$6:$C$9,MIN(H$45-$G49,3)+1)))*(1-$C$14)*IF(AND($C49="Verified",$C$39=1),0,1)</f>
        <v>17.5</v>
      </c>
      <c r="I49" s="24" t="n">
        <f aca="false">IF(I$45&lt;$G49,0,IF($F49=1,$C$10+($C$11-$C$10)*MIN(I$45-$G49,$C$12)/$C$12,$E49*$C$5*INDEX($C$6:$C$9,MIN(I$45-$G49,3)+1)))*(1-$C$14)*IF(AND($C49="Verified",$C$39=1),0,1)</f>
        <v>18.3333333333333</v>
      </c>
      <c r="J49" s="24" t="n">
        <f aca="false">IF(J$45&lt;$G49,0,IF($F49=1,$C$10+($C$11-$C$10)*MIN(J$45-$G49,$C$12)/$C$12,$E49*$C$5*INDEX($C$6:$C$9,MIN(J$45-$G49,3)+1)))*(1-$C$14)*IF(AND($C49="Verified",$C$39=1),0,1)</f>
        <v>19.1666666666667</v>
      </c>
      <c r="K49" s="24" t="n">
        <f aca="false">IF(K$45&lt;$G49,0,IF($F49=1,$C$10+($C$11-$C$10)*MIN(K$45-$G49,$C$12)/$C$12,$E49*$C$5*INDEX($C$6:$C$9,MIN(K$45-$G49,3)+1)))*(1-$C$14)*IF(AND($C49="Verified",$C$39=1),0,1)</f>
        <v>20</v>
      </c>
      <c r="L49" s="24" t="n">
        <f aca="false">IF(L$45&lt;$G49,0,IF($F49=1,$C$10+($C$11-$C$10)*MIN(L$45-$G49,$C$12)/$C$12,$E49*$C$5*INDEX($C$6:$C$9,MIN(L$45-$G49,3)+1)))*(1-$C$14)*IF(AND($C49="Verified",$C$39=1),0,1)</f>
        <v>20</v>
      </c>
      <c r="M49" s="24" t="n">
        <f aca="false">IF(M$45&lt;$G49,0,IF($F49=1,$C$10+($C$11-$C$10)*MIN(M$45-$G49,$C$12)/$C$12,$E49*$C$5*INDEX($C$6:$C$9,MIN(M$45-$G49,3)+1)))*(1-$C$14)*IF(AND($C49="Verified",$C$39=1),0,1)</f>
        <v>20</v>
      </c>
      <c r="N49" s="24" t="n">
        <f aca="false">IF(N$45&lt;$G49,0,IF($F49=1,$C$10+($C$11-$C$10)*MIN(N$45-$G49,$C$12)/$C$12,$E49*$C$5*INDEX($C$6:$C$9,MIN(N$45-$G49,3)+1)))*(1-$C$14)*IF(AND($C49="Verified",$C$39=1),0,1)</f>
        <v>20</v>
      </c>
      <c r="O49" s="24" t="n">
        <f aca="false">IF(O$45&lt;$G49,0,IF($F49=1,$C$10+($C$11-$C$10)*MIN(O$45-$G49,$C$12)/$C$12,$E49*$C$5*INDEX($C$6:$C$9,MIN(O$45-$G49,3)+1)))*(1-$C$14)*IF(AND($C49="Verified",$C$39=1),0,1)</f>
        <v>20</v>
      </c>
      <c r="P49" s="24" t="n">
        <f aca="false">IF(P$45&lt;$G49,0,IF($F49=1,$C$10+($C$11-$C$10)*MIN(P$45-$G49,$C$12)/$C$12,$E49*$C$5*INDEX($C$6:$C$9,MIN(P$45-$G49,3)+1)))*(1-$C$14)*IF(AND($C49="Verified",$C$39=1),0,1)</f>
        <v>20</v>
      </c>
      <c r="Q49" s="24" t="n">
        <f aca="false">IF(Q$45&lt;$G49,0,IF($F49=1,$C$10+($C$11-$C$10)*MIN(Q$45-$G49,$C$12)/$C$12,$E49*$C$5*INDEX($C$6:$C$9,MIN(Q$45-$G49,3)+1)))*(1-$C$14)*IF(AND($C49="Verified",$C$39=1),0,1)</f>
        <v>20</v>
      </c>
      <c r="R49" s="24" t="n">
        <f aca="false">IF(R$45&lt;$G49,0,IF($F49=1,$C$10+($C$11-$C$10)*MIN(R$45-$G49,$C$12)/$C$12,$E49*$C$5*INDEX($C$6:$C$9,MIN(R$45-$G49,3)+1)))*(1-$C$14)*IF(AND($C49="Verified",$C$39=1),0,1)</f>
        <v>20</v>
      </c>
      <c r="S49" s="24" t="n">
        <f aca="false">IF(S$45&lt;$G49,0,IF($F49=1,$C$10+($C$11-$C$10)*MIN(S$45-$G49,$C$12)/$C$12,$E49*$C$5*INDEX($C$6:$C$9,MIN(S$45-$G49,3)+1)))*(1-$C$14)*IF(AND($C49="Verified",$C$39=1),0,1)</f>
        <v>20</v>
      </c>
      <c r="T49" s="24" t="n">
        <f aca="false">IF(T$45&lt;$G49,0,IF($F49=1,$C$10+($C$11-$C$10)*MIN(T$45-$G49,$C$12)/$C$12,$E49*$C$5*INDEX($C$6:$C$9,MIN(T$45-$G49,3)+1)))*(1-$C$14)*IF(AND($C49="Verified",$C$39=1),0,1)</f>
        <v>20</v>
      </c>
      <c r="U49" s="24" t="n">
        <f aca="false">IF(U$45&lt;$G49,0,IF($F49=1,$C$10+($C$11-$C$10)*MIN(U$45-$G49,$C$12)/$C$12,$E49*$C$5*INDEX($C$6:$C$9,MIN(U$45-$G49,3)+1)))*(1-$C$14)*IF(AND($C49="Verified",$C$39=1),0,1)</f>
        <v>20</v>
      </c>
      <c r="V49" s="24" t="n">
        <f aca="false">IF(V$45&lt;$G49,0,IF($F49=1,$C$10+($C$11-$C$10)*MIN(V$45-$G49,$C$12)/$C$12,$E49*$C$5*INDEX($C$6:$C$9,MIN(V$45-$G49,3)+1)))*(1-$C$14)*IF(AND($C49="Verified",$C$39=1),0,1)</f>
        <v>20</v>
      </c>
      <c r="W49" s="24" t="n">
        <f aca="false">IF(W$45&lt;$G49,0,IF($F49=1,$C$10+($C$11-$C$10)*MIN(W$45-$G49,$C$12)/$C$12,$E49*$C$5*INDEX($C$6:$C$9,MIN(W$45-$G49,3)+1)))*(1-$C$14)*IF(AND($C49="Verified",$C$39=1),0,1)</f>
        <v>20</v>
      </c>
      <c r="X49" s="24" t="n">
        <f aca="false">IF(X$45&lt;$G49,0,IF($F49=1,$C$10+($C$11-$C$10)*MIN(X$45-$G49,$C$12)/$C$12,$E49*$C$5*INDEX($C$6:$C$9,MIN(X$45-$G49,3)+1)))*(1-$C$14)*IF(AND($C49="Verified",$C$39=1),0,1)</f>
        <v>20</v>
      </c>
      <c r="Y49" s="24" t="n">
        <f aca="false">IF(Y$45&lt;$G49,0,IF($F49=1,$C$10+($C$11-$C$10)*MIN(Y$45-$G49,$C$12)/$C$12,$E49*$C$5*INDEX($C$6:$C$9,MIN(Y$45-$G49,3)+1)))*(1-$C$14)*IF(AND($C49="Verified",$C$39=1),0,1)</f>
        <v>20</v>
      </c>
    </row>
    <row r="50" customFormat="false" ht="15" hidden="false" customHeight="false" outlineLevel="0" collapsed="false">
      <c r="A50" s="29" t="n">
        <f aca="false">Assumptions!A59</f>
        <v>3</v>
      </c>
      <c r="B50" s="29" t="str">
        <f aca="false">Assumptions!B59</f>
        <v>Pilot</v>
      </c>
      <c r="C50" s="29" t="str">
        <f aca="false">Assumptions!C59</f>
        <v>Assured</v>
      </c>
      <c r="D50" s="34" t="n">
        <f aca="false">Assumptions!D59</f>
        <v>8500</v>
      </c>
      <c r="E50" s="31" t="n">
        <f aca="false">Assumptions!E59</f>
        <v>20</v>
      </c>
      <c r="F50" s="29" t="n">
        <f aca="false">Assumptions!G59</f>
        <v>1</v>
      </c>
      <c r="G50" s="2" t="n">
        <f aca="false">Assumptions!F59+IF(F50=1,0,$C$15)</f>
        <v>1</v>
      </c>
      <c r="H50" s="24" t="n">
        <f aca="false">IF(H$45&lt;$G50,0,IF($F50=1,$C$10+($C$11-$C$10)*MIN(H$45-$G50,$C$12)/$C$12,$E50*$C$5*INDEX($C$6:$C$9,MIN(H$45-$G50,3)+1)))*(1-$C$14)*IF(AND($C50="Verified",$C$39=1),0,1)</f>
        <v>17.5</v>
      </c>
      <c r="I50" s="24" t="n">
        <f aca="false">IF(I$45&lt;$G50,0,IF($F50=1,$C$10+($C$11-$C$10)*MIN(I$45-$G50,$C$12)/$C$12,$E50*$C$5*INDEX($C$6:$C$9,MIN(I$45-$G50,3)+1)))*(1-$C$14)*IF(AND($C50="Verified",$C$39=1),0,1)</f>
        <v>18.3333333333333</v>
      </c>
      <c r="J50" s="24" t="n">
        <f aca="false">IF(J$45&lt;$G50,0,IF($F50=1,$C$10+($C$11-$C$10)*MIN(J$45-$G50,$C$12)/$C$12,$E50*$C$5*INDEX($C$6:$C$9,MIN(J$45-$G50,3)+1)))*(1-$C$14)*IF(AND($C50="Verified",$C$39=1),0,1)</f>
        <v>19.1666666666667</v>
      </c>
      <c r="K50" s="24" t="n">
        <f aca="false">IF(K$45&lt;$G50,0,IF($F50=1,$C$10+($C$11-$C$10)*MIN(K$45-$G50,$C$12)/$C$12,$E50*$C$5*INDEX($C$6:$C$9,MIN(K$45-$G50,3)+1)))*(1-$C$14)*IF(AND($C50="Verified",$C$39=1),0,1)</f>
        <v>20</v>
      </c>
      <c r="L50" s="24" t="n">
        <f aca="false">IF(L$45&lt;$G50,0,IF($F50=1,$C$10+($C$11-$C$10)*MIN(L$45-$G50,$C$12)/$C$12,$E50*$C$5*INDEX($C$6:$C$9,MIN(L$45-$G50,3)+1)))*(1-$C$14)*IF(AND($C50="Verified",$C$39=1),0,1)</f>
        <v>20</v>
      </c>
      <c r="M50" s="24" t="n">
        <f aca="false">IF(M$45&lt;$G50,0,IF($F50=1,$C$10+($C$11-$C$10)*MIN(M$45-$G50,$C$12)/$C$12,$E50*$C$5*INDEX($C$6:$C$9,MIN(M$45-$G50,3)+1)))*(1-$C$14)*IF(AND($C50="Verified",$C$39=1),0,1)</f>
        <v>20</v>
      </c>
      <c r="N50" s="24" t="n">
        <f aca="false">IF(N$45&lt;$G50,0,IF($F50=1,$C$10+($C$11-$C$10)*MIN(N$45-$G50,$C$12)/$C$12,$E50*$C$5*INDEX($C$6:$C$9,MIN(N$45-$G50,3)+1)))*(1-$C$14)*IF(AND($C50="Verified",$C$39=1),0,1)</f>
        <v>20</v>
      </c>
      <c r="O50" s="24" t="n">
        <f aca="false">IF(O$45&lt;$G50,0,IF($F50=1,$C$10+($C$11-$C$10)*MIN(O$45-$G50,$C$12)/$C$12,$E50*$C$5*INDEX($C$6:$C$9,MIN(O$45-$G50,3)+1)))*(1-$C$14)*IF(AND($C50="Verified",$C$39=1),0,1)</f>
        <v>20</v>
      </c>
      <c r="P50" s="24" t="n">
        <f aca="false">IF(P$45&lt;$G50,0,IF($F50=1,$C$10+($C$11-$C$10)*MIN(P$45-$G50,$C$12)/$C$12,$E50*$C$5*INDEX($C$6:$C$9,MIN(P$45-$G50,3)+1)))*(1-$C$14)*IF(AND($C50="Verified",$C$39=1),0,1)</f>
        <v>20</v>
      </c>
      <c r="Q50" s="24" t="n">
        <f aca="false">IF(Q$45&lt;$G50,0,IF($F50=1,$C$10+($C$11-$C$10)*MIN(Q$45-$G50,$C$12)/$C$12,$E50*$C$5*INDEX($C$6:$C$9,MIN(Q$45-$G50,3)+1)))*(1-$C$14)*IF(AND($C50="Verified",$C$39=1),0,1)</f>
        <v>20</v>
      </c>
      <c r="R50" s="24" t="n">
        <f aca="false">IF(R$45&lt;$G50,0,IF($F50=1,$C$10+($C$11-$C$10)*MIN(R$45-$G50,$C$12)/$C$12,$E50*$C$5*INDEX($C$6:$C$9,MIN(R$45-$G50,3)+1)))*(1-$C$14)*IF(AND($C50="Verified",$C$39=1),0,1)</f>
        <v>20</v>
      </c>
      <c r="S50" s="24" t="n">
        <f aca="false">IF(S$45&lt;$G50,0,IF($F50=1,$C$10+($C$11-$C$10)*MIN(S$45-$G50,$C$12)/$C$12,$E50*$C$5*INDEX($C$6:$C$9,MIN(S$45-$G50,3)+1)))*(1-$C$14)*IF(AND($C50="Verified",$C$39=1),0,1)</f>
        <v>20</v>
      </c>
      <c r="T50" s="24" t="n">
        <f aca="false">IF(T$45&lt;$G50,0,IF($F50=1,$C$10+($C$11-$C$10)*MIN(T$45-$G50,$C$12)/$C$12,$E50*$C$5*INDEX($C$6:$C$9,MIN(T$45-$G50,3)+1)))*(1-$C$14)*IF(AND($C50="Verified",$C$39=1),0,1)</f>
        <v>20</v>
      </c>
      <c r="U50" s="24" t="n">
        <f aca="false">IF(U$45&lt;$G50,0,IF($F50=1,$C$10+($C$11-$C$10)*MIN(U$45-$G50,$C$12)/$C$12,$E50*$C$5*INDEX($C$6:$C$9,MIN(U$45-$G50,3)+1)))*(1-$C$14)*IF(AND($C50="Verified",$C$39=1),0,1)</f>
        <v>20</v>
      </c>
      <c r="V50" s="24" t="n">
        <f aca="false">IF(V$45&lt;$G50,0,IF($F50=1,$C$10+($C$11-$C$10)*MIN(V$45-$G50,$C$12)/$C$12,$E50*$C$5*INDEX($C$6:$C$9,MIN(V$45-$G50,3)+1)))*(1-$C$14)*IF(AND($C50="Verified",$C$39=1),0,1)</f>
        <v>20</v>
      </c>
      <c r="W50" s="24" t="n">
        <f aca="false">IF(W$45&lt;$G50,0,IF($F50=1,$C$10+($C$11-$C$10)*MIN(W$45-$G50,$C$12)/$C$12,$E50*$C$5*INDEX($C$6:$C$9,MIN(W$45-$G50,3)+1)))*(1-$C$14)*IF(AND($C50="Verified",$C$39=1),0,1)</f>
        <v>20</v>
      </c>
      <c r="X50" s="24" t="n">
        <f aca="false">IF(X$45&lt;$G50,0,IF($F50=1,$C$10+($C$11-$C$10)*MIN(X$45-$G50,$C$12)/$C$12,$E50*$C$5*INDEX($C$6:$C$9,MIN(X$45-$G50,3)+1)))*(1-$C$14)*IF(AND($C50="Verified",$C$39=1),0,1)</f>
        <v>20</v>
      </c>
      <c r="Y50" s="24" t="n">
        <f aca="false">IF(Y$45&lt;$G50,0,IF($F50=1,$C$10+($C$11-$C$10)*MIN(Y$45-$G50,$C$12)/$C$12,$E50*$C$5*INDEX($C$6:$C$9,MIN(Y$45-$G50,3)+1)))*(1-$C$14)*IF(AND($C50="Verified",$C$39=1),0,1)</f>
        <v>20</v>
      </c>
    </row>
    <row r="51" customFormat="false" ht="15" hidden="false" customHeight="false" outlineLevel="0" collapsed="false">
      <c r="A51" s="29" t="n">
        <f aca="false">Assumptions!A60</f>
        <v>4</v>
      </c>
      <c r="B51" s="29" t="str">
        <f aca="false">Assumptions!B60</f>
        <v>Pilot</v>
      </c>
      <c r="C51" s="29" t="str">
        <f aca="false">Assumptions!C60</f>
        <v>Assured</v>
      </c>
      <c r="D51" s="34" t="n">
        <f aca="false">Assumptions!D60</f>
        <v>8500</v>
      </c>
      <c r="E51" s="31" t="n">
        <f aca="false">Assumptions!E60</f>
        <v>20</v>
      </c>
      <c r="F51" s="29" t="n">
        <f aca="false">Assumptions!G60</f>
        <v>1</v>
      </c>
      <c r="G51" s="2" t="n">
        <f aca="false">Assumptions!F60+IF(F51=1,0,$C$15)</f>
        <v>1</v>
      </c>
      <c r="H51" s="24" t="n">
        <f aca="false">IF(H$45&lt;$G51,0,IF($F51=1,$C$10+($C$11-$C$10)*MIN(H$45-$G51,$C$12)/$C$12,$E51*$C$5*INDEX($C$6:$C$9,MIN(H$45-$G51,3)+1)))*(1-$C$14)*IF(AND($C51="Verified",$C$39=1),0,1)</f>
        <v>17.5</v>
      </c>
      <c r="I51" s="24" t="n">
        <f aca="false">IF(I$45&lt;$G51,0,IF($F51=1,$C$10+($C$11-$C$10)*MIN(I$45-$G51,$C$12)/$C$12,$E51*$C$5*INDEX($C$6:$C$9,MIN(I$45-$G51,3)+1)))*(1-$C$14)*IF(AND($C51="Verified",$C$39=1),0,1)</f>
        <v>18.3333333333333</v>
      </c>
      <c r="J51" s="24" t="n">
        <f aca="false">IF(J$45&lt;$G51,0,IF($F51=1,$C$10+($C$11-$C$10)*MIN(J$45-$G51,$C$12)/$C$12,$E51*$C$5*INDEX($C$6:$C$9,MIN(J$45-$G51,3)+1)))*(1-$C$14)*IF(AND($C51="Verified",$C$39=1),0,1)</f>
        <v>19.1666666666667</v>
      </c>
      <c r="K51" s="24" t="n">
        <f aca="false">IF(K$45&lt;$G51,0,IF($F51=1,$C$10+($C$11-$C$10)*MIN(K$45-$G51,$C$12)/$C$12,$E51*$C$5*INDEX($C$6:$C$9,MIN(K$45-$G51,3)+1)))*(1-$C$14)*IF(AND($C51="Verified",$C$39=1),0,1)</f>
        <v>20</v>
      </c>
      <c r="L51" s="24" t="n">
        <f aca="false">IF(L$45&lt;$G51,0,IF($F51=1,$C$10+($C$11-$C$10)*MIN(L$45-$G51,$C$12)/$C$12,$E51*$C$5*INDEX($C$6:$C$9,MIN(L$45-$G51,3)+1)))*(1-$C$14)*IF(AND($C51="Verified",$C$39=1),0,1)</f>
        <v>20</v>
      </c>
      <c r="M51" s="24" t="n">
        <f aca="false">IF(M$45&lt;$G51,0,IF($F51=1,$C$10+($C$11-$C$10)*MIN(M$45-$G51,$C$12)/$C$12,$E51*$C$5*INDEX($C$6:$C$9,MIN(M$45-$G51,3)+1)))*(1-$C$14)*IF(AND($C51="Verified",$C$39=1),0,1)</f>
        <v>20</v>
      </c>
      <c r="N51" s="24" t="n">
        <f aca="false">IF(N$45&lt;$G51,0,IF($F51=1,$C$10+($C$11-$C$10)*MIN(N$45-$G51,$C$12)/$C$12,$E51*$C$5*INDEX($C$6:$C$9,MIN(N$45-$G51,3)+1)))*(1-$C$14)*IF(AND($C51="Verified",$C$39=1),0,1)</f>
        <v>20</v>
      </c>
      <c r="O51" s="24" t="n">
        <f aca="false">IF(O$45&lt;$G51,0,IF($F51=1,$C$10+($C$11-$C$10)*MIN(O$45-$G51,$C$12)/$C$12,$E51*$C$5*INDEX($C$6:$C$9,MIN(O$45-$G51,3)+1)))*(1-$C$14)*IF(AND($C51="Verified",$C$39=1),0,1)</f>
        <v>20</v>
      </c>
      <c r="P51" s="24" t="n">
        <f aca="false">IF(P$45&lt;$G51,0,IF($F51=1,$C$10+($C$11-$C$10)*MIN(P$45-$G51,$C$12)/$C$12,$E51*$C$5*INDEX($C$6:$C$9,MIN(P$45-$G51,3)+1)))*(1-$C$14)*IF(AND($C51="Verified",$C$39=1),0,1)</f>
        <v>20</v>
      </c>
      <c r="Q51" s="24" t="n">
        <f aca="false">IF(Q$45&lt;$G51,0,IF($F51=1,$C$10+($C$11-$C$10)*MIN(Q$45-$G51,$C$12)/$C$12,$E51*$C$5*INDEX($C$6:$C$9,MIN(Q$45-$G51,3)+1)))*(1-$C$14)*IF(AND($C51="Verified",$C$39=1),0,1)</f>
        <v>20</v>
      </c>
      <c r="R51" s="24" t="n">
        <f aca="false">IF(R$45&lt;$G51,0,IF($F51=1,$C$10+($C$11-$C$10)*MIN(R$45-$G51,$C$12)/$C$12,$E51*$C$5*INDEX($C$6:$C$9,MIN(R$45-$G51,3)+1)))*(1-$C$14)*IF(AND($C51="Verified",$C$39=1),0,1)</f>
        <v>20</v>
      </c>
      <c r="S51" s="24" t="n">
        <f aca="false">IF(S$45&lt;$G51,0,IF($F51=1,$C$10+($C$11-$C$10)*MIN(S$45-$G51,$C$12)/$C$12,$E51*$C$5*INDEX($C$6:$C$9,MIN(S$45-$G51,3)+1)))*(1-$C$14)*IF(AND($C51="Verified",$C$39=1),0,1)</f>
        <v>20</v>
      </c>
      <c r="T51" s="24" t="n">
        <f aca="false">IF(T$45&lt;$G51,0,IF($F51=1,$C$10+($C$11-$C$10)*MIN(T$45-$G51,$C$12)/$C$12,$E51*$C$5*INDEX($C$6:$C$9,MIN(T$45-$G51,3)+1)))*(1-$C$14)*IF(AND($C51="Verified",$C$39=1),0,1)</f>
        <v>20</v>
      </c>
      <c r="U51" s="24" t="n">
        <f aca="false">IF(U$45&lt;$G51,0,IF($F51=1,$C$10+($C$11-$C$10)*MIN(U$45-$G51,$C$12)/$C$12,$E51*$C$5*INDEX($C$6:$C$9,MIN(U$45-$G51,3)+1)))*(1-$C$14)*IF(AND($C51="Verified",$C$39=1),0,1)</f>
        <v>20</v>
      </c>
      <c r="V51" s="24" t="n">
        <f aca="false">IF(V$45&lt;$G51,0,IF($F51=1,$C$10+($C$11-$C$10)*MIN(V$45-$G51,$C$12)/$C$12,$E51*$C$5*INDEX($C$6:$C$9,MIN(V$45-$G51,3)+1)))*(1-$C$14)*IF(AND($C51="Verified",$C$39=1),0,1)</f>
        <v>20</v>
      </c>
      <c r="W51" s="24" t="n">
        <f aca="false">IF(W$45&lt;$G51,0,IF($F51=1,$C$10+($C$11-$C$10)*MIN(W$45-$G51,$C$12)/$C$12,$E51*$C$5*INDEX($C$6:$C$9,MIN(W$45-$G51,3)+1)))*(1-$C$14)*IF(AND($C51="Verified",$C$39=1),0,1)</f>
        <v>20</v>
      </c>
      <c r="X51" s="24" t="n">
        <f aca="false">IF(X$45&lt;$G51,0,IF($F51=1,$C$10+($C$11-$C$10)*MIN(X$45-$G51,$C$12)/$C$12,$E51*$C$5*INDEX($C$6:$C$9,MIN(X$45-$G51,3)+1)))*(1-$C$14)*IF(AND($C51="Verified",$C$39=1),0,1)</f>
        <v>20</v>
      </c>
      <c r="Y51" s="24" t="n">
        <f aca="false">IF(Y$45&lt;$G51,0,IF($F51=1,$C$10+($C$11-$C$10)*MIN(Y$45-$G51,$C$12)/$C$12,$E51*$C$5*INDEX($C$6:$C$9,MIN(Y$45-$G51,3)+1)))*(1-$C$14)*IF(AND($C51="Verified",$C$39=1),0,1)</f>
        <v>20</v>
      </c>
    </row>
    <row r="52" customFormat="false" ht="15" hidden="false" customHeight="false" outlineLevel="0" collapsed="false">
      <c r="A52" s="29" t="n">
        <f aca="false">Assumptions!A61</f>
        <v>5</v>
      </c>
      <c r="B52" s="29" t="str">
        <f aca="false">Assumptions!B61</f>
        <v>A</v>
      </c>
      <c r="C52" s="29" t="str">
        <f aca="false">Assumptions!C61</f>
        <v>Assured</v>
      </c>
      <c r="D52" s="34" t="n">
        <f aca="false">Assumptions!D61</f>
        <v>12000</v>
      </c>
      <c r="E52" s="31" t="n">
        <f aca="false">Assumptions!E61</f>
        <v>24</v>
      </c>
      <c r="F52" s="29" t="n">
        <f aca="false">Assumptions!G61</f>
        <v>0</v>
      </c>
      <c r="G52" s="2" t="n">
        <f aca="false">Assumptions!F61+IF(F52=1,0,$C$15)</f>
        <v>3</v>
      </c>
      <c r="H52" s="24" t="n">
        <f aca="false">IF(H$45&lt;$G52,0,IF($F52=1,$C$10+($C$11-$C$10)*MIN(H$45-$G52,$C$12)/$C$12,$E52*$C$5*INDEX($C$6:$C$9,MIN(H$45-$G52,3)+1)))*(1-$C$14)*IF(AND($C52="Verified",$C$39=1),0,1)</f>
        <v>0</v>
      </c>
      <c r="I52" s="24" t="n">
        <f aca="false">IF(I$45&lt;$G52,0,IF($F52=1,$C$10+($C$11-$C$10)*MIN(I$45-$G52,$C$12)/$C$12,$E52*$C$5*INDEX($C$6:$C$9,MIN(I$45-$G52,3)+1)))*(1-$C$14)*IF(AND($C52="Verified",$C$39=1),0,1)</f>
        <v>0</v>
      </c>
      <c r="J52" s="24" t="n">
        <f aca="false">IF(J$45&lt;$G52,0,IF($F52=1,$C$10+($C$11-$C$10)*MIN(J$45-$G52,$C$12)/$C$12,$E52*$C$5*INDEX($C$6:$C$9,MIN(J$45-$G52,3)+1)))*(1-$C$14)*IF(AND($C52="Verified",$C$39=1),0,1)</f>
        <v>6.12</v>
      </c>
      <c r="K52" s="24" t="n">
        <f aca="false">IF(K$45&lt;$G52,0,IF($F52=1,$C$10+($C$11-$C$10)*MIN(K$45-$G52,$C$12)/$C$12,$E52*$C$5*INDEX($C$6:$C$9,MIN(K$45-$G52,3)+1)))*(1-$C$14)*IF(AND($C52="Verified",$C$39=1),0,1)</f>
        <v>12.24</v>
      </c>
      <c r="L52" s="24" t="n">
        <f aca="false">IF(L$45&lt;$G52,0,IF($F52=1,$C$10+($C$11-$C$10)*MIN(L$45-$G52,$C$12)/$C$12,$E52*$C$5*INDEX($C$6:$C$9,MIN(L$45-$G52,3)+1)))*(1-$C$14)*IF(AND($C52="Verified",$C$39=1),0,1)</f>
        <v>17.34</v>
      </c>
      <c r="M52" s="24" t="n">
        <f aca="false">IF(M$45&lt;$G52,0,IF($F52=1,$C$10+($C$11-$C$10)*MIN(M$45-$G52,$C$12)/$C$12,$E52*$C$5*INDEX($C$6:$C$9,MIN(M$45-$G52,3)+1)))*(1-$C$14)*IF(AND($C52="Verified",$C$39=1),0,1)</f>
        <v>20.4</v>
      </c>
      <c r="N52" s="24" t="n">
        <f aca="false">IF(N$45&lt;$G52,0,IF($F52=1,$C$10+($C$11-$C$10)*MIN(N$45-$G52,$C$12)/$C$12,$E52*$C$5*INDEX($C$6:$C$9,MIN(N$45-$G52,3)+1)))*(1-$C$14)*IF(AND($C52="Verified",$C$39=1),0,1)</f>
        <v>20.4</v>
      </c>
      <c r="O52" s="24" t="n">
        <f aca="false">IF(O$45&lt;$G52,0,IF($F52=1,$C$10+($C$11-$C$10)*MIN(O$45-$G52,$C$12)/$C$12,$E52*$C$5*INDEX($C$6:$C$9,MIN(O$45-$G52,3)+1)))*(1-$C$14)*IF(AND($C52="Verified",$C$39=1),0,1)</f>
        <v>20.4</v>
      </c>
      <c r="P52" s="24" t="n">
        <f aca="false">IF(P$45&lt;$G52,0,IF($F52=1,$C$10+($C$11-$C$10)*MIN(P$45-$G52,$C$12)/$C$12,$E52*$C$5*INDEX($C$6:$C$9,MIN(P$45-$G52,3)+1)))*(1-$C$14)*IF(AND($C52="Verified",$C$39=1),0,1)</f>
        <v>20.4</v>
      </c>
      <c r="Q52" s="24" t="n">
        <f aca="false">IF(Q$45&lt;$G52,0,IF($F52=1,$C$10+($C$11-$C$10)*MIN(Q$45-$G52,$C$12)/$C$12,$E52*$C$5*INDEX($C$6:$C$9,MIN(Q$45-$G52,3)+1)))*(1-$C$14)*IF(AND($C52="Verified",$C$39=1),0,1)</f>
        <v>20.4</v>
      </c>
      <c r="R52" s="24" t="n">
        <f aca="false">IF(R$45&lt;$G52,0,IF($F52=1,$C$10+($C$11-$C$10)*MIN(R$45-$G52,$C$12)/$C$12,$E52*$C$5*INDEX($C$6:$C$9,MIN(R$45-$G52,3)+1)))*(1-$C$14)*IF(AND($C52="Verified",$C$39=1),0,1)</f>
        <v>20.4</v>
      </c>
      <c r="S52" s="24" t="n">
        <f aca="false">IF(S$45&lt;$G52,0,IF($F52=1,$C$10+($C$11-$C$10)*MIN(S$45-$G52,$C$12)/$C$12,$E52*$C$5*INDEX($C$6:$C$9,MIN(S$45-$G52,3)+1)))*(1-$C$14)*IF(AND($C52="Verified",$C$39=1),0,1)</f>
        <v>20.4</v>
      </c>
      <c r="T52" s="24" t="n">
        <f aca="false">IF(T$45&lt;$G52,0,IF($F52=1,$C$10+($C$11-$C$10)*MIN(T$45-$G52,$C$12)/$C$12,$E52*$C$5*INDEX($C$6:$C$9,MIN(T$45-$G52,3)+1)))*(1-$C$14)*IF(AND($C52="Verified",$C$39=1),0,1)</f>
        <v>20.4</v>
      </c>
      <c r="U52" s="24" t="n">
        <f aca="false">IF(U$45&lt;$G52,0,IF($F52=1,$C$10+($C$11-$C$10)*MIN(U$45-$G52,$C$12)/$C$12,$E52*$C$5*INDEX($C$6:$C$9,MIN(U$45-$G52,3)+1)))*(1-$C$14)*IF(AND($C52="Verified",$C$39=1),0,1)</f>
        <v>20.4</v>
      </c>
      <c r="V52" s="24" t="n">
        <f aca="false">IF(V$45&lt;$G52,0,IF($F52=1,$C$10+($C$11-$C$10)*MIN(V$45-$G52,$C$12)/$C$12,$E52*$C$5*INDEX($C$6:$C$9,MIN(V$45-$G52,3)+1)))*(1-$C$14)*IF(AND($C52="Verified",$C$39=1),0,1)</f>
        <v>20.4</v>
      </c>
      <c r="W52" s="24" t="n">
        <f aca="false">IF(W$45&lt;$G52,0,IF($F52=1,$C$10+($C$11-$C$10)*MIN(W$45-$G52,$C$12)/$C$12,$E52*$C$5*INDEX($C$6:$C$9,MIN(W$45-$G52,3)+1)))*(1-$C$14)*IF(AND($C52="Verified",$C$39=1),0,1)</f>
        <v>20.4</v>
      </c>
      <c r="X52" s="24" t="n">
        <f aca="false">IF(X$45&lt;$G52,0,IF($F52=1,$C$10+($C$11-$C$10)*MIN(X$45-$G52,$C$12)/$C$12,$E52*$C$5*INDEX($C$6:$C$9,MIN(X$45-$G52,3)+1)))*(1-$C$14)*IF(AND($C52="Verified",$C$39=1),0,1)</f>
        <v>20.4</v>
      </c>
      <c r="Y52" s="24" t="n">
        <f aca="false">IF(Y$45&lt;$G52,0,IF($F52=1,$C$10+($C$11-$C$10)*MIN(Y$45-$G52,$C$12)/$C$12,$E52*$C$5*INDEX($C$6:$C$9,MIN(Y$45-$G52,3)+1)))*(1-$C$14)*IF(AND($C52="Verified",$C$39=1),0,1)</f>
        <v>20.4</v>
      </c>
    </row>
    <row r="53" customFormat="false" ht="15" hidden="false" customHeight="false" outlineLevel="0" collapsed="false">
      <c r="A53" s="29" t="n">
        <f aca="false">Assumptions!A62</f>
        <v>6</v>
      </c>
      <c r="B53" s="29" t="str">
        <f aca="false">Assumptions!B62</f>
        <v>A</v>
      </c>
      <c r="C53" s="29" t="str">
        <f aca="false">Assumptions!C62</f>
        <v>Assured</v>
      </c>
      <c r="D53" s="34" t="n">
        <f aca="false">Assumptions!D62</f>
        <v>12000</v>
      </c>
      <c r="E53" s="31" t="n">
        <f aca="false">Assumptions!E62</f>
        <v>24</v>
      </c>
      <c r="F53" s="29" t="n">
        <f aca="false">Assumptions!G62</f>
        <v>0</v>
      </c>
      <c r="G53" s="2" t="n">
        <f aca="false">Assumptions!F62+IF(F53=1,0,$C$15)</f>
        <v>3</v>
      </c>
      <c r="H53" s="24" t="n">
        <f aca="false">IF(H$45&lt;$G53,0,IF($F53=1,$C$10+($C$11-$C$10)*MIN(H$45-$G53,$C$12)/$C$12,$E53*$C$5*INDEX($C$6:$C$9,MIN(H$45-$G53,3)+1)))*(1-$C$14)*IF(AND($C53="Verified",$C$39=1),0,1)</f>
        <v>0</v>
      </c>
      <c r="I53" s="24" t="n">
        <f aca="false">IF(I$45&lt;$G53,0,IF($F53=1,$C$10+($C$11-$C$10)*MIN(I$45-$G53,$C$12)/$C$12,$E53*$C$5*INDEX($C$6:$C$9,MIN(I$45-$G53,3)+1)))*(1-$C$14)*IF(AND($C53="Verified",$C$39=1),0,1)</f>
        <v>0</v>
      </c>
      <c r="J53" s="24" t="n">
        <f aca="false">IF(J$45&lt;$G53,0,IF($F53=1,$C$10+($C$11-$C$10)*MIN(J$45-$G53,$C$12)/$C$12,$E53*$C$5*INDEX($C$6:$C$9,MIN(J$45-$G53,3)+1)))*(1-$C$14)*IF(AND($C53="Verified",$C$39=1),0,1)</f>
        <v>6.12</v>
      </c>
      <c r="K53" s="24" t="n">
        <f aca="false">IF(K$45&lt;$G53,0,IF($F53=1,$C$10+($C$11-$C$10)*MIN(K$45-$G53,$C$12)/$C$12,$E53*$C$5*INDEX($C$6:$C$9,MIN(K$45-$G53,3)+1)))*(1-$C$14)*IF(AND($C53="Verified",$C$39=1),0,1)</f>
        <v>12.24</v>
      </c>
      <c r="L53" s="24" t="n">
        <f aca="false">IF(L$45&lt;$G53,0,IF($F53=1,$C$10+($C$11-$C$10)*MIN(L$45-$G53,$C$12)/$C$12,$E53*$C$5*INDEX($C$6:$C$9,MIN(L$45-$G53,3)+1)))*(1-$C$14)*IF(AND($C53="Verified",$C$39=1),0,1)</f>
        <v>17.34</v>
      </c>
      <c r="M53" s="24" t="n">
        <f aca="false">IF(M$45&lt;$G53,0,IF($F53=1,$C$10+($C$11-$C$10)*MIN(M$45-$G53,$C$12)/$C$12,$E53*$C$5*INDEX($C$6:$C$9,MIN(M$45-$G53,3)+1)))*(1-$C$14)*IF(AND($C53="Verified",$C$39=1),0,1)</f>
        <v>20.4</v>
      </c>
      <c r="N53" s="24" t="n">
        <f aca="false">IF(N$45&lt;$G53,0,IF($F53=1,$C$10+($C$11-$C$10)*MIN(N$45-$G53,$C$12)/$C$12,$E53*$C$5*INDEX($C$6:$C$9,MIN(N$45-$G53,3)+1)))*(1-$C$14)*IF(AND($C53="Verified",$C$39=1),0,1)</f>
        <v>20.4</v>
      </c>
      <c r="O53" s="24" t="n">
        <f aca="false">IF(O$45&lt;$G53,0,IF($F53=1,$C$10+($C$11-$C$10)*MIN(O$45-$G53,$C$12)/$C$12,$E53*$C$5*INDEX($C$6:$C$9,MIN(O$45-$G53,3)+1)))*(1-$C$14)*IF(AND($C53="Verified",$C$39=1),0,1)</f>
        <v>20.4</v>
      </c>
      <c r="P53" s="24" t="n">
        <f aca="false">IF(P$45&lt;$G53,0,IF($F53=1,$C$10+($C$11-$C$10)*MIN(P$45-$G53,$C$12)/$C$12,$E53*$C$5*INDEX($C$6:$C$9,MIN(P$45-$G53,3)+1)))*(1-$C$14)*IF(AND($C53="Verified",$C$39=1),0,1)</f>
        <v>20.4</v>
      </c>
      <c r="Q53" s="24" t="n">
        <f aca="false">IF(Q$45&lt;$G53,0,IF($F53=1,$C$10+($C$11-$C$10)*MIN(Q$45-$G53,$C$12)/$C$12,$E53*$C$5*INDEX($C$6:$C$9,MIN(Q$45-$G53,3)+1)))*(1-$C$14)*IF(AND($C53="Verified",$C$39=1),0,1)</f>
        <v>20.4</v>
      </c>
      <c r="R53" s="24" t="n">
        <f aca="false">IF(R$45&lt;$G53,0,IF($F53=1,$C$10+($C$11-$C$10)*MIN(R$45-$G53,$C$12)/$C$12,$E53*$C$5*INDEX($C$6:$C$9,MIN(R$45-$G53,3)+1)))*(1-$C$14)*IF(AND($C53="Verified",$C$39=1),0,1)</f>
        <v>20.4</v>
      </c>
      <c r="S53" s="24" t="n">
        <f aca="false">IF(S$45&lt;$G53,0,IF($F53=1,$C$10+($C$11-$C$10)*MIN(S$45-$G53,$C$12)/$C$12,$E53*$C$5*INDEX($C$6:$C$9,MIN(S$45-$G53,3)+1)))*(1-$C$14)*IF(AND($C53="Verified",$C$39=1),0,1)</f>
        <v>20.4</v>
      </c>
      <c r="T53" s="24" t="n">
        <f aca="false">IF(T$45&lt;$G53,0,IF($F53=1,$C$10+($C$11-$C$10)*MIN(T$45-$G53,$C$12)/$C$12,$E53*$C$5*INDEX($C$6:$C$9,MIN(T$45-$G53,3)+1)))*(1-$C$14)*IF(AND($C53="Verified",$C$39=1),0,1)</f>
        <v>20.4</v>
      </c>
      <c r="U53" s="24" t="n">
        <f aca="false">IF(U$45&lt;$G53,0,IF($F53=1,$C$10+($C$11-$C$10)*MIN(U$45-$G53,$C$12)/$C$12,$E53*$C$5*INDEX($C$6:$C$9,MIN(U$45-$G53,3)+1)))*(1-$C$14)*IF(AND($C53="Verified",$C$39=1),0,1)</f>
        <v>20.4</v>
      </c>
      <c r="V53" s="24" t="n">
        <f aca="false">IF(V$45&lt;$G53,0,IF($F53=1,$C$10+($C$11-$C$10)*MIN(V$45-$G53,$C$12)/$C$12,$E53*$C$5*INDEX($C$6:$C$9,MIN(V$45-$G53,3)+1)))*(1-$C$14)*IF(AND($C53="Verified",$C$39=1),0,1)</f>
        <v>20.4</v>
      </c>
      <c r="W53" s="24" t="n">
        <f aca="false">IF(W$45&lt;$G53,0,IF($F53=1,$C$10+($C$11-$C$10)*MIN(W$45-$G53,$C$12)/$C$12,$E53*$C$5*INDEX($C$6:$C$9,MIN(W$45-$G53,3)+1)))*(1-$C$14)*IF(AND($C53="Verified",$C$39=1),0,1)</f>
        <v>20.4</v>
      </c>
      <c r="X53" s="24" t="n">
        <f aca="false">IF(X$45&lt;$G53,0,IF($F53=1,$C$10+($C$11-$C$10)*MIN(X$45-$G53,$C$12)/$C$12,$E53*$C$5*INDEX($C$6:$C$9,MIN(X$45-$G53,3)+1)))*(1-$C$14)*IF(AND($C53="Verified",$C$39=1),0,1)</f>
        <v>20.4</v>
      </c>
      <c r="Y53" s="24" t="n">
        <f aca="false">IF(Y$45&lt;$G53,0,IF($F53=1,$C$10+($C$11-$C$10)*MIN(Y$45-$G53,$C$12)/$C$12,$E53*$C$5*INDEX($C$6:$C$9,MIN(Y$45-$G53,3)+1)))*(1-$C$14)*IF(AND($C53="Verified",$C$39=1),0,1)</f>
        <v>20.4</v>
      </c>
    </row>
    <row r="54" customFormat="false" ht="15" hidden="false" customHeight="false" outlineLevel="0" collapsed="false">
      <c r="A54" s="29" t="n">
        <f aca="false">Assumptions!A63</f>
        <v>7</v>
      </c>
      <c r="B54" s="29" t="str">
        <f aca="false">Assumptions!B63</f>
        <v>A</v>
      </c>
      <c r="C54" s="29" t="str">
        <f aca="false">Assumptions!C63</f>
        <v>Assured</v>
      </c>
      <c r="D54" s="34" t="n">
        <f aca="false">Assumptions!D63</f>
        <v>12000</v>
      </c>
      <c r="E54" s="31" t="n">
        <f aca="false">Assumptions!E63</f>
        <v>24</v>
      </c>
      <c r="F54" s="29" t="n">
        <f aca="false">Assumptions!G63</f>
        <v>0</v>
      </c>
      <c r="G54" s="2" t="n">
        <f aca="false">Assumptions!F63+IF(F54=1,0,$C$15)</f>
        <v>4</v>
      </c>
      <c r="H54" s="24" t="n">
        <f aca="false">IF(H$45&lt;$G54,0,IF($F54=1,$C$10+($C$11-$C$10)*MIN(H$45-$G54,$C$12)/$C$12,$E54*$C$5*INDEX($C$6:$C$9,MIN(H$45-$G54,3)+1)))*(1-$C$14)*IF(AND($C54="Verified",$C$39=1),0,1)</f>
        <v>0</v>
      </c>
      <c r="I54" s="24" t="n">
        <f aca="false">IF(I$45&lt;$G54,0,IF($F54=1,$C$10+($C$11-$C$10)*MIN(I$45-$G54,$C$12)/$C$12,$E54*$C$5*INDEX($C$6:$C$9,MIN(I$45-$G54,3)+1)))*(1-$C$14)*IF(AND($C54="Verified",$C$39=1),0,1)</f>
        <v>0</v>
      </c>
      <c r="J54" s="24" t="n">
        <f aca="false">IF(J$45&lt;$G54,0,IF($F54=1,$C$10+($C$11-$C$10)*MIN(J$45-$G54,$C$12)/$C$12,$E54*$C$5*INDEX($C$6:$C$9,MIN(J$45-$G54,3)+1)))*(1-$C$14)*IF(AND($C54="Verified",$C$39=1),0,1)</f>
        <v>0</v>
      </c>
      <c r="K54" s="24" t="n">
        <f aca="false">IF(K$45&lt;$G54,0,IF($F54=1,$C$10+($C$11-$C$10)*MIN(K$45-$G54,$C$12)/$C$12,$E54*$C$5*INDEX($C$6:$C$9,MIN(K$45-$G54,3)+1)))*(1-$C$14)*IF(AND($C54="Verified",$C$39=1),0,1)</f>
        <v>6.12</v>
      </c>
      <c r="L54" s="24" t="n">
        <f aca="false">IF(L$45&lt;$G54,0,IF($F54=1,$C$10+($C$11-$C$10)*MIN(L$45-$G54,$C$12)/$C$12,$E54*$C$5*INDEX($C$6:$C$9,MIN(L$45-$G54,3)+1)))*(1-$C$14)*IF(AND($C54="Verified",$C$39=1),0,1)</f>
        <v>12.24</v>
      </c>
      <c r="M54" s="24" t="n">
        <f aca="false">IF(M$45&lt;$G54,0,IF($F54=1,$C$10+($C$11-$C$10)*MIN(M$45-$G54,$C$12)/$C$12,$E54*$C$5*INDEX($C$6:$C$9,MIN(M$45-$G54,3)+1)))*(1-$C$14)*IF(AND($C54="Verified",$C$39=1),0,1)</f>
        <v>17.34</v>
      </c>
      <c r="N54" s="24" t="n">
        <f aca="false">IF(N$45&lt;$G54,0,IF($F54=1,$C$10+($C$11-$C$10)*MIN(N$45-$G54,$C$12)/$C$12,$E54*$C$5*INDEX($C$6:$C$9,MIN(N$45-$G54,3)+1)))*(1-$C$14)*IF(AND($C54="Verified",$C$39=1),0,1)</f>
        <v>20.4</v>
      </c>
      <c r="O54" s="24" t="n">
        <f aca="false">IF(O$45&lt;$G54,0,IF($F54=1,$C$10+($C$11-$C$10)*MIN(O$45-$G54,$C$12)/$C$12,$E54*$C$5*INDEX($C$6:$C$9,MIN(O$45-$G54,3)+1)))*(1-$C$14)*IF(AND($C54="Verified",$C$39=1),0,1)</f>
        <v>20.4</v>
      </c>
      <c r="P54" s="24" t="n">
        <f aca="false">IF(P$45&lt;$G54,0,IF($F54=1,$C$10+($C$11-$C$10)*MIN(P$45-$G54,$C$12)/$C$12,$E54*$C$5*INDEX($C$6:$C$9,MIN(P$45-$G54,3)+1)))*(1-$C$14)*IF(AND($C54="Verified",$C$39=1),0,1)</f>
        <v>20.4</v>
      </c>
      <c r="Q54" s="24" t="n">
        <f aca="false">IF(Q$45&lt;$G54,0,IF($F54=1,$C$10+($C$11-$C$10)*MIN(Q$45-$G54,$C$12)/$C$12,$E54*$C$5*INDEX($C$6:$C$9,MIN(Q$45-$G54,3)+1)))*(1-$C$14)*IF(AND($C54="Verified",$C$39=1),0,1)</f>
        <v>20.4</v>
      </c>
      <c r="R54" s="24" t="n">
        <f aca="false">IF(R$45&lt;$G54,0,IF($F54=1,$C$10+($C$11-$C$10)*MIN(R$45-$G54,$C$12)/$C$12,$E54*$C$5*INDEX($C$6:$C$9,MIN(R$45-$G54,3)+1)))*(1-$C$14)*IF(AND($C54="Verified",$C$39=1),0,1)</f>
        <v>20.4</v>
      </c>
      <c r="S54" s="24" t="n">
        <f aca="false">IF(S$45&lt;$G54,0,IF($F54=1,$C$10+($C$11-$C$10)*MIN(S$45-$G54,$C$12)/$C$12,$E54*$C$5*INDEX($C$6:$C$9,MIN(S$45-$G54,3)+1)))*(1-$C$14)*IF(AND($C54="Verified",$C$39=1),0,1)</f>
        <v>20.4</v>
      </c>
      <c r="T54" s="24" t="n">
        <f aca="false">IF(T$45&lt;$G54,0,IF($F54=1,$C$10+($C$11-$C$10)*MIN(T$45-$G54,$C$12)/$C$12,$E54*$C$5*INDEX($C$6:$C$9,MIN(T$45-$G54,3)+1)))*(1-$C$14)*IF(AND($C54="Verified",$C$39=1),0,1)</f>
        <v>20.4</v>
      </c>
      <c r="U54" s="24" t="n">
        <f aca="false">IF(U$45&lt;$G54,0,IF($F54=1,$C$10+($C$11-$C$10)*MIN(U$45-$G54,$C$12)/$C$12,$E54*$C$5*INDEX($C$6:$C$9,MIN(U$45-$G54,3)+1)))*(1-$C$14)*IF(AND($C54="Verified",$C$39=1),0,1)</f>
        <v>20.4</v>
      </c>
      <c r="V54" s="24" t="n">
        <f aca="false">IF(V$45&lt;$G54,0,IF($F54=1,$C$10+($C$11-$C$10)*MIN(V$45-$G54,$C$12)/$C$12,$E54*$C$5*INDEX($C$6:$C$9,MIN(V$45-$G54,3)+1)))*(1-$C$14)*IF(AND($C54="Verified",$C$39=1),0,1)</f>
        <v>20.4</v>
      </c>
      <c r="W54" s="24" t="n">
        <f aca="false">IF(W$45&lt;$G54,0,IF($F54=1,$C$10+($C$11-$C$10)*MIN(W$45-$G54,$C$12)/$C$12,$E54*$C$5*INDEX($C$6:$C$9,MIN(W$45-$G54,3)+1)))*(1-$C$14)*IF(AND($C54="Verified",$C$39=1),0,1)</f>
        <v>20.4</v>
      </c>
      <c r="X54" s="24" t="n">
        <f aca="false">IF(X$45&lt;$G54,0,IF($F54=1,$C$10+($C$11-$C$10)*MIN(X$45-$G54,$C$12)/$C$12,$E54*$C$5*INDEX($C$6:$C$9,MIN(X$45-$G54,3)+1)))*(1-$C$14)*IF(AND($C54="Verified",$C$39=1),0,1)</f>
        <v>20.4</v>
      </c>
      <c r="Y54" s="24" t="n">
        <f aca="false">IF(Y$45&lt;$G54,0,IF($F54=1,$C$10+($C$11-$C$10)*MIN(Y$45-$G54,$C$12)/$C$12,$E54*$C$5*INDEX($C$6:$C$9,MIN(Y$45-$G54,3)+1)))*(1-$C$14)*IF(AND($C54="Verified",$C$39=1),0,1)</f>
        <v>20.4</v>
      </c>
    </row>
    <row r="55" customFormat="false" ht="15" hidden="false" customHeight="false" outlineLevel="0" collapsed="false">
      <c r="A55" s="29" t="n">
        <f aca="false">Assumptions!A64</f>
        <v>8</v>
      </c>
      <c r="B55" s="29" t="str">
        <f aca="false">Assumptions!B64</f>
        <v>A</v>
      </c>
      <c r="C55" s="29" t="str">
        <f aca="false">Assumptions!C64</f>
        <v>Assured</v>
      </c>
      <c r="D55" s="34" t="n">
        <f aca="false">Assumptions!D64</f>
        <v>12000</v>
      </c>
      <c r="E55" s="31" t="n">
        <f aca="false">Assumptions!E64</f>
        <v>24</v>
      </c>
      <c r="F55" s="29" t="n">
        <f aca="false">Assumptions!G64</f>
        <v>0</v>
      </c>
      <c r="G55" s="2" t="n">
        <f aca="false">Assumptions!F64+IF(F55=1,0,$C$15)</f>
        <v>4</v>
      </c>
      <c r="H55" s="24" t="n">
        <f aca="false">IF(H$45&lt;$G55,0,IF($F55=1,$C$10+($C$11-$C$10)*MIN(H$45-$G55,$C$12)/$C$12,$E55*$C$5*INDEX($C$6:$C$9,MIN(H$45-$G55,3)+1)))*(1-$C$14)*IF(AND($C55="Verified",$C$39=1),0,1)</f>
        <v>0</v>
      </c>
      <c r="I55" s="24" t="n">
        <f aca="false">IF(I$45&lt;$G55,0,IF($F55=1,$C$10+($C$11-$C$10)*MIN(I$45-$G55,$C$12)/$C$12,$E55*$C$5*INDEX($C$6:$C$9,MIN(I$45-$G55,3)+1)))*(1-$C$14)*IF(AND($C55="Verified",$C$39=1),0,1)</f>
        <v>0</v>
      </c>
      <c r="J55" s="24" t="n">
        <f aca="false">IF(J$45&lt;$G55,0,IF($F55=1,$C$10+($C$11-$C$10)*MIN(J$45-$G55,$C$12)/$C$12,$E55*$C$5*INDEX($C$6:$C$9,MIN(J$45-$G55,3)+1)))*(1-$C$14)*IF(AND($C55="Verified",$C$39=1),0,1)</f>
        <v>0</v>
      </c>
      <c r="K55" s="24" t="n">
        <f aca="false">IF(K$45&lt;$G55,0,IF($F55=1,$C$10+($C$11-$C$10)*MIN(K$45-$G55,$C$12)/$C$12,$E55*$C$5*INDEX($C$6:$C$9,MIN(K$45-$G55,3)+1)))*(1-$C$14)*IF(AND($C55="Verified",$C$39=1),0,1)</f>
        <v>6.12</v>
      </c>
      <c r="L55" s="24" t="n">
        <f aca="false">IF(L$45&lt;$G55,0,IF($F55=1,$C$10+($C$11-$C$10)*MIN(L$45-$G55,$C$12)/$C$12,$E55*$C$5*INDEX($C$6:$C$9,MIN(L$45-$G55,3)+1)))*(1-$C$14)*IF(AND($C55="Verified",$C$39=1),0,1)</f>
        <v>12.24</v>
      </c>
      <c r="M55" s="24" t="n">
        <f aca="false">IF(M$45&lt;$G55,0,IF($F55=1,$C$10+($C$11-$C$10)*MIN(M$45-$G55,$C$12)/$C$12,$E55*$C$5*INDEX($C$6:$C$9,MIN(M$45-$G55,3)+1)))*(1-$C$14)*IF(AND($C55="Verified",$C$39=1),0,1)</f>
        <v>17.34</v>
      </c>
      <c r="N55" s="24" t="n">
        <f aca="false">IF(N$45&lt;$G55,0,IF($F55=1,$C$10+($C$11-$C$10)*MIN(N$45-$G55,$C$12)/$C$12,$E55*$C$5*INDEX($C$6:$C$9,MIN(N$45-$G55,3)+1)))*(1-$C$14)*IF(AND($C55="Verified",$C$39=1),0,1)</f>
        <v>20.4</v>
      </c>
      <c r="O55" s="24" t="n">
        <f aca="false">IF(O$45&lt;$G55,0,IF($F55=1,$C$10+($C$11-$C$10)*MIN(O$45-$G55,$C$12)/$C$12,$E55*$C$5*INDEX($C$6:$C$9,MIN(O$45-$G55,3)+1)))*(1-$C$14)*IF(AND($C55="Verified",$C$39=1),0,1)</f>
        <v>20.4</v>
      </c>
      <c r="P55" s="24" t="n">
        <f aca="false">IF(P$45&lt;$G55,0,IF($F55=1,$C$10+($C$11-$C$10)*MIN(P$45-$G55,$C$12)/$C$12,$E55*$C$5*INDEX($C$6:$C$9,MIN(P$45-$G55,3)+1)))*(1-$C$14)*IF(AND($C55="Verified",$C$39=1),0,1)</f>
        <v>20.4</v>
      </c>
      <c r="Q55" s="24" t="n">
        <f aca="false">IF(Q$45&lt;$G55,0,IF($F55=1,$C$10+($C$11-$C$10)*MIN(Q$45-$G55,$C$12)/$C$12,$E55*$C$5*INDEX($C$6:$C$9,MIN(Q$45-$G55,3)+1)))*(1-$C$14)*IF(AND($C55="Verified",$C$39=1),0,1)</f>
        <v>20.4</v>
      </c>
      <c r="R55" s="24" t="n">
        <f aca="false">IF(R$45&lt;$G55,0,IF($F55=1,$C$10+($C$11-$C$10)*MIN(R$45-$G55,$C$12)/$C$12,$E55*$C$5*INDEX($C$6:$C$9,MIN(R$45-$G55,3)+1)))*(1-$C$14)*IF(AND($C55="Verified",$C$39=1),0,1)</f>
        <v>20.4</v>
      </c>
      <c r="S55" s="24" t="n">
        <f aca="false">IF(S$45&lt;$G55,0,IF($F55=1,$C$10+($C$11-$C$10)*MIN(S$45-$G55,$C$12)/$C$12,$E55*$C$5*INDEX($C$6:$C$9,MIN(S$45-$G55,3)+1)))*(1-$C$14)*IF(AND($C55="Verified",$C$39=1),0,1)</f>
        <v>20.4</v>
      </c>
      <c r="T55" s="24" t="n">
        <f aca="false">IF(T$45&lt;$G55,0,IF($F55=1,$C$10+($C$11-$C$10)*MIN(T$45-$G55,$C$12)/$C$12,$E55*$C$5*INDEX($C$6:$C$9,MIN(T$45-$G55,3)+1)))*(1-$C$14)*IF(AND($C55="Verified",$C$39=1),0,1)</f>
        <v>20.4</v>
      </c>
      <c r="U55" s="24" t="n">
        <f aca="false">IF(U$45&lt;$G55,0,IF($F55=1,$C$10+($C$11-$C$10)*MIN(U$45-$G55,$C$12)/$C$12,$E55*$C$5*INDEX($C$6:$C$9,MIN(U$45-$G55,3)+1)))*(1-$C$14)*IF(AND($C55="Verified",$C$39=1),0,1)</f>
        <v>20.4</v>
      </c>
      <c r="V55" s="24" t="n">
        <f aca="false">IF(V$45&lt;$G55,0,IF($F55=1,$C$10+($C$11-$C$10)*MIN(V$45-$G55,$C$12)/$C$12,$E55*$C$5*INDEX($C$6:$C$9,MIN(V$45-$G55,3)+1)))*(1-$C$14)*IF(AND($C55="Verified",$C$39=1),0,1)</f>
        <v>20.4</v>
      </c>
      <c r="W55" s="24" t="n">
        <f aca="false">IF(W$45&lt;$G55,0,IF($F55=1,$C$10+($C$11-$C$10)*MIN(W$45-$G55,$C$12)/$C$12,$E55*$C$5*INDEX($C$6:$C$9,MIN(W$45-$G55,3)+1)))*(1-$C$14)*IF(AND($C55="Verified",$C$39=1),0,1)</f>
        <v>20.4</v>
      </c>
      <c r="X55" s="24" t="n">
        <f aca="false">IF(X$45&lt;$G55,0,IF($F55=1,$C$10+($C$11-$C$10)*MIN(X$45-$G55,$C$12)/$C$12,$E55*$C$5*INDEX($C$6:$C$9,MIN(X$45-$G55,3)+1)))*(1-$C$14)*IF(AND($C55="Verified",$C$39=1),0,1)</f>
        <v>20.4</v>
      </c>
      <c r="Y55" s="24" t="n">
        <f aca="false">IF(Y$45&lt;$G55,0,IF($F55=1,$C$10+($C$11-$C$10)*MIN(Y$45-$G55,$C$12)/$C$12,$E55*$C$5*INDEX($C$6:$C$9,MIN(Y$45-$G55,3)+1)))*(1-$C$14)*IF(AND($C55="Verified",$C$39=1),0,1)</f>
        <v>20.4</v>
      </c>
    </row>
    <row r="56" customFormat="false" ht="15" hidden="false" customHeight="false" outlineLevel="0" collapsed="false">
      <c r="A56" s="29" t="n">
        <f aca="false">Assumptions!A65</f>
        <v>9</v>
      </c>
      <c r="B56" s="29" t="str">
        <f aca="false">Assumptions!B65</f>
        <v>A</v>
      </c>
      <c r="C56" s="29" t="str">
        <f aca="false">Assumptions!C65</f>
        <v>Assured</v>
      </c>
      <c r="D56" s="34" t="n">
        <f aca="false">Assumptions!D65</f>
        <v>12000</v>
      </c>
      <c r="E56" s="31" t="n">
        <f aca="false">Assumptions!E65</f>
        <v>24</v>
      </c>
      <c r="F56" s="29" t="n">
        <f aca="false">Assumptions!G65</f>
        <v>0</v>
      </c>
      <c r="G56" s="2" t="n">
        <f aca="false">Assumptions!F65+IF(F56=1,0,$C$15)</f>
        <v>5</v>
      </c>
      <c r="H56" s="24" t="n">
        <f aca="false">IF(H$45&lt;$G56,0,IF($F56=1,$C$10+($C$11-$C$10)*MIN(H$45-$G56,$C$12)/$C$12,$E56*$C$5*INDEX($C$6:$C$9,MIN(H$45-$G56,3)+1)))*(1-$C$14)*IF(AND($C56="Verified",$C$39=1),0,1)</f>
        <v>0</v>
      </c>
      <c r="I56" s="24" t="n">
        <f aca="false">IF(I$45&lt;$G56,0,IF($F56=1,$C$10+($C$11-$C$10)*MIN(I$45-$G56,$C$12)/$C$12,$E56*$C$5*INDEX($C$6:$C$9,MIN(I$45-$G56,3)+1)))*(1-$C$14)*IF(AND($C56="Verified",$C$39=1),0,1)</f>
        <v>0</v>
      </c>
      <c r="J56" s="24" t="n">
        <f aca="false">IF(J$45&lt;$G56,0,IF($F56=1,$C$10+($C$11-$C$10)*MIN(J$45-$G56,$C$12)/$C$12,$E56*$C$5*INDEX($C$6:$C$9,MIN(J$45-$G56,3)+1)))*(1-$C$14)*IF(AND($C56="Verified",$C$39=1),0,1)</f>
        <v>0</v>
      </c>
      <c r="K56" s="24" t="n">
        <f aca="false">IF(K$45&lt;$G56,0,IF($F56=1,$C$10+($C$11-$C$10)*MIN(K$45-$G56,$C$12)/$C$12,$E56*$C$5*INDEX($C$6:$C$9,MIN(K$45-$G56,3)+1)))*(1-$C$14)*IF(AND($C56="Verified",$C$39=1),0,1)</f>
        <v>0</v>
      </c>
      <c r="L56" s="24" t="n">
        <f aca="false">IF(L$45&lt;$G56,0,IF($F56=1,$C$10+($C$11-$C$10)*MIN(L$45-$G56,$C$12)/$C$12,$E56*$C$5*INDEX($C$6:$C$9,MIN(L$45-$G56,3)+1)))*(1-$C$14)*IF(AND($C56="Verified",$C$39=1),0,1)</f>
        <v>6.12</v>
      </c>
      <c r="M56" s="24" t="n">
        <f aca="false">IF(M$45&lt;$G56,0,IF($F56=1,$C$10+($C$11-$C$10)*MIN(M$45-$G56,$C$12)/$C$12,$E56*$C$5*INDEX($C$6:$C$9,MIN(M$45-$G56,3)+1)))*(1-$C$14)*IF(AND($C56="Verified",$C$39=1),0,1)</f>
        <v>12.24</v>
      </c>
      <c r="N56" s="24" t="n">
        <f aca="false">IF(N$45&lt;$G56,0,IF($F56=1,$C$10+($C$11-$C$10)*MIN(N$45-$G56,$C$12)/$C$12,$E56*$C$5*INDEX($C$6:$C$9,MIN(N$45-$G56,3)+1)))*(1-$C$14)*IF(AND($C56="Verified",$C$39=1),0,1)</f>
        <v>17.34</v>
      </c>
      <c r="O56" s="24" t="n">
        <f aca="false">IF(O$45&lt;$G56,0,IF($F56=1,$C$10+($C$11-$C$10)*MIN(O$45-$G56,$C$12)/$C$12,$E56*$C$5*INDEX($C$6:$C$9,MIN(O$45-$G56,3)+1)))*(1-$C$14)*IF(AND($C56="Verified",$C$39=1),0,1)</f>
        <v>20.4</v>
      </c>
      <c r="P56" s="24" t="n">
        <f aca="false">IF(P$45&lt;$G56,0,IF($F56=1,$C$10+($C$11-$C$10)*MIN(P$45-$G56,$C$12)/$C$12,$E56*$C$5*INDEX($C$6:$C$9,MIN(P$45-$G56,3)+1)))*(1-$C$14)*IF(AND($C56="Verified",$C$39=1),0,1)</f>
        <v>20.4</v>
      </c>
      <c r="Q56" s="24" t="n">
        <f aca="false">IF(Q$45&lt;$G56,0,IF($F56=1,$C$10+($C$11-$C$10)*MIN(Q$45-$G56,$C$12)/$C$12,$E56*$C$5*INDEX($C$6:$C$9,MIN(Q$45-$G56,3)+1)))*(1-$C$14)*IF(AND($C56="Verified",$C$39=1),0,1)</f>
        <v>20.4</v>
      </c>
      <c r="R56" s="24" t="n">
        <f aca="false">IF(R$45&lt;$G56,0,IF($F56=1,$C$10+($C$11-$C$10)*MIN(R$45-$G56,$C$12)/$C$12,$E56*$C$5*INDEX($C$6:$C$9,MIN(R$45-$G56,3)+1)))*(1-$C$14)*IF(AND($C56="Verified",$C$39=1),0,1)</f>
        <v>20.4</v>
      </c>
      <c r="S56" s="24" t="n">
        <f aca="false">IF(S$45&lt;$G56,0,IF($F56=1,$C$10+($C$11-$C$10)*MIN(S$45-$G56,$C$12)/$C$12,$E56*$C$5*INDEX($C$6:$C$9,MIN(S$45-$G56,3)+1)))*(1-$C$14)*IF(AND($C56="Verified",$C$39=1),0,1)</f>
        <v>20.4</v>
      </c>
      <c r="T56" s="24" t="n">
        <f aca="false">IF(T$45&lt;$G56,0,IF($F56=1,$C$10+($C$11-$C$10)*MIN(T$45-$G56,$C$12)/$C$12,$E56*$C$5*INDEX($C$6:$C$9,MIN(T$45-$G56,3)+1)))*(1-$C$14)*IF(AND($C56="Verified",$C$39=1),0,1)</f>
        <v>20.4</v>
      </c>
      <c r="U56" s="24" t="n">
        <f aca="false">IF(U$45&lt;$G56,0,IF($F56=1,$C$10+($C$11-$C$10)*MIN(U$45-$G56,$C$12)/$C$12,$E56*$C$5*INDEX($C$6:$C$9,MIN(U$45-$G56,3)+1)))*(1-$C$14)*IF(AND($C56="Verified",$C$39=1),0,1)</f>
        <v>20.4</v>
      </c>
      <c r="V56" s="24" t="n">
        <f aca="false">IF(V$45&lt;$G56,0,IF($F56=1,$C$10+($C$11-$C$10)*MIN(V$45-$G56,$C$12)/$C$12,$E56*$C$5*INDEX($C$6:$C$9,MIN(V$45-$G56,3)+1)))*(1-$C$14)*IF(AND($C56="Verified",$C$39=1),0,1)</f>
        <v>20.4</v>
      </c>
      <c r="W56" s="24" t="n">
        <f aca="false">IF(W$45&lt;$G56,0,IF($F56=1,$C$10+($C$11-$C$10)*MIN(W$45-$G56,$C$12)/$C$12,$E56*$C$5*INDEX($C$6:$C$9,MIN(W$45-$G56,3)+1)))*(1-$C$14)*IF(AND($C56="Verified",$C$39=1),0,1)</f>
        <v>20.4</v>
      </c>
      <c r="X56" s="24" t="n">
        <f aca="false">IF(X$45&lt;$G56,0,IF($F56=1,$C$10+($C$11-$C$10)*MIN(X$45-$G56,$C$12)/$C$12,$E56*$C$5*INDEX($C$6:$C$9,MIN(X$45-$G56,3)+1)))*(1-$C$14)*IF(AND($C56="Verified",$C$39=1),0,1)</f>
        <v>20.4</v>
      </c>
      <c r="Y56" s="24" t="n">
        <f aca="false">IF(Y$45&lt;$G56,0,IF($F56=1,$C$10+($C$11-$C$10)*MIN(Y$45-$G56,$C$12)/$C$12,$E56*$C$5*INDEX($C$6:$C$9,MIN(Y$45-$G56,3)+1)))*(1-$C$14)*IF(AND($C56="Verified",$C$39=1),0,1)</f>
        <v>20.4</v>
      </c>
    </row>
    <row r="57" customFormat="false" ht="15" hidden="false" customHeight="false" outlineLevel="0" collapsed="false">
      <c r="A57" s="29" t="n">
        <f aca="false">Assumptions!A66</f>
        <v>10</v>
      </c>
      <c r="B57" s="29" t="str">
        <f aca="false">Assumptions!B66</f>
        <v>C</v>
      </c>
      <c r="C57" s="29" t="str">
        <f aca="false">Assumptions!C66</f>
        <v>Assured</v>
      </c>
      <c r="D57" s="34" t="n">
        <f aca="false">Assumptions!D66</f>
        <v>8000</v>
      </c>
      <c r="E57" s="31" t="n">
        <f aca="false">Assumptions!E66</f>
        <v>26</v>
      </c>
      <c r="F57" s="29" t="n">
        <f aca="false">Assumptions!G66</f>
        <v>0</v>
      </c>
      <c r="G57" s="2" t="n">
        <f aca="false">Assumptions!F66+IF(F57=1,0,$C$15)</f>
        <v>6</v>
      </c>
      <c r="H57" s="24" t="n">
        <f aca="false">IF(H$45&lt;$G57,0,IF($F57=1,$C$10+($C$11-$C$10)*MIN(H$45-$G57,$C$12)/$C$12,$E57*$C$5*INDEX($C$6:$C$9,MIN(H$45-$G57,3)+1)))*(1-$C$14)*IF(AND($C57="Verified",$C$39=1),0,1)</f>
        <v>0</v>
      </c>
      <c r="I57" s="24" t="n">
        <f aca="false">IF(I$45&lt;$G57,0,IF($F57=1,$C$10+($C$11-$C$10)*MIN(I$45-$G57,$C$12)/$C$12,$E57*$C$5*INDEX($C$6:$C$9,MIN(I$45-$G57,3)+1)))*(1-$C$14)*IF(AND($C57="Verified",$C$39=1),0,1)</f>
        <v>0</v>
      </c>
      <c r="J57" s="24" t="n">
        <f aca="false">IF(J$45&lt;$G57,0,IF($F57=1,$C$10+($C$11-$C$10)*MIN(J$45-$G57,$C$12)/$C$12,$E57*$C$5*INDEX($C$6:$C$9,MIN(J$45-$G57,3)+1)))*(1-$C$14)*IF(AND($C57="Verified",$C$39=1),0,1)</f>
        <v>0</v>
      </c>
      <c r="K57" s="24" t="n">
        <f aca="false">IF(K$45&lt;$G57,0,IF($F57=1,$C$10+($C$11-$C$10)*MIN(K$45-$G57,$C$12)/$C$12,$E57*$C$5*INDEX($C$6:$C$9,MIN(K$45-$G57,3)+1)))*(1-$C$14)*IF(AND($C57="Verified",$C$39=1),0,1)</f>
        <v>0</v>
      </c>
      <c r="L57" s="24" t="n">
        <f aca="false">IF(L$45&lt;$G57,0,IF($F57=1,$C$10+($C$11-$C$10)*MIN(L$45-$G57,$C$12)/$C$12,$E57*$C$5*INDEX($C$6:$C$9,MIN(L$45-$G57,3)+1)))*(1-$C$14)*IF(AND($C57="Verified",$C$39=1),0,1)</f>
        <v>0</v>
      </c>
      <c r="M57" s="24" t="n">
        <f aca="false">IF(M$45&lt;$G57,0,IF($F57=1,$C$10+($C$11-$C$10)*MIN(M$45-$G57,$C$12)/$C$12,$E57*$C$5*INDEX($C$6:$C$9,MIN(M$45-$G57,3)+1)))*(1-$C$14)*IF(AND($C57="Verified",$C$39=1),0,1)</f>
        <v>6.63</v>
      </c>
      <c r="N57" s="24" t="n">
        <f aca="false">IF(N$45&lt;$G57,0,IF($F57=1,$C$10+($C$11-$C$10)*MIN(N$45-$G57,$C$12)/$C$12,$E57*$C$5*INDEX($C$6:$C$9,MIN(N$45-$G57,3)+1)))*(1-$C$14)*IF(AND($C57="Verified",$C$39=1),0,1)</f>
        <v>13.26</v>
      </c>
      <c r="O57" s="24" t="n">
        <f aca="false">IF(O$45&lt;$G57,0,IF($F57=1,$C$10+($C$11-$C$10)*MIN(O$45-$G57,$C$12)/$C$12,$E57*$C$5*INDEX($C$6:$C$9,MIN(O$45-$G57,3)+1)))*(1-$C$14)*IF(AND($C57="Verified",$C$39=1),0,1)</f>
        <v>18.785</v>
      </c>
      <c r="P57" s="24" t="n">
        <f aca="false">IF(P$45&lt;$G57,0,IF($F57=1,$C$10+($C$11-$C$10)*MIN(P$45-$G57,$C$12)/$C$12,$E57*$C$5*INDEX($C$6:$C$9,MIN(P$45-$G57,3)+1)))*(1-$C$14)*IF(AND($C57="Verified",$C$39=1),0,1)</f>
        <v>22.1</v>
      </c>
      <c r="Q57" s="24" t="n">
        <f aca="false">IF(Q$45&lt;$G57,0,IF($F57=1,$C$10+($C$11-$C$10)*MIN(Q$45-$G57,$C$12)/$C$12,$E57*$C$5*INDEX($C$6:$C$9,MIN(Q$45-$G57,3)+1)))*(1-$C$14)*IF(AND($C57="Verified",$C$39=1),0,1)</f>
        <v>22.1</v>
      </c>
      <c r="R57" s="24" t="n">
        <f aca="false">IF(R$45&lt;$G57,0,IF($F57=1,$C$10+($C$11-$C$10)*MIN(R$45-$G57,$C$12)/$C$12,$E57*$C$5*INDEX($C$6:$C$9,MIN(R$45-$G57,3)+1)))*(1-$C$14)*IF(AND($C57="Verified",$C$39=1),0,1)</f>
        <v>22.1</v>
      </c>
      <c r="S57" s="24" t="n">
        <f aca="false">IF(S$45&lt;$G57,0,IF($F57=1,$C$10+($C$11-$C$10)*MIN(S$45-$G57,$C$12)/$C$12,$E57*$C$5*INDEX($C$6:$C$9,MIN(S$45-$G57,3)+1)))*(1-$C$14)*IF(AND($C57="Verified",$C$39=1),0,1)</f>
        <v>22.1</v>
      </c>
      <c r="T57" s="24" t="n">
        <f aca="false">IF(T$45&lt;$G57,0,IF($F57=1,$C$10+($C$11-$C$10)*MIN(T$45-$G57,$C$12)/$C$12,$E57*$C$5*INDEX($C$6:$C$9,MIN(T$45-$G57,3)+1)))*(1-$C$14)*IF(AND($C57="Verified",$C$39=1),0,1)</f>
        <v>22.1</v>
      </c>
      <c r="U57" s="24" t="n">
        <f aca="false">IF(U$45&lt;$G57,0,IF($F57=1,$C$10+($C$11-$C$10)*MIN(U$45-$G57,$C$12)/$C$12,$E57*$C$5*INDEX($C$6:$C$9,MIN(U$45-$G57,3)+1)))*(1-$C$14)*IF(AND($C57="Verified",$C$39=1),0,1)</f>
        <v>22.1</v>
      </c>
      <c r="V57" s="24" t="n">
        <f aca="false">IF(V$45&lt;$G57,0,IF($F57=1,$C$10+($C$11-$C$10)*MIN(V$45-$G57,$C$12)/$C$12,$E57*$C$5*INDEX($C$6:$C$9,MIN(V$45-$G57,3)+1)))*(1-$C$14)*IF(AND($C57="Verified",$C$39=1),0,1)</f>
        <v>22.1</v>
      </c>
      <c r="W57" s="24" t="n">
        <f aca="false">IF(W$45&lt;$G57,0,IF($F57=1,$C$10+($C$11-$C$10)*MIN(W$45-$G57,$C$12)/$C$12,$E57*$C$5*INDEX($C$6:$C$9,MIN(W$45-$G57,3)+1)))*(1-$C$14)*IF(AND($C57="Verified",$C$39=1),0,1)</f>
        <v>22.1</v>
      </c>
      <c r="X57" s="24" t="n">
        <f aca="false">IF(X$45&lt;$G57,0,IF($F57=1,$C$10+($C$11-$C$10)*MIN(X$45-$G57,$C$12)/$C$12,$E57*$C$5*INDEX($C$6:$C$9,MIN(X$45-$G57,3)+1)))*(1-$C$14)*IF(AND($C57="Verified",$C$39=1),0,1)</f>
        <v>22.1</v>
      </c>
      <c r="Y57" s="24" t="n">
        <f aca="false">IF(Y$45&lt;$G57,0,IF($F57=1,$C$10+($C$11-$C$10)*MIN(Y$45-$G57,$C$12)/$C$12,$E57*$C$5*INDEX($C$6:$C$9,MIN(Y$45-$G57,3)+1)))*(1-$C$14)*IF(AND($C57="Verified",$C$39=1),0,1)</f>
        <v>22.1</v>
      </c>
    </row>
    <row r="58" customFormat="false" ht="15" hidden="false" customHeight="false" outlineLevel="0" collapsed="false">
      <c r="A58" s="29" t="n">
        <f aca="false">Assumptions!A67</f>
        <v>11</v>
      </c>
      <c r="B58" s="29" t="str">
        <f aca="false">Assumptions!B67</f>
        <v>C</v>
      </c>
      <c r="C58" s="29" t="str">
        <f aca="false">Assumptions!C67</f>
        <v>Assured</v>
      </c>
      <c r="D58" s="34" t="n">
        <f aca="false">Assumptions!D67</f>
        <v>8000</v>
      </c>
      <c r="E58" s="31" t="n">
        <f aca="false">Assumptions!E67</f>
        <v>26</v>
      </c>
      <c r="F58" s="29" t="n">
        <f aca="false">Assumptions!G67</f>
        <v>0</v>
      </c>
      <c r="G58" s="2" t="n">
        <f aca="false">Assumptions!F67+IF(F58=1,0,$C$15)</f>
        <v>7</v>
      </c>
      <c r="H58" s="24" t="n">
        <f aca="false">IF(H$45&lt;$G58,0,IF($F58=1,$C$10+($C$11-$C$10)*MIN(H$45-$G58,$C$12)/$C$12,$E58*$C$5*INDEX($C$6:$C$9,MIN(H$45-$G58,3)+1)))*(1-$C$14)*IF(AND($C58="Verified",$C$39=1),0,1)</f>
        <v>0</v>
      </c>
      <c r="I58" s="24" t="n">
        <f aca="false">IF(I$45&lt;$G58,0,IF($F58=1,$C$10+($C$11-$C$10)*MIN(I$45-$G58,$C$12)/$C$12,$E58*$C$5*INDEX($C$6:$C$9,MIN(I$45-$G58,3)+1)))*(1-$C$14)*IF(AND($C58="Verified",$C$39=1),0,1)</f>
        <v>0</v>
      </c>
      <c r="J58" s="24" t="n">
        <f aca="false">IF(J$45&lt;$G58,0,IF($F58=1,$C$10+($C$11-$C$10)*MIN(J$45-$G58,$C$12)/$C$12,$E58*$C$5*INDEX($C$6:$C$9,MIN(J$45-$G58,3)+1)))*(1-$C$14)*IF(AND($C58="Verified",$C$39=1),0,1)</f>
        <v>0</v>
      </c>
      <c r="K58" s="24" t="n">
        <f aca="false">IF(K$45&lt;$G58,0,IF($F58=1,$C$10+($C$11-$C$10)*MIN(K$45-$G58,$C$12)/$C$12,$E58*$C$5*INDEX($C$6:$C$9,MIN(K$45-$G58,3)+1)))*(1-$C$14)*IF(AND($C58="Verified",$C$39=1),0,1)</f>
        <v>0</v>
      </c>
      <c r="L58" s="24" t="n">
        <f aca="false">IF(L$45&lt;$G58,0,IF($F58=1,$C$10+($C$11-$C$10)*MIN(L$45-$G58,$C$12)/$C$12,$E58*$C$5*INDEX($C$6:$C$9,MIN(L$45-$G58,3)+1)))*(1-$C$14)*IF(AND($C58="Verified",$C$39=1),0,1)</f>
        <v>0</v>
      </c>
      <c r="M58" s="24" t="n">
        <f aca="false">IF(M$45&lt;$G58,0,IF($F58=1,$C$10+($C$11-$C$10)*MIN(M$45-$G58,$C$12)/$C$12,$E58*$C$5*INDEX($C$6:$C$9,MIN(M$45-$G58,3)+1)))*(1-$C$14)*IF(AND($C58="Verified",$C$39=1),0,1)</f>
        <v>0</v>
      </c>
      <c r="N58" s="24" t="n">
        <f aca="false">IF(N$45&lt;$G58,0,IF($F58=1,$C$10+($C$11-$C$10)*MIN(N$45-$G58,$C$12)/$C$12,$E58*$C$5*INDEX($C$6:$C$9,MIN(N$45-$G58,3)+1)))*(1-$C$14)*IF(AND($C58="Verified",$C$39=1),0,1)</f>
        <v>6.63</v>
      </c>
      <c r="O58" s="24" t="n">
        <f aca="false">IF(O$45&lt;$G58,0,IF($F58=1,$C$10+($C$11-$C$10)*MIN(O$45-$G58,$C$12)/$C$12,$E58*$C$5*INDEX($C$6:$C$9,MIN(O$45-$G58,3)+1)))*(1-$C$14)*IF(AND($C58="Verified",$C$39=1),0,1)</f>
        <v>13.26</v>
      </c>
      <c r="P58" s="24" t="n">
        <f aca="false">IF(P$45&lt;$G58,0,IF($F58=1,$C$10+($C$11-$C$10)*MIN(P$45-$G58,$C$12)/$C$12,$E58*$C$5*INDEX($C$6:$C$9,MIN(P$45-$G58,3)+1)))*(1-$C$14)*IF(AND($C58="Verified",$C$39=1),0,1)</f>
        <v>18.785</v>
      </c>
      <c r="Q58" s="24" t="n">
        <f aca="false">IF(Q$45&lt;$G58,0,IF($F58=1,$C$10+($C$11-$C$10)*MIN(Q$45-$G58,$C$12)/$C$12,$E58*$C$5*INDEX($C$6:$C$9,MIN(Q$45-$G58,3)+1)))*(1-$C$14)*IF(AND($C58="Verified",$C$39=1),0,1)</f>
        <v>22.1</v>
      </c>
      <c r="R58" s="24" t="n">
        <f aca="false">IF(R$45&lt;$G58,0,IF($F58=1,$C$10+($C$11-$C$10)*MIN(R$45-$G58,$C$12)/$C$12,$E58*$C$5*INDEX($C$6:$C$9,MIN(R$45-$G58,3)+1)))*(1-$C$14)*IF(AND($C58="Verified",$C$39=1),0,1)</f>
        <v>22.1</v>
      </c>
      <c r="S58" s="24" t="n">
        <f aca="false">IF(S$45&lt;$G58,0,IF($F58=1,$C$10+($C$11-$C$10)*MIN(S$45-$G58,$C$12)/$C$12,$E58*$C$5*INDEX($C$6:$C$9,MIN(S$45-$G58,3)+1)))*(1-$C$14)*IF(AND($C58="Verified",$C$39=1),0,1)</f>
        <v>22.1</v>
      </c>
      <c r="T58" s="24" t="n">
        <f aca="false">IF(T$45&lt;$G58,0,IF($F58=1,$C$10+($C$11-$C$10)*MIN(T$45-$G58,$C$12)/$C$12,$E58*$C$5*INDEX($C$6:$C$9,MIN(T$45-$G58,3)+1)))*(1-$C$14)*IF(AND($C58="Verified",$C$39=1),0,1)</f>
        <v>22.1</v>
      </c>
      <c r="U58" s="24" t="n">
        <f aca="false">IF(U$45&lt;$G58,0,IF($F58=1,$C$10+($C$11-$C$10)*MIN(U$45-$G58,$C$12)/$C$12,$E58*$C$5*INDEX($C$6:$C$9,MIN(U$45-$G58,3)+1)))*(1-$C$14)*IF(AND($C58="Verified",$C$39=1),0,1)</f>
        <v>22.1</v>
      </c>
      <c r="V58" s="24" t="n">
        <f aca="false">IF(V$45&lt;$G58,0,IF($F58=1,$C$10+($C$11-$C$10)*MIN(V$45-$G58,$C$12)/$C$12,$E58*$C$5*INDEX($C$6:$C$9,MIN(V$45-$G58,3)+1)))*(1-$C$14)*IF(AND($C58="Verified",$C$39=1),0,1)</f>
        <v>22.1</v>
      </c>
      <c r="W58" s="24" t="n">
        <f aca="false">IF(W$45&lt;$G58,0,IF($F58=1,$C$10+($C$11-$C$10)*MIN(W$45-$G58,$C$12)/$C$12,$E58*$C$5*INDEX($C$6:$C$9,MIN(W$45-$G58,3)+1)))*(1-$C$14)*IF(AND($C58="Verified",$C$39=1),0,1)</f>
        <v>22.1</v>
      </c>
      <c r="X58" s="24" t="n">
        <f aca="false">IF(X$45&lt;$G58,0,IF($F58=1,$C$10+($C$11-$C$10)*MIN(X$45-$G58,$C$12)/$C$12,$E58*$C$5*INDEX($C$6:$C$9,MIN(X$45-$G58,3)+1)))*(1-$C$14)*IF(AND($C58="Verified",$C$39=1),0,1)</f>
        <v>22.1</v>
      </c>
      <c r="Y58" s="24" t="n">
        <f aca="false">IF(Y$45&lt;$G58,0,IF($F58=1,$C$10+($C$11-$C$10)*MIN(Y$45-$G58,$C$12)/$C$12,$E58*$C$5*INDEX($C$6:$C$9,MIN(Y$45-$G58,3)+1)))*(1-$C$14)*IF(AND($C58="Verified",$C$39=1),0,1)</f>
        <v>22.1</v>
      </c>
    </row>
    <row r="59" customFormat="false" ht="15" hidden="false" customHeight="false" outlineLevel="0" collapsed="false">
      <c r="A59" s="29" t="n">
        <f aca="false">Assumptions!A68</f>
        <v>12</v>
      </c>
      <c r="B59" s="29" t="str">
        <f aca="false">Assumptions!B68</f>
        <v>C</v>
      </c>
      <c r="C59" s="29" t="str">
        <f aca="false">Assumptions!C68</f>
        <v>Assured</v>
      </c>
      <c r="D59" s="34" t="n">
        <f aca="false">Assumptions!D68</f>
        <v>8000</v>
      </c>
      <c r="E59" s="31" t="n">
        <f aca="false">Assumptions!E68</f>
        <v>26</v>
      </c>
      <c r="F59" s="29" t="n">
        <f aca="false">Assumptions!G68</f>
        <v>0</v>
      </c>
      <c r="G59" s="2" t="n">
        <f aca="false">Assumptions!F68+IF(F59=1,0,$C$15)</f>
        <v>7</v>
      </c>
      <c r="H59" s="24" t="n">
        <f aca="false">IF(H$45&lt;$G59,0,IF($F59=1,$C$10+($C$11-$C$10)*MIN(H$45-$G59,$C$12)/$C$12,$E59*$C$5*INDEX($C$6:$C$9,MIN(H$45-$G59,3)+1)))*(1-$C$14)*IF(AND($C59="Verified",$C$39=1),0,1)</f>
        <v>0</v>
      </c>
      <c r="I59" s="24" t="n">
        <f aca="false">IF(I$45&lt;$G59,0,IF($F59=1,$C$10+($C$11-$C$10)*MIN(I$45-$G59,$C$12)/$C$12,$E59*$C$5*INDEX($C$6:$C$9,MIN(I$45-$G59,3)+1)))*(1-$C$14)*IF(AND($C59="Verified",$C$39=1),0,1)</f>
        <v>0</v>
      </c>
      <c r="J59" s="24" t="n">
        <f aca="false">IF(J$45&lt;$G59,0,IF($F59=1,$C$10+($C$11-$C$10)*MIN(J$45-$G59,$C$12)/$C$12,$E59*$C$5*INDEX($C$6:$C$9,MIN(J$45-$G59,3)+1)))*(1-$C$14)*IF(AND($C59="Verified",$C$39=1),0,1)</f>
        <v>0</v>
      </c>
      <c r="K59" s="24" t="n">
        <f aca="false">IF(K$45&lt;$G59,0,IF($F59=1,$C$10+($C$11-$C$10)*MIN(K$45-$G59,$C$12)/$C$12,$E59*$C$5*INDEX($C$6:$C$9,MIN(K$45-$G59,3)+1)))*(1-$C$14)*IF(AND($C59="Verified",$C$39=1),0,1)</f>
        <v>0</v>
      </c>
      <c r="L59" s="24" t="n">
        <f aca="false">IF(L$45&lt;$G59,0,IF($F59=1,$C$10+($C$11-$C$10)*MIN(L$45-$G59,$C$12)/$C$12,$E59*$C$5*INDEX($C$6:$C$9,MIN(L$45-$G59,3)+1)))*(1-$C$14)*IF(AND($C59="Verified",$C$39=1),0,1)</f>
        <v>0</v>
      </c>
      <c r="M59" s="24" t="n">
        <f aca="false">IF(M$45&lt;$G59,0,IF($F59=1,$C$10+($C$11-$C$10)*MIN(M$45-$G59,$C$12)/$C$12,$E59*$C$5*INDEX($C$6:$C$9,MIN(M$45-$G59,3)+1)))*(1-$C$14)*IF(AND($C59="Verified",$C$39=1),0,1)</f>
        <v>0</v>
      </c>
      <c r="N59" s="24" t="n">
        <f aca="false">IF(N$45&lt;$G59,0,IF($F59=1,$C$10+($C$11-$C$10)*MIN(N$45-$G59,$C$12)/$C$12,$E59*$C$5*INDEX($C$6:$C$9,MIN(N$45-$G59,3)+1)))*(1-$C$14)*IF(AND($C59="Verified",$C$39=1),0,1)</f>
        <v>6.63</v>
      </c>
      <c r="O59" s="24" t="n">
        <f aca="false">IF(O$45&lt;$G59,0,IF($F59=1,$C$10+($C$11-$C$10)*MIN(O$45-$G59,$C$12)/$C$12,$E59*$C$5*INDEX($C$6:$C$9,MIN(O$45-$G59,3)+1)))*(1-$C$14)*IF(AND($C59="Verified",$C$39=1),0,1)</f>
        <v>13.26</v>
      </c>
      <c r="P59" s="24" t="n">
        <f aca="false">IF(P$45&lt;$G59,0,IF($F59=1,$C$10+($C$11-$C$10)*MIN(P$45-$G59,$C$12)/$C$12,$E59*$C$5*INDEX($C$6:$C$9,MIN(P$45-$G59,3)+1)))*(1-$C$14)*IF(AND($C59="Verified",$C$39=1),0,1)</f>
        <v>18.785</v>
      </c>
      <c r="Q59" s="24" t="n">
        <f aca="false">IF(Q$45&lt;$G59,0,IF($F59=1,$C$10+($C$11-$C$10)*MIN(Q$45-$G59,$C$12)/$C$12,$E59*$C$5*INDEX($C$6:$C$9,MIN(Q$45-$G59,3)+1)))*(1-$C$14)*IF(AND($C59="Verified",$C$39=1),0,1)</f>
        <v>22.1</v>
      </c>
      <c r="R59" s="24" t="n">
        <f aca="false">IF(R$45&lt;$G59,0,IF($F59=1,$C$10+($C$11-$C$10)*MIN(R$45-$G59,$C$12)/$C$12,$E59*$C$5*INDEX($C$6:$C$9,MIN(R$45-$G59,3)+1)))*(1-$C$14)*IF(AND($C59="Verified",$C$39=1),0,1)</f>
        <v>22.1</v>
      </c>
      <c r="S59" s="24" t="n">
        <f aca="false">IF(S$45&lt;$G59,0,IF($F59=1,$C$10+($C$11-$C$10)*MIN(S$45-$G59,$C$12)/$C$12,$E59*$C$5*INDEX($C$6:$C$9,MIN(S$45-$G59,3)+1)))*(1-$C$14)*IF(AND($C59="Verified",$C$39=1),0,1)</f>
        <v>22.1</v>
      </c>
      <c r="T59" s="24" t="n">
        <f aca="false">IF(T$45&lt;$G59,0,IF($F59=1,$C$10+($C$11-$C$10)*MIN(T$45-$G59,$C$12)/$C$12,$E59*$C$5*INDEX($C$6:$C$9,MIN(T$45-$G59,3)+1)))*(1-$C$14)*IF(AND($C59="Verified",$C$39=1),0,1)</f>
        <v>22.1</v>
      </c>
      <c r="U59" s="24" t="n">
        <f aca="false">IF(U$45&lt;$G59,0,IF($F59=1,$C$10+($C$11-$C$10)*MIN(U$45-$G59,$C$12)/$C$12,$E59*$C$5*INDEX($C$6:$C$9,MIN(U$45-$G59,3)+1)))*(1-$C$14)*IF(AND($C59="Verified",$C$39=1),0,1)</f>
        <v>22.1</v>
      </c>
      <c r="V59" s="24" t="n">
        <f aca="false">IF(V$45&lt;$G59,0,IF($F59=1,$C$10+($C$11-$C$10)*MIN(V$45-$G59,$C$12)/$C$12,$E59*$C$5*INDEX($C$6:$C$9,MIN(V$45-$G59,3)+1)))*(1-$C$14)*IF(AND($C59="Verified",$C$39=1),0,1)</f>
        <v>22.1</v>
      </c>
      <c r="W59" s="24" t="n">
        <f aca="false">IF(W$45&lt;$G59,0,IF($F59=1,$C$10+($C$11-$C$10)*MIN(W$45-$G59,$C$12)/$C$12,$E59*$C$5*INDEX($C$6:$C$9,MIN(W$45-$G59,3)+1)))*(1-$C$14)*IF(AND($C59="Verified",$C$39=1),0,1)</f>
        <v>22.1</v>
      </c>
      <c r="X59" s="24" t="n">
        <f aca="false">IF(X$45&lt;$G59,0,IF($F59=1,$C$10+($C$11-$C$10)*MIN(X$45-$G59,$C$12)/$C$12,$E59*$C$5*INDEX($C$6:$C$9,MIN(X$45-$G59,3)+1)))*(1-$C$14)*IF(AND($C59="Verified",$C$39=1),0,1)</f>
        <v>22.1</v>
      </c>
      <c r="Y59" s="24" t="n">
        <f aca="false">IF(Y$45&lt;$G59,0,IF($F59=1,$C$10+($C$11-$C$10)*MIN(Y$45-$G59,$C$12)/$C$12,$E59*$C$5*INDEX($C$6:$C$9,MIN(Y$45-$G59,3)+1)))*(1-$C$14)*IF(AND($C59="Verified",$C$39=1),0,1)</f>
        <v>22.1</v>
      </c>
    </row>
    <row r="60" customFormat="false" ht="15" hidden="false" customHeight="false" outlineLevel="0" collapsed="false">
      <c r="A60" s="29" t="n">
        <f aca="false">Assumptions!A69</f>
        <v>13</v>
      </c>
      <c r="B60" s="29" t="str">
        <f aca="false">Assumptions!B69</f>
        <v>C</v>
      </c>
      <c r="C60" s="29" t="str">
        <f aca="false">Assumptions!C69</f>
        <v>Assured</v>
      </c>
      <c r="D60" s="34" t="n">
        <f aca="false">Assumptions!D69</f>
        <v>8000</v>
      </c>
      <c r="E60" s="31" t="n">
        <f aca="false">Assumptions!E69</f>
        <v>26</v>
      </c>
      <c r="F60" s="29" t="n">
        <f aca="false">Assumptions!G69</f>
        <v>0</v>
      </c>
      <c r="G60" s="2" t="n">
        <f aca="false">Assumptions!F69+IF(F60=1,0,$C$15)</f>
        <v>8</v>
      </c>
      <c r="H60" s="24" t="n">
        <f aca="false">IF(H$45&lt;$G60,0,IF($F60=1,$C$10+($C$11-$C$10)*MIN(H$45-$G60,$C$12)/$C$12,$E60*$C$5*INDEX($C$6:$C$9,MIN(H$45-$G60,3)+1)))*(1-$C$14)*IF(AND($C60="Verified",$C$39=1),0,1)</f>
        <v>0</v>
      </c>
      <c r="I60" s="24" t="n">
        <f aca="false">IF(I$45&lt;$G60,0,IF($F60=1,$C$10+($C$11-$C$10)*MIN(I$45-$G60,$C$12)/$C$12,$E60*$C$5*INDEX($C$6:$C$9,MIN(I$45-$G60,3)+1)))*(1-$C$14)*IF(AND($C60="Verified",$C$39=1),0,1)</f>
        <v>0</v>
      </c>
      <c r="J60" s="24" t="n">
        <f aca="false">IF(J$45&lt;$G60,0,IF($F60=1,$C$10+($C$11-$C$10)*MIN(J$45-$G60,$C$12)/$C$12,$E60*$C$5*INDEX($C$6:$C$9,MIN(J$45-$G60,3)+1)))*(1-$C$14)*IF(AND($C60="Verified",$C$39=1),0,1)</f>
        <v>0</v>
      </c>
      <c r="K60" s="24" t="n">
        <f aca="false">IF(K$45&lt;$G60,0,IF($F60=1,$C$10+($C$11-$C$10)*MIN(K$45-$G60,$C$12)/$C$12,$E60*$C$5*INDEX($C$6:$C$9,MIN(K$45-$G60,3)+1)))*(1-$C$14)*IF(AND($C60="Verified",$C$39=1),0,1)</f>
        <v>0</v>
      </c>
      <c r="L60" s="24" t="n">
        <f aca="false">IF(L$45&lt;$G60,0,IF($F60=1,$C$10+($C$11-$C$10)*MIN(L$45-$G60,$C$12)/$C$12,$E60*$C$5*INDEX($C$6:$C$9,MIN(L$45-$G60,3)+1)))*(1-$C$14)*IF(AND($C60="Verified",$C$39=1),0,1)</f>
        <v>0</v>
      </c>
      <c r="M60" s="24" t="n">
        <f aca="false">IF(M$45&lt;$G60,0,IF($F60=1,$C$10+($C$11-$C$10)*MIN(M$45-$G60,$C$12)/$C$12,$E60*$C$5*INDEX($C$6:$C$9,MIN(M$45-$G60,3)+1)))*(1-$C$14)*IF(AND($C60="Verified",$C$39=1),0,1)</f>
        <v>0</v>
      </c>
      <c r="N60" s="24" t="n">
        <f aca="false">IF(N$45&lt;$G60,0,IF($F60=1,$C$10+($C$11-$C$10)*MIN(N$45-$G60,$C$12)/$C$12,$E60*$C$5*INDEX($C$6:$C$9,MIN(N$45-$G60,3)+1)))*(1-$C$14)*IF(AND($C60="Verified",$C$39=1),0,1)</f>
        <v>0</v>
      </c>
      <c r="O60" s="24" t="n">
        <f aca="false">IF(O$45&lt;$G60,0,IF($F60=1,$C$10+($C$11-$C$10)*MIN(O$45-$G60,$C$12)/$C$12,$E60*$C$5*INDEX($C$6:$C$9,MIN(O$45-$G60,3)+1)))*(1-$C$14)*IF(AND($C60="Verified",$C$39=1),0,1)</f>
        <v>6.63</v>
      </c>
      <c r="P60" s="24" t="n">
        <f aca="false">IF(P$45&lt;$G60,0,IF($F60=1,$C$10+($C$11-$C$10)*MIN(P$45-$G60,$C$12)/$C$12,$E60*$C$5*INDEX($C$6:$C$9,MIN(P$45-$G60,3)+1)))*(1-$C$14)*IF(AND($C60="Verified",$C$39=1),0,1)</f>
        <v>13.26</v>
      </c>
      <c r="Q60" s="24" t="n">
        <f aca="false">IF(Q$45&lt;$G60,0,IF($F60=1,$C$10+($C$11-$C$10)*MIN(Q$45-$G60,$C$12)/$C$12,$E60*$C$5*INDEX($C$6:$C$9,MIN(Q$45-$G60,3)+1)))*(1-$C$14)*IF(AND($C60="Verified",$C$39=1),0,1)</f>
        <v>18.785</v>
      </c>
      <c r="R60" s="24" t="n">
        <f aca="false">IF(R$45&lt;$G60,0,IF($F60=1,$C$10+($C$11-$C$10)*MIN(R$45-$G60,$C$12)/$C$12,$E60*$C$5*INDEX($C$6:$C$9,MIN(R$45-$G60,3)+1)))*(1-$C$14)*IF(AND($C60="Verified",$C$39=1),0,1)</f>
        <v>22.1</v>
      </c>
      <c r="S60" s="24" t="n">
        <f aca="false">IF(S$45&lt;$G60,0,IF($F60=1,$C$10+($C$11-$C$10)*MIN(S$45-$G60,$C$12)/$C$12,$E60*$C$5*INDEX($C$6:$C$9,MIN(S$45-$G60,3)+1)))*(1-$C$14)*IF(AND($C60="Verified",$C$39=1),0,1)</f>
        <v>22.1</v>
      </c>
      <c r="T60" s="24" t="n">
        <f aca="false">IF(T$45&lt;$G60,0,IF($F60=1,$C$10+($C$11-$C$10)*MIN(T$45-$G60,$C$12)/$C$12,$E60*$C$5*INDEX($C$6:$C$9,MIN(T$45-$G60,3)+1)))*(1-$C$14)*IF(AND($C60="Verified",$C$39=1),0,1)</f>
        <v>22.1</v>
      </c>
      <c r="U60" s="24" t="n">
        <f aca="false">IF(U$45&lt;$G60,0,IF($F60=1,$C$10+($C$11-$C$10)*MIN(U$45-$G60,$C$12)/$C$12,$E60*$C$5*INDEX($C$6:$C$9,MIN(U$45-$G60,3)+1)))*(1-$C$14)*IF(AND($C60="Verified",$C$39=1),0,1)</f>
        <v>22.1</v>
      </c>
      <c r="V60" s="24" t="n">
        <f aca="false">IF(V$45&lt;$G60,0,IF($F60=1,$C$10+($C$11-$C$10)*MIN(V$45-$G60,$C$12)/$C$12,$E60*$C$5*INDEX($C$6:$C$9,MIN(V$45-$G60,3)+1)))*(1-$C$14)*IF(AND($C60="Verified",$C$39=1),0,1)</f>
        <v>22.1</v>
      </c>
      <c r="W60" s="24" t="n">
        <f aca="false">IF(W$45&lt;$G60,0,IF($F60=1,$C$10+($C$11-$C$10)*MIN(W$45-$G60,$C$12)/$C$12,$E60*$C$5*INDEX($C$6:$C$9,MIN(W$45-$G60,3)+1)))*(1-$C$14)*IF(AND($C60="Verified",$C$39=1),0,1)</f>
        <v>22.1</v>
      </c>
      <c r="X60" s="24" t="n">
        <f aca="false">IF(X$45&lt;$G60,0,IF($F60=1,$C$10+($C$11-$C$10)*MIN(X$45-$G60,$C$12)/$C$12,$E60*$C$5*INDEX($C$6:$C$9,MIN(X$45-$G60,3)+1)))*(1-$C$14)*IF(AND($C60="Verified",$C$39=1),0,1)</f>
        <v>22.1</v>
      </c>
      <c r="Y60" s="24" t="n">
        <f aca="false">IF(Y$45&lt;$G60,0,IF($F60=1,$C$10+($C$11-$C$10)*MIN(Y$45-$G60,$C$12)/$C$12,$E60*$C$5*INDEX($C$6:$C$9,MIN(Y$45-$G60,3)+1)))*(1-$C$14)*IF(AND($C60="Verified",$C$39=1),0,1)</f>
        <v>22.1</v>
      </c>
    </row>
    <row r="61" customFormat="false" ht="15" hidden="false" customHeight="false" outlineLevel="0" collapsed="false">
      <c r="A61" s="29" t="n">
        <f aca="false">Assumptions!A70</f>
        <v>14</v>
      </c>
      <c r="B61" s="29" t="str">
        <f aca="false">Assumptions!B70</f>
        <v>B</v>
      </c>
      <c r="C61" s="29" t="str">
        <f aca="false">Assumptions!C70</f>
        <v>Connect</v>
      </c>
      <c r="D61" s="34" t="n">
        <f aca="false">Assumptions!D70</f>
        <v>6500</v>
      </c>
      <c r="E61" s="31" t="n">
        <f aca="false">Assumptions!E70</f>
        <v>30</v>
      </c>
      <c r="F61" s="29" t="n">
        <f aca="false">Assumptions!G70</f>
        <v>0</v>
      </c>
      <c r="G61" s="2" t="n">
        <f aca="false">Assumptions!F70+IF(F61=1,0,$C$15)</f>
        <v>9</v>
      </c>
      <c r="H61" s="24" t="n">
        <f aca="false">IF(H$45&lt;$G61,0,IF($F61=1,$C$10+($C$11-$C$10)*MIN(H$45-$G61,$C$12)/$C$12,$E61*$C$5*INDEX($C$6:$C$9,MIN(H$45-$G61,3)+1)))*(1-$C$14)*IF(AND($C61="Verified",$C$39=1),0,1)</f>
        <v>0</v>
      </c>
      <c r="I61" s="24" t="n">
        <f aca="false">IF(I$45&lt;$G61,0,IF($F61=1,$C$10+($C$11-$C$10)*MIN(I$45-$G61,$C$12)/$C$12,$E61*$C$5*INDEX($C$6:$C$9,MIN(I$45-$G61,3)+1)))*(1-$C$14)*IF(AND($C61="Verified",$C$39=1),0,1)</f>
        <v>0</v>
      </c>
      <c r="J61" s="24" t="n">
        <f aca="false">IF(J$45&lt;$G61,0,IF($F61=1,$C$10+($C$11-$C$10)*MIN(J$45-$G61,$C$12)/$C$12,$E61*$C$5*INDEX($C$6:$C$9,MIN(J$45-$G61,3)+1)))*(1-$C$14)*IF(AND($C61="Verified",$C$39=1),0,1)</f>
        <v>0</v>
      </c>
      <c r="K61" s="24" t="n">
        <f aca="false">IF(K$45&lt;$G61,0,IF($F61=1,$C$10+($C$11-$C$10)*MIN(K$45-$G61,$C$12)/$C$12,$E61*$C$5*INDEX($C$6:$C$9,MIN(K$45-$G61,3)+1)))*(1-$C$14)*IF(AND($C61="Verified",$C$39=1),0,1)</f>
        <v>0</v>
      </c>
      <c r="L61" s="24" t="n">
        <f aca="false">IF(L$45&lt;$G61,0,IF($F61=1,$C$10+($C$11-$C$10)*MIN(L$45-$G61,$C$12)/$C$12,$E61*$C$5*INDEX($C$6:$C$9,MIN(L$45-$G61,3)+1)))*(1-$C$14)*IF(AND($C61="Verified",$C$39=1),0,1)</f>
        <v>0</v>
      </c>
      <c r="M61" s="24" t="n">
        <f aca="false">IF(M$45&lt;$G61,0,IF($F61=1,$C$10+($C$11-$C$10)*MIN(M$45-$G61,$C$12)/$C$12,$E61*$C$5*INDEX($C$6:$C$9,MIN(M$45-$G61,3)+1)))*(1-$C$14)*IF(AND($C61="Verified",$C$39=1),0,1)</f>
        <v>0</v>
      </c>
      <c r="N61" s="24" t="n">
        <f aca="false">IF(N$45&lt;$G61,0,IF($F61=1,$C$10+($C$11-$C$10)*MIN(N$45-$G61,$C$12)/$C$12,$E61*$C$5*INDEX($C$6:$C$9,MIN(N$45-$G61,3)+1)))*(1-$C$14)*IF(AND($C61="Verified",$C$39=1),0,1)</f>
        <v>0</v>
      </c>
      <c r="O61" s="24" t="n">
        <f aca="false">IF(O$45&lt;$G61,0,IF($F61=1,$C$10+($C$11-$C$10)*MIN(O$45-$G61,$C$12)/$C$12,$E61*$C$5*INDEX($C$6:$C$9,MIN(O$45-$G61,3)+1)))*(1-$C$14)*IF(AND($C61="Verified",$C$39=1),0,1)</f>
        <v>0</v>
      </c>
      <c r="P61" s="24" t="n">
        <f aca="false">IF(P$45&lt;$G61,0,IF($F61=1,$C$10+($C$11-$C$10)*MIN(P$45-$G61,$C$12)/$C$12,$E61*$C$5*INDEX($C$6:$C$9,MIN(P$45-$G61,3)+1)))*(1-$C$14)*IF(AND($C61="Verified",$C$39=1),0,1)</f>
        <v>7.65</v>
      </c>
      <c r="Q61" s="24" t="n">
        <f aca="false">IF(Q$45&lt;$G61,0,IF($F61=1,$C$10+($C$11-$C$10)*MIN(Q$45-$G61,$C$12)/$C$12,$E61*$C$5*INDEX($C$6:$C$9,MIN(Q$45-$G61,3)+1)))*(1-$C$14)*IF(AND($C61="Verified",$C$39=1),0,1)</f>
        <v>15.3</v>
      </c>
      <c r="R61" s="24" t="n">
        <f aca="false">IF(R$45&lt;$G61,0,IF($F61=1,$C$10+($C$11-$C$10)*MIN(R$45-$G61,$C$12)/$C$12,$E61*$C$5*INDEX($C$6:$C$9,MIN(R$45-$G61,3)+1)))*(1-$C$14)*IF(AND($C61="Verified",$C$39=1),0,1)</f>
        <v>21.675</v>
      </c>
      <c r="S61" s="24" t="n">
        <f aca="false">IF(S$45&lt;$G61,0,IF($F61=1,$C$10+($C$11-$C$10)*MIN(S$45-$G61,$C$12)/$C$12,$E61*$C$5*INDEX($C$6:$C$9,MIN(S$45-$G61,3)+1)))*(1-$C$14)*IF(AND($C61="Verified",$C$39=1),0,1)</f>
        <v>25.5</v>
      </c>
      <c r="T61" s="24" t="n">
        <f aca="false">IF(T$45&lt;$G61,0,IF($F61=1,$C$10+($C$11-$C$10)*MIN(T$45-$G61,$C$12)/$C$12,$E61*$C$5*INDEX($C$6:$C$9,MIN(T$45-$G61,3)+1)))*(1-$C$14)*IF(AND($C61="Verified",$C$39=1),0,1)</f>
        <v>25.5</v>
      </c>
      <c r="U61" s="24" t="n">
        <f aca="false">IF(U$45&lt;$G61,0,IF($F61=1,$C$10+($C$11-$C$10)*MIN(U$45-$G61,$C$12)/$C$12,$E61*$C$5*INDEX($C$6:$C$9,MIN(U$45-$G61,3)+1)))*(1-$C$14)*IF(AND($C61="Verified",$C$39=1),0,1)</f>
        <v>25.5</v>
      </c>
      <c r="V61" s="24" t="n">
        <f aca="false">IF(V$45&lt;$G61,0,IF($F61=1,$C$10+($C$11-$C$10)*MIN(V$45-$G61,$C$12)/$C$12,$E61*$C$5*INDEX($C$6:$C$9,MIN(V$45-$G61,3)+1)))*(1-$C$14)*IF(AND($C61="Verified",$C$39=1),0,1)</f>
        <v>25.5</v>
      </c>
      <c r="W61" s="24" t="n">
        <f aca="false">IF(W$45&lt;$G61,0,IF($F61=1,$C$10+($C$11-$C$10)*MIN(W$45-$G61,$C$12)/$C$12,$E61*$C$5*INDEX($C$6:$C$9,MIN(W$45-$G61,3)+1)))*(1-$C$14)*IF(AND($C61="Verified",$C$39=1),0,1)</f>
        <v>25.5</v>
      </c>
      <c r="X61" s="24" t="n">
        <f aca="false">IF(X$45&lt;$G61,0,IF($F61=1,$C$10+($C$11-$C$10)*MIN(X$45-$G61,$C$12)/$C$12,$E61*$C$5*INDEX($C$6:$C$9,MIN(X$45-$G61,3)+1)))*(1-$C$14)*IF(AND($C61="Verified",$C$39=1),0,1)</f>
        <v>25.5</v>
      </c>
      <c r="Y61" s="24" t="n">
        <f aca="false">IF(Y$45&lt;$G61,0,IF($F61=1,$C$10+($C$11-$C$10)*MIN(Y$45-$G61,$C$12)/$C$12,$E61*$C$5*INDEX($C$6:$C$9,MIN(Y$45-$G61,3)+1)))*(1-$C$14)*IF(AND($C61="Verified",$C$39=1),0,1)</f>
        <v>25.5</v>
      </c>
    </row>
    <row r="62" customFormat="false" ht="15" hidden="false" customHeight="false" outlineLevel="0" collapsed="false">
      <c r="A62" s="29" t="n">
        <f aca="false">Assumptions!A71</f>
        <v>15</v>
      </c>
      <c r="B62" s="29" t="str">
        <f aca="false">Assumptions!B71</f>
        <v>B</v>
      </c>
      <c r="C62" s="29" t="str">
        <f aca="false">Assumptions!C71</f>
        <v>Connect</v>
      </c>
      <c r="D62" s="34" t="n">
        <f aca="false">Assumptions!D71</f>
        <v>6500</v>
      </c>
      <c r="E62" s="31" t="n">
        <f aca="false">Assumptions!E71</f>
        <v>30</v>
      </c>
      <c r="F62" s="29" t="n">
        <f aca="false">Assumptions!G71</f>
        <v>0</v>
      </c>
      <c r="G62" s="2" t="n">
        <f aca="false">Assumptions!F71+IF(F62=1,0,$C$15)</f>
        <v>10</v>
      </c>
      <c r="H62" s="24" t="n">
        <f aca="false">IF(H$45&lt;$G62,0,IF($F62=1,$C$10+($C$11-$C$10)*MIN(H$45-$G62,$C$12)/$C$12,$E62*$C$5*INDEX($C$6:$C$9,MIN(H$45-$G62,3)+1)))*(1-$C$14)*IF(AND($C62="Verified",$C$39=1),0,1)</f>
        <v>0</v>
      </c>
      <c r="I62" s="24" t="n">
        <f aca="false">IF(I$45&lt;$G62,0,IF($F62=1,$C$10+($C$11-$C$10)*MIN(I$45-$G62,$C$12)/$C$12,$E62*$C$5*INDEX($C$6:$C$9,MIN(I$45-$G62,3)+1)))*(1-$C$14)*IF(AND($C62="Verified",$C$39=1),0,1)</f>
        <v>0</v>
      </c>
      <c r="J62" s="24" t="n">
        <f aca="false">IF(J$45&lt;$G62,0,IF($F62=1,$C$10+($C$11-$C$10)*MIN(J$45-$G62,$C$12)/$C$12,$E62*$C$5*INDEX($C$6:$C$9,MIN(J$45-$G62,3)+1)))*(1-$C$14)*IF(AND($C62="Verified",$C$39=1),0,1)</f>
        <v>0</v>
      </c>
      <c r="K62" s="24" t="n">
        <f aca="false">IF(K$45&lt;$G62,0,IF($F62=1,$C$10+($C$11-$C$10)*MIN(K$45-$G62,$C$12)/$C$12,$E62*$C$5*INDEX($C$6:$C$9,MIN(K$45-$G62,3)+1)))*(1-$C$14)*IF(AND($C62="Verified",$C$39=1),0,1)</f>
        <v>0</v>
      </c>
      <c r="L62" s="24" t="n">
        <f aca="false">IF(L$45&lt;$G62,0,IF($F62=1,$C$10+($C$11-$C$10)*MIN(L$45-$G62,$C$12)/$C$12,$E62*$C$5*INDEX($C$6:$C$9,MIN(L$45-$G62,3)+1)))*(1-$C$14)*IF(AND($C62="Verified",$C$39=1),0,1)</f>
        <v>0</v>
      </c>
      <c r="M62" s="24" t="n">
        <f aca="false">IF(M$45&lt;$G62,0,IF($F62=1,$C$10+($C$11-$C$10)*MIN(M$45-$G62,$C$12)/$C$12,$E62*$C$5*INDEX($C$6:$C$9,MIN(M$45-$G62,3)+1)))*(1-$C$14)*IF(AND($C62="Verified",$C$39=1),0,1)</f>
        <v>0</v>
      </c>
      <c r="N62" s="24" t="n">
        <f aca="false">IF(N$45&lt;$G62,0,IF($F62=1,$C$10+($C$11-$C$10)*MIN(N$45-$G62,$C$12)/$C$12,$E62*$C$5*INDEX($C$6:$C$9,MIN(N$45-$G62,3)+1)))*(1-$C$14)*IF(AND($C62="Verified",$C$39=1),0,1)</f>
        <v>0</v>
      </c>
      <c r="O62" s="24" t="n">
        <f aca="false">IF(O$45&lt;$G62,0,IF($F62=1,$C$10+($C$11-$C$10)*MIN(O$45-$G62,$C$12)/$C$12,$E62*$C$5*INDEX($C$6:$C$9,MIN(O$45-$G62,3)+1)))*(1-$C$14)*IF(AND($C62="Verified",$C$39=1),0,1)</f>
        <v>0</v>
      </c>
      <c r="P62" s="24" t="n">
        <f aca="false">IF(P$45&lt;$G62,0,IF($F62=1,$C$10+($C$11-$C$10)*MIN(P$45-$G62,$C$12)/$C$12,$E62*$C$5*INDEX($C$6:$C$9,MIN(P$45-$G62,3)+1)))*(1-$C$14)*IF(AND($C62="Verified",$C$39=1),0,1)</f>
        <v>0</v>
      </c>
      <c r="Q62" s="24" t="n">
        <f aca="false">IF(Q$45&lt;$G62,0,IF($F62=1,$C$10+($C$11-$C$10)*MIN(Q$45-$G62,$C$12)/$C$12,$E62*$C$5*INDEX($C$6:$C$9,MIN(Q$45-$G62,3)+1)))*(1-$C$14)*IF(AND($C62="Verified",$C$39=1),0,1)</f>
        <v>7.65</v>
      </c>
      <c r="R62" s="24" t="n">
        <f aca="false">IF(R$45&lt;$G62,0,IF($F62=1,$C$10+($C$11-$C$10)*MIN(R$45-$G62,$C$12)/$C$12,$E62*$C$5*INDEX($C$6:$C$9,MIN(R$45-$G62,3)+1)))*(1-$C$14)*IF(AND($C62="Verified",$C$39=1),0,1)</f>
        <v>15.3</v>
      </c>
      <c r="S62" s="24" t="n">
        <f aca="false">IF(S$45&lt;$G62,0,IF($F62=1,$C$10+($C$11-$C$10)*MIN(S$45-$G62,$C$12)/$C$12,$E62*$C$5*INDEX($C$6:$C$9,MIN(S$45-$G62,3)+1)))*(1-$C$14)*IF(AND($C62="Verified",$C$39=1),0,1)</f>
        <v>21.675</v>
      </c>
      <c r="T62" s="24" t="n">
        <f aca="false">IF(T$45&lt;$G62,0,IF($F62=1,$C$10+($C$11-$C$10)*MIN(T$45-$G62,$C$12)/$C$12,$E62*$C$5*INDEX($C$6:$C$9,MIN(T$45-$G62,3)+1)))*(1-$C$14)*IF(AND($C62="Verified",$C$39=1),0,1)</f>
        <v>25.5</v>
      </c>
      <c r="U62" s="24" t="n">
        <f aca="false">IF(U$45&lt;$G62,0,IF($F62=1,$C$10+($C$11-$C$10)*MIN(U$45-$G62,$C$12)/$C$12,$E62*$C$5*INDEX($C$6:$C$9,MIN(U$45-$G62,3)+1)))*(1-$C$14)*IF(AND($C62="Verified",$C$39=1),0,1)</f>
        <v>25.5</v>
      </c>
      <c r="V62" s="24" t="n">
        <f aca="false">IF(V$45&lt;$G62,0,IF($F62=1,$C$10+($C$11-$C$10)*MIN(V$45-$G62,$C$12)/$C$12,$E62*$C$5*INDEX($C$6:$C$9,MIN(V$45-$G62,3)+1)))*(1-$C$14)*IF(AND($C62="Verified",$C$39=1),0,1)</f>
        <v>25.5</v>
      </c>
      <c r="W62" s="24" t="n">
        <f aca="false">IF(W$45&lt;$G62,0,IF($F62=1,$C$10+($C$11-$C$10)*MIN(W$45-$G62,$C$12)/$C$12,$E62*$C$5*INDEX($C$6:$C$9,MIN(W$45-$G62,3)+1)))*(1-$C$14)*IF(AND($C62="Verified",$C$39=1),0,1)</f>
        <v>25.5</v>
      </c>
      <c r="X62" s="24" t="n">
        <f aca="false">IF(X$45&lt;$G62,0,IF($F62=1,$C$10+($C$11-$C$10)*MIN(X$45-$G62,$C$12)/$C$12,$E62*$C$5*INDEX($C$6:$C$9,MIN(X$45-$G62,3)+1)))*(1-$C$14)*IF(AND($C62="Verified",$C$39=1),0,1)</f>
        <v>25.5</v>
      </c>
      <c r="Y62" s="24" t="n">
        <f aca="false">IF(Y$45&lt;$G62,0,IF($F62=1,$C$10+($C$11-$C$10)*MIN(Y$45-$G62,$C$12)/$C$12,$E62*$C$5*INDEX($C$6:$C$9,MIN(Y$45-$G62,3)+1)))*(1-$C$14)*IF(AND($C62="Verified",$C$39=1),0,1)</f>
        <v>25.5</v>
      </c>
    </row>
    <row r="63" customFormat="false" ht="15" hidden="false" customHeight="false" outlineLevel="0" collapsed="false">
      <c r="A63" s="29" t="n">
        <f aca="false">Assumptions!A72</f>
        <v>16</v>
      </c>
      <c r="B63" s="29" t="str">
        <f aca="false">Assumptions!B72</f>
        <v>B</v>
      </c>
      <c r="C63" s="29" t="str">
        <f aca="false">Assumptions!C72</f>
        <v>Connect</v>
      </c>
      <c r="D63" s="34" t="n">
        <f aca="false">Assumptions!D72</f>
        <v>6500</v>
      </c>
      <c r="E63" s="31" t="n">
        <f aca="false">Assumptions!E72</f>
        <v>30</v>
      </c>
      <c r="F63" s="29" t="n">
        <f aca="false">Assumptions!G72</f>
        <v>0</v>
      </c>
      <c r="G63" s="2" t="n">
        <f aca="false">Assumptions!F72+IF(F63=1,0,$C$15)</f>
        <v>11</v>
      </c>
      <c r="H63" s="24" t="n">
        <f aca="false">IF(H$45&lt;$G63,0,IF($F63=1,$C$10+($C$11-$C$10)*MIN(H$45-$G63,$C$12)/$C$12,$E63*$C$5*INDEX($C$6:$C$9,MIN(H$45-$G63,3)+1)))*(1-$C$14)*IF(AND($C63="Verified",$C$39=1),0,1)</f>
        <v>0</v>
      </c>
      <c r="I63" s="24" t="n">
        <f aca="false">IF(I$45&lt;$G63,0,IF($F63=1,$C$10+($C$11-$C$10)*MIN(I$45-$G63,$C$12)/$C$12,$E63*$C$5*INDEX($C$6:$C$9,MIN(I$45-$G63,3)+1)))*(1-$C$14)*IF(AND($C63="Verified",$C$39=1),0,1)</f>
        <v>0</v>
      </c>
      <c r="J63" s="24" t="n">
        <f aca="false">IF(J$45&lt;$G63,0,IF($F63=1,$C$10+($C$11-$C$10)*MIN(J$45-$G63,$C$12)/$C$12,$E63*$C$5*INDEX($C$6:$C$9,MIN(J$45-$G63,3)+1)))*(1-$C$14)*IF(AND($C63="Verified",$C$39=1),0,1)</f>
        <v>0</v>
      </c>
      <c r="K63" s="24" t="n">
        <f aca="false">IF(K$45&lt;$G63,0,IF($F63=1,$C$10+($C$11-$C$10)*MIN(K$45-$G63,$C$12)/$C$12,$E63*$C$5*INDEX($C$6:$C$9,MIN(K$45-$G63,3)+1)))*(1-$C$14)*IF(AND($C63="Verified",$C$39=1),0,1)</f>
        <v>0</v>
      </c>
      <c r="L63" s="24" t="n">
        <f aca="false">IF(L$45&lt;$G63,0,IF($F63=1,$C$10+($C$11-$C$10)*MIN(L$45-$G63,$C$12)/$C$12,$E63*$C$5*INDEX($C$6:$C$9,MIN(L$45-$G63,3)+1)))*(1-$C$14)*IF(AND($C63="Verified",$C$39=1),0,1)</f>
        <v>0</v>
      </c>
      <c r="M63" s="24" t="n">
        <f aca="false">IF(M$45&lt;$G63,0,IF($F63=1,$C$10+($C$11-$C$10)*MIN(M$45-$G63,$C$12)/$C$12,$E63*$C$5*INDEX($C$6:$C$9,MIN(M$45-$G63,3)+1)))*(1-$C$14)*IF(AND($C63="Verified",$C$39=1),0,1)</f>
        <v>0</v>
      </c>
      <c r="N63" s="24" t="n">
        <f aca="false">IF(N$45&lt;$G63,0,IF($F63=1,$C$10+($C$11-$C$10)*MIN(N$45-$G63,$C$12)/$C$12,$E63*$C$5*INDEX($C$6:$C$9,MIN(N$45-$G63,3)+1)))*(1-$C$14)*IF(AND($C63="Verified",$C$39=1),0,1)</f>
        <v>0</v>
      </c>
      <c r="O63" s="24" t="n">
        <f aca="false">IF(O$45&lt;$G63,0,IF($F63=1,$C$10+($C$11-$C$10)*MIN(O$45-$G63,$C$12)/$C$12,$E63*$C$5*INDEX($C$6:$C$9,MIN(O$45-$G63,3)+1)))*(1-$C$14)*IF(AND($C63="Verified",$C$39=1),0,1)</f>
        <v>0</v>
      </c>
      <c r="P63" s="24" t="n">
        <f aca="false">IF(P$45&lt;$G63,0,IF($F63=1,$C$10+($C$11-$C$10)*MIN(P$45-$G63,$C$12)/$C$12,$E63*$C$5*INDEX($C$6:$C$9,MIN(P$45-$G63,3)+1)))*(1-$C$14)*IF(AND($C63="Verified",$C$39=1),0,1)</f>
        <v>0</v>
      </c>
      <c r="Q63" s="24" t="n">
        <f aca="false">IF(Q$45&lt;$G63,0,IF($F63=1,$C$10+($C$11-$C$10)*MIN(Q$45-$G63,$C$12)/$C$12,$E63*$C$5*INDEX($C$6:$C$9,MIN(Q$45-$G63,3)+1)))*(1-$C$14)*IF(AND($C63="Verified",$C$39=1),0,1)</f>
        <v>0</v>
      </c>
      <c r="R63" s="24" t="n">
        <f aca="false">IF(R$45&lt;$G63,0,IF($F63=1,$C$10+($C$11-$C$10)*MIN(R$45-$G63,$C$12)/$C$12,$E63*$C$5*INDEX($C$6:$C$9,MIN(R$45-$G63,3)+1)))*(1-$C$14)*IF(AND($C63="Verified",$C$39=1),0,1)</f>
        <v>7.65</v>
      </c>
      <c r="S63" s="24" t="n">
        <f aca="false">IF(S$45&lt;$G63,0,IF($F63=1,$C$10+($C$11-$C$10)*MIN(S$45-$G63,$C$12)/$C$12,$E63*$C$5*INDEX($C$6:$C$9,MIN(S$45-$G63,3)+1)))*(1-$C$14)*IF(AND($C63="Verified",$C$39=1),0,1)</f>
        <v>15.3</v>
      </c>
      <c r="T63" s="24" t="n">
        <f aca="false">IF(T$45&lt;$G63,0,IF($F63=1,$C$10+($C$11-$C$10)*MIN(T$45-$G63,$C$12)/$C$12,$E63*$C$5*INDEX($C$6:$C$9,MIN(T$45-$G63,3)+1)))*(1-$C$14)*IF(AND($C63="Verified",$C$39=1),0,1)</f>
        <v>21.675</v>
      </c>
      <c r="U63" s="24" t="n">
        <f aca="false">IF(U$45&lt;$G63,0,IF($F63=1,$C$10+($C$11-$C$10)*MIN(U$45-$G63,$C$12)/$C$12,$E63*$C$5*INDEX($C$6:$C$9,MIN(U$45-$G63,3)+1)))*(1-$C$14)*IF(AND($C63="Verified",$C$39=1),0,1)</f>
        <v>25.5</v>
      </c>
      <c r="V63" s="24" t="n">
        <f aca="false">IF(V$45&lt;$G63,0,IF($F63=1,$C$10+($C$11-$C$10)*MIN(V$45-$G63,$C$12)/$C$12,$E63*$C$5*INDEX($C$6:$C$9,MIN(V$45-$G63,3)+1)))*(1-$C$14)*IF(AND($C63="Verified",$C$39=1),0,1)</f>
        <v>25.5</v>
      </c>
      <c r="W63" s="24" t="n">
        <f aca="false">IF(W$45&lt;$G63,0,IF($F63=1,$C$10+($C$11-$C$10)*MIN(W$45-$G63,$C$12)/$C$12,$E63*$C$5*INDEX($C$6:$C$9,MIN(W$45-$G63,3)+1)))*(1-$C$14)*IF(AND($C63="Verified",$C$39=1),0,1)</f>
        <v>25.5</v>
      </c>
      <c r="X63" s="24" t="n">
        <f aca="false">IF(X$45&lt;$G63,0,IF($F63=1,$C$10+($C$11-$C$10)*MIN(X$45-$G63,$C$12)/$C$12,$E63*$C$5*INDEX($C$6:$C$9,MIN(X$45-$G63,3)+1)))*(1-$C$14)*IF(AND($C63="Verified",$C$39=1),0,1)</f>
        <v>25.5</v>
      </c>
      <c r="Y63" s="24" t="n">
        <f aca="false">IF(Y$45&lt;$G63,0,IF($F63=1,$C$10+($C$11-$C$10)*MIN(Y$45-$G63,$C$12)/$C$12,$E63*$C$5*INDEX($C$6:$C$9,MIN(Y$45-$G63,3)+1)))*(1-$C$14)*IF(AND($C63="Verified",$C$39=1),0,1)</f>
        <v>25.5</v>
      </c>
    </row>
    <row r="64" customFormat="false" ht="15" hidden="false" customHeight="false" outlineLevel="0" collapsed="false">
      <c r="A64" s="29" t="n">
        <f aca="false">Assumptions!A73</f>
        <v>17</v>
      </c>
      <c r="B64" s="29" t="str">
        <f aca="false">Assumptions!B73</f>
        <v>B</v>
      </c>
      <c r="C64" s="29" t="str">
        <f aca="false">Assumptions!C73</f>
        <v>Verified</v>
      </c>
      <c r="D64" s="34" t="n">
        <f aca="false">Assumptions!D73</f>
        <v>6500</v>
      </c>
      <c r="E64" s="31" t="n">
        <f aca="false">Assumptions!E73</f>
        <v>30</v>
      </c>
      <c r="F64" s="29" t="n">
        <f aca="false">Assumptions!G73</f>
        <v>0</v>
      </c>
      <c r="G64" s="2" t="n">
        <f aca="false">Assumptions!F73+IF(F64=1,0,$C$15)</f>
        <v>12</v>
      </c>
      <c r="H64" s="24" t="n">
        <f aca="false">IF(H$45&lt;$G64,0,IF($F64=1,$C$10+($C$11-$C$10)*MIN(H$45-$G64,$C$12)/$C$12,$E64*$C$5*INDEX($C$6:$C$9,MIN(H$45-$G64,3)+1)))*(1-$C$14)*IF(AND($C64="Verified",$C$39=1),0,1)</f>
        <v>0</v>
      </c>
      <c r="I64" s="24" t="n">
        <f aca="false">IF(I$45&lt;$G64,0,IF($F64=1,$C$10+($C$11-$C$10)*MIN(I$45-$G64,$C$12)/$C$12,$E64*$C$5*INDEX($C$6:$C$9,MIN(I$45-$G64,3)+1)))*(1-$C$14)*IF(AND($C64="Verified",$C$39=1),0,1)</f>
        <v>0</v>
      </c>
      <c r="J64" s="24" t="n">
        <f aca="false">IF(J$45&lt;$G64,0,IF($F64=1,$C$10+($C$11-$C$10)*MIN(J$45-$G64,$C$12)/$C$12,$E64*$C$5*INDEX($C$6:$C$9,MIN(J$45-$G64,3)+1)))*(1-$C$14)*IF(AND($C64="Verified",$C$39=1),0,1)</f>
        <v>0</v>
      </c>
      <c r="K64" s="24" t="n">
        <f aca="false">IF(K$45&lt;$G64,0,IF($F64=1,$C$10+($C$11-$C$10)*MIN(K$45-$G64,$C$12)/$C$12,$E64*$C$5*INDEX($C$6:$C$9,MIN(K$45-$G64,3)+1)))*(1-$C$14)*IF(AND($C64="Verified",$C$39=1),0,1)</f>
        <v>0</v>
      </c>
      <c r="L64" s="24" t="n">
        <f aca="false">IF(L$45&lt;$G64,0,IF($F64=1,$C$10+($C$11-$C$10)*MIN(L$45-$G64,$C$12)/$C$12,$E64*$C$5*INDEX($C$6:$C$9,MIN(L$45-$G64,3)+1)))*(1-$C$14)*IF(AND($C64="Verified",$C$39=1),0,1)</f>
        <v>0</v>
      </c>
      <c r="M64" s="24" t="n">
        <f aca="false">IF(M$45&lt;$G64,0,IF($F64=1,$C$10+($C$11-$C$10)*MIN(M$45-$G64,$C$12)/$C$12,$E64*$C$5*INDEX($C$6:$C$9,MIN(M$45-$G64,3)+1)))*(1-$C$14)*IF(AND($C64="Verified",$C$39=1),0,1)</f>
        <v>0</v>
      </c>
      <c r="N64" s="24" t="n">
        <f aca="false">IF(N$45&lt;$G64,0,IF($F64=1,$C$10+($C$11-$C$10)*MIN(N$45-$G64,$C$12)/$C$12,$E64*$C$5*INDEX($C$6:$C$9,MIN(N$45-$G64,3)+1)))*(1-$C$14)*IF(AND($C64="Verified",$C$39=1),0,1)</f>
        <v>0</v>
      </c>
      <c r="O64" s="24" t="n">
        <f aca="false">IF(O$45&lt;$G64,0,IF($F64=1,$C$10+($C$11-$C$10)*MIN(O$45-$G64,$C$12)/$C$12,$E64*$C$5*INDEX($C$6:$C$9,MIN(O$45-$G64,3)+1)))*(1-$C$14)*IF(AND($C64="Verified",$C$39=1),0,1)</f>
        <v>0</v>
      </c>
      <c r="P64" s="24" t="n">
        <f aca="false">IF(P$45&lt;$G64,0,IF($F64=1,$C$10+($C$11-$C$10)*MIN(P$45-$G64,$C$12)/$C$12,$E64*$C$5*INDEX($C$6:$C$9,MIN(P$45-$G64,3)+1)))*(1-$C$14)*IF(AND($C64="Verified",$C$39=1),0,1)</f>
        <v>0</v>
      </c>
      <c r="Q64" s="24" t="n">
        <f aca="false">IF(Q$45&lt;$G64,0,IF($F64=1,$C$10+($C$11-$C$10)*MIN(Q$45-$G64,$C$12)/$C$12,$E64*$C$5*INDEX($C$6:$C$9,MIN(Q$45-$G64,3)+1)))*(1-$C$14)*IF(AND($C64="Verified",$C$39=1),0,1)</f>
        <v>0</v>
      </c>
      <c r="R64" s="24" t="n">
        <f aca="false">IF(R$45&lt;$G64,0,IF($F64=1,$C$10+($C$11-$C$10)*MIN(R$45-$G64,$C$12)/$C$12,$E64*$C$5*INDEX($C$6:$C$9,MIN(R$45-$G64,3)+1)))*(1-$C$14)*IF(AND($C64="Verified",$C$39=1),0,1)</f>
        <v>0</v>
      </c>
      <c r="S64" s="24" t="n">
        <f aca="false">IF(S$45&lt;$G64,0,IF($F64=1,$C$10+($C$11-$C$10)*MIN(S$45-$G64,$C$12)/$C$12,$E64*$C$5*INDEX($C$6:$C$9,MIN(S$45-$G64,3)+1)))*(1-$C$14)*IF(AND($C64="Verified",$C$39=1),0,1)</f>
        <v>7.65</v>
      </c>
      <c r="T64" s="24" t="n">
        <f aca="false">IF(T$45&lt;$G64,0,IF($F64=1,$C$10+($C$11-$C$10)*MIN(T$45-$G64,$C$12)/$C$12,$E64*$C$5*INDEX($C$6:$C$9,MIN(T$45-$G64,3)+1)))*(1-$C$14)*IF(AND($C64="Verified",$C$39=1),0,1)</f>
        <v>15.3</v>
      </c>
      <c r="U64" s="24" t="n">
        <f aca="false">IF(U$45&lt;$G64,0,IF($F64=1,$C$10+($C$11-$C$10)*MIN(U$45-$G64,$C$12)/$C$12,$E64*$C$5*INDEX($C$6:$C$9,MIN(U$45-$G64,3)+1)))*(1-$C$14)*IF(AND($C64="Verified",$C$39=1),0,1)</f>
        <v>21.675</v>
      </c>
      <c r="V64" s="24" t="n">
        <f aca="false">IF(V$45&lt;$G64,0,IF($F64=1,$C$10+($C$11-$C$10)*MIN(V$45-$G64,$C$12)/$C$12,$E64*$C$5*INDEX($C$6:$C$9,MIN(V$45-$G64,3)+1)))*(1-$C$14)*IF(AND($C64="Verified",$C$39=1),0,1)</f>
        <v>25.5</v>
      </c>
      <c r="W64" s="24" t="n">
        <f aca="false">IF(W$45&lt;$G64,0,IF($F64=1,$C$10+($C$11-$C$10)*MIN(W$45-$G64,$C$12)/$C$12,$E64*$C$5*INDEX($C$6:$C$9,MIN(W$45-$G64,3)+1)))*(1-$C$14)*IF(AND($C64="Verified",$C$39=1),0,1)</f>
        <v>25.5</v>
      </c>
      <c r="X64" s="24" t="n">
        <f aca="false">IF(X$45&lt;$G64,0,IF($F64=1,$C$10+($C$11-$C$10)*MIN(X$45-$G64,$C$12)/$C$12,$E64*$C$5*INDEX($C$6:$C$9,MIN(X$45-$G64,3)+1)))*(1-$C$14)*IF(AND($C64="Verified",$C$39=1),0,1)</f>
        <v>25.5</v>
      </c>
      <c r="Y64" s="24" t="n">
        <f aca="false">IF(Y$45&lt;$G64,0,IF($F64=1,$C$10+($C$11-$C$10)*MIN(Y$45-$G64,$C$12)/$C$12,$E64*$C$5*INDEX($C$6:$C$9,MIN(Y$45-$G64,3)+1)))*(1-$C$14)*IF(AND($C64="Verified",$C$39=1),0,1)</f>
        <v>25.5</v>
      </c>
    </row>
    <row r="65" customFormat="false" ht="15" hidden="false" customHeight="false" outlineLevel="0" collapsed="false">
      <c r="A65" s="29" t="n">
        <f aca="false">Assumptions!A74</f>
        <v>18</v>
      </c>
      <c r="B65" s="29" t="str">
        <f aca="false">Assumptions!B74</f>
        <v>B</v>
      </c>
      <c r="C65" s="29" t="str">
        <f aca="false">Assumptions!C74</f>
        <v>Verified</v>
      </c>
      <c r="D65" s="34" t="n">
        <f aca="false">Assumptions!D74</f>
        <v>6500</v>
      </c>
      <c r="E65" s="31" t="n">
        <f aca="false">Assumptions!E74</f>
        <v>30</v>
      </c>
      <c r="F65" s="29" t="n">
        <f aca="false">Assumptions!G74</f>
        <v>0</v>
      </c>
      <c r="G65" s="2" t="n">
        <f aca="false">Assumptions!F74+IF(F65=1,0,$C$15)</f>
        <v>13</v>
      </c>
      <c r="H65" s="24" t="n">
        <f aca="false">IF(H$45&lt;$G65,0,IF($F65=1,$C$10+($C$11-$C$10)*MIN(H$45-$G65,$C$12)/$C$12,$E65*$C$5*INDEX($C$6:$C$9,MIN(H$45-$G65,3)+1)))*(1-$C$14)*IF(AND($C65="Verified",$C$39=1),0,1)</f>
        <v>0</v>
      </c>
      <c r="I65" s="24" t="n">
        <f aca="false">IF(I$45&lt;$G65,0,IF($F65=1,$C$10+($C$11-$C$10)*MIN(I$45-$G65,$C$12)/$C$12,$E65*$C$5*INDEX($C$6:$C$9,MIN(I$45-$G65,3)+1)))*(1-$C$14)*IF(AND($C65="Verified",$C$39=1),0,1)</f>
        <v>0</v>
      </c>
      <c r="J65" s="24" t="n">
        <f aca="false">IF(J$45&lt;$G65,0,IF($F65=1,$C$10+($C$11-$C$10)*MIN(J$45-$G65,$C$12)/$C$12,$E65*$C$5*INDEX($C$6:$C$9,MIN(J$45-$G65,3)+1)))*(1-$C$14)*IF(AND($C65="Verified",$C$39=1),0,1)</f>
        <v>0</v>
      </c>
      <c r="K65" s="24" t="n">
        <f aca="false">IF(K$45&lt;$G65,0,IF($F65=1,$C$10+($C$11-$C$10)*MIN(K$45-$G65,$C$12)/$C$12,$E65*$C$5*INDEX($C$6:$C$9,MIN(K$45-$G65,3)+1)))*(1-$C$14)*IF(AND($C65="Verified",$C$39=1),0,1)</f>
        <v>0</v>
      </c>
      <c r="L65" s="24" t="n">
        <f aca="false">IF(L$45&lt;$G65,0,IF($F65=1,$C$10+($C$11-$C$10)*MIN(L$45-$G65,$C$12)/$C$12,$E65*$C$5*INDEX($C$6:$C$9,MIN(L$45-$G65,3)+1)))*(1-$C$14)*IF(AND($C65="Verified",$C$39=1),0,1)</f>
        <v>0</v>
      </c>
      <c r="M65" s="24" t="n">
        <f aca="false">IF(M$45&lt;$G65,0,IF($F65=1,$C$10+($C$11-$C$10)*MIN(M$45-$G65,$C$12)/$C$12,$E65*$C$5*INDEX($C$6:$C$9,MIN(M$45-$G65,3)+1)))*(1-$C$14)*IF(AND($C65="Verified",$C$39=1),0,1)</f>
        <v>0</v>
      </c>
      <c r="N65" s="24" t="n">
        <f aca="false">IF(N$45&lt;$G65,0,IF($F65=1,$C$10+($C$11-$C$10)*MIN(N$45-$G65,$C$12)/$C$12,$E65*$C$5*INDEX($C$6:$C$9,MIN(N$45-$G65,3)+1)))*(1-$C$14)*IF(AND($C65="Verified",$C$39=1),0,1)</f>
        <v>0</v>
      </c>
      <c r="O65" s="24" t="n">
        <f aca="false">IF(O$45&lt;$G65,0,IF($F65=1,$C$10+($C$11-$C$10)*MIN(O$45-$G65,$C$12)/$C$12,$E65*$C$5*INDEX($C$6:$C$9,MIN(O$45-$G65,3)+1)))*(1-$C$14)*IF(AND($C65="Verified",$C$39=1),0,1)</f>
        <v>0</v>
      </c>
      <c r="P65" s="24" t="n">
        <f aca="false">IF(P$45&lt;$G65,0,IF($F65=1,$C$10+($C$11-$C$10)*MIN(P$45-$G65,$C$12)/$C$12,$E65*$C$5*INDEX($C$6:$C$9,MIN(P$45-$G65,3)+1)))*(1-$C$14)*IF(AND($C65="Verified",$C$39=1),0,1)</f>
        <v>0</v>
      </c>
      <c r="Q65" s="24" t="n">
        <f aca="false">IF(Q$45&lt;$G65,0,IF($F65=1,$C$10+($C$11-$C$10)*MIN(Q$45-$G65,$C$12)/$C$12,$E65*$C$5*INDEX($C$6:$C$9,MIN(Q$45-$G65,3)+1)))*(1-$C$14)*IF(AND($C65="Verified",$C$39=1),0,1)</f>
        <v>0</v>
      </c>
      <c r="R65" s="24" t="n">
        <f aca="false">IF(R$45&lt;$G65,0,IF($F65=1,$C$10+($C$11-$C$10)*MIN(R$45-$G65,$C$12)/$C$12,$E65*$C$5*INDEX($C$6:$C$9,MIN(R$45-$G65,3)+1)))*(1-$C$14)*IF(AND($C65="Verified",$C$39=1),0,1)</f>
        <v>0</v>
      </c>
      <c r="S65" s="24" t="n">
        <f aca="false">IF(S$45&lt;$G65,0,IF($F65=1,$C$10+($C$11-$C$10)*MIN(S$45-$G65,$C$12)/$C$12,$E65*$C$5*INDEX($C$6:$C$9,MIN(S$45-$G65,3)+1)))*(1-$C$14)*IF(AND($C65="Verified",$C$39=1),0,1)</f>
        <v>0</v>
      </c>
      <c r="T65" s="24" t="n">
        <f aca="false">IF(T$45&lt;$G65,0,IF($F65=1,$C$10+($C$11-$C$10)*MIN(T$45-$G65,$C$12)/$C$12,$E65*$C$5*INDEX($C$6:$C$9,MIN(T$45-$G65,3)+1)))*(1-$C$14)*IF(AND($C65="Verified",$C$39=1),0,1)</f>
        <v>7.65</v>
      </c>
      <c r="U65" s="24" t="n">
        <f aca="false">IF(U$45&lt;$G65,0,IF($F65=1,$C$10+($C$11-$C$10)*MIN(U$45-$G65,$C$12)/$C$12,$E65*$C$5*INDEX($C$6:$C$9,MIN(U$45-$G65,3)+1)))*(1-$C$14)*IF(AND($C65="Verified",$C$39=1),0,1)</f>
        <v>15.3</v>
      </c>
      <c r="V65" s="24" t="n">
        <f aca="false">IF(V$45&lt;$G65,0,IF($F65=1,$C$10+($C$11-$C$10)*MIN(V$45-$G65,$C$12)/$C$12,$E65*$C$5*INDEX($C$6:$C$9,MIN(V$45-$G65,3)+1)))*(1-$C$14)*IF(AND($C65="Verified",$C$39=1),0,1)</f>
        <v>21.675</v>
      </c>
      <c r="W65" s="24" t="n">
        <f aca="false">IF(W$45&lt;$G65,0,IF($F65=1,$C$10+($C$11-$C$10)*MIN(W$45-$G65,$C$12)/$C$12,$E65*$C$5*INDEX($C$6:$C$9,MIN(W$45-$G65,3)+1)))*(1-$C$14)*IF(AND($C65="Verified",$C$39=1),0,1)</f>
        <v>25.5</v>
      </c>
      <c r="X65" s="24" t="n">
        <f aca="false">IF(X$45&lt;$G65,0,IF($F65=1,$C$10+($C$11-$C$10)*MIN(X$45-$G65,$C$12)/$C$12,$E65*$C$5*INDEX($C$6:$C$9,MIN(X$45-$G65,3)+1)))*(1-$C$14)*IF(AND($C65="Verified",$C$39=1),0,1)</f>
        <v>25.5</v>
      </c>
      <c r="Y65" s="24" t="n">
        <f aca="false">IF(Y$45&lt;$G65,0,IF($F65=1,$C$10+($C$11-$C$10)*MIN(Y$45-$G65,$C$12)/$C$12,$E65*$C$5*INDEX($C$6:$C$9,MIN(Y$45-$G65,3)+1)))*(1-$C$14)*IF(AND($C65="Verified",$C$39=1),0,1)</f>
        <v>25.5</v>
      </c>
    </row>
    <row r="66" customFormat="false" ht="15" hidden="false" customHeight="false" outlineLevel="0" collapsed="false">
      <c r="A66" s="29" t="n">
        <f aca="false">Assumptions!A75</f>
        <v>19</v>
      </c>
      <c r="B66" s="29" t="str">
        <f aca="false">Assumptions!B75</f>
        <v>B</v>
      </c>
      <c r="C66" s="29" t="str">
        <f aca="false">Assumptions!C75</f>
        <v>Verified</v>
      </c>
      <c r="D66" s="34" t="n">
        <f aca="false">Assumptions!D75</f>
        <v>6500</v>
      </c>
      <c r="E66" s="31" t="n">
        <f aca="false">Assumptions!E75</f>
        <v>30</v>
      </c>
      <c r="F66" s="29" t="n">
        <f aca="false">Assumptions!G75</f>
        <v>0</v>
      </c>
      <c r="G66" s="2" t="n">
        <f aca="false">Assumptions!F75+IF(F66=1,0,$C$15)</f>
        <v>14</v>
      </c>
      <c r="H66" s="24" t="n">
        <f aca="false">IF(H$45&lt;$G66,0,IF($F66=1,$C$10+($C$11-$C$10)*MIN(H$45-$G66,$C$12)/$C$12,$E66*$C$5*INDEX($C$6:$C$9,MIN(H$45-$G66,3)+1)))*(1-$C$14)*IF(AND($C66="Verified",$C$39=1),0,1)</f>
        <v>0</v>
      </c>
      <c r="I66" s="24" t="n">
        <f aca="false">IF(I$45&lt;$G66,0,IF($F66=1,$C$10+($C$11-$C$10)*MIN(I$45-$G66,$C$12)/$C$12,$E66*$C$5*INDEX($C$6:$C$9,MIN(I$45-$G66,3)+1)))*(1-$C$14)*IF(AND($C66="Verified",$C$39=1),0,1)</f>
        <v>0</v>
      </c>
      <c r="J66" s="24" t="n">
        <f aca="false">IF(J$45&lt;$G66,0,IF($F66=1,$C$10+($C$11-$C$10)*MIN(J$45-$G66,$C$12)/$C$12,$E66*$C$5*INDEX($C$6:$C$9,MIN(J$45-$G66,3)+1)))*(1-$C$14)*IF(AND($C66="Verified",$C$39=1),0,1)</f>
        <v>0</v>
      </c>
      <c r="K66" s="24" t="n">
        <f aca="false">IF(K$45&lt;$G66,0,IF($F66=1,$C$10+($C$11-$C$10)*MIN(K$45-$G66,$C$12)/$C$12,$E66*$C$5*INDEX($C$6:$C$9,MIN(K$45-$G66,3)+1)))*(1-$C$14)*IF(AND($C66="Verified",$C$39=1),0,1)</f>
        <v>0</v>
      </c>
      <c r="L66" s="24" t="n">
        <f aca="false">IF(L$45&lt;$G66,0,IF($F66=1,$C$10+($C$11-$C$10)*MIN(L$45-$G66,$C$12)/$C$12,$E66*$C$5*INDEX($C$6:$C$9,MIN(L$45-$G66,3)+1)))*(1-$C$14)*IF(AND($C66="Verified",$C$39=1),0,1)</f>
        <v>0</v>
      </c>
      <c r="M66" s="24" t="n">
        <f aca="false">IF(M$45&lt;$G66,0,IF($F66=1,$C$10+($C$11-$C$10)*MIN(M$45-$G66,$C$12)/$C$12,$E66*$C$5*INDEX($C$6:$C$9,MIN(M$45-$G66,3)+1)))*(1-$C$14)*IF(AND($C66="Verified",$C$39=1),0,1)</f>
        <v>0</v>
      </c>
      <c r="N66" s="24" t="n">
        <f aca="false">IF(N$45&lt;$G66,0,IF($F66=1,$C$10+($C$11-$C$10)*MIN(N$45-$G66,$C$12)/$C$12,$E66*$C$5*INDEX($C$6:$C$9,MIN(N$45-$G66,3)+1)))*(1-$C$14)*IF(AND($C66="Verified",$C$39=1),0,1)</f>
        <v>0</v>
      </c>
      <c r="O66" s="24" t="n">
        <f aca="false">IF(O$45&lt;$G66,0,IF($F66=1,$C$10+($C$11-$C$10)*MIN(O$45-$G66,$C$12)/$C$12,$E66*$C$5*INDEX($C$6:$C$9,MIN(O$45-$G66,3)+1)))*(1-$C$14)*IF(AND($C66="Verified",$C$39=1),0,1)</f>
        <v>0</v>
      </c>
      <c r="P66" s="24" t="n">
        <f aca="false">IF(P$45&lt;$G66,0,IF($F66=1,$C$10+($C$11-$C$10)*MIN(P$45-$G66,$C$12)/$C$12,$E66*$C$5*INDEX($C$6:$C$9,MIN(P$45-$G66,3)+1)))*(1-$C$14)*IF(AND($C66="Verified",$C$39=1),0,1)</f>
        <v>0</v>
      </c>
      <c r="Q66" s="24" t="n">
        <f aca="false">IF(Q$45&lt;$G66,0,IF($F66=1,$C$10+($C$11-$C$10)*MIN(Q$45-$G66,$C$12)/$C$12,$E66*$C$5*INDEX($C$6:$C$9,MIN(Q$45-$G66,3)+1)))*(1-$C$14)*IF(AND($C66="Verified",$C$39=1),0,1)</f>
        <v>0</v>
      </c>
      <c r="R66" s="24" t="n">
        <f aca="false">IF(R$45&lt;$G66,0,IF($F66=1,$C$10+($C$11-$C$10)*MIN(R$45-$G66,$C$12)/$C$12,$E66*$C$5*INDEX($C$6:$C$9,MIN(R$45-$G66,3)+1)))*(1-$C$14)*IF(AND($C66="Verified",$C$39=1),0,1)</f>
        <v>0</v>
      </c>
      <c r="S66" s="24" t="n">
        <f aca="false">IF(S$45&lt;$G66,0,IF($F66=1,$C$10+($C$11-$C$10)*MIN(S$45-$G66,$C$12)/$C$12,$E66*$C$5*INDEX($C$6:$C$9,MIN(S$45-$G66,3)+1)))*(1-$C$14)*IF(AND($C66="Verified",$C$39=1),0,1)</f>
        <v>0</v>
      </c>
      <c r="T66" s="24" t="n">
        <f aca="false">IF(T$45&lt;$G66,0,IF($F66=1,$C$10+($C$11-$C$10)*MIN(T$45-$G66,$C$12)/$C$12,$E66*$C$5*INDEX($C$6:$C$9,MIN(T$45-$G66,3)+1)))*(1-$C$14)*IF(AND($C66="Verified",$C$39=1),0,1)</f>
        <v>0</v>
      </c>
      <c r="U66" s="24" t="n">
        <f aca="false">IF(U$45&lt;$G66,0,IF($F66=1,$C$10+($C$11-$C$10)*MIN(U$45-$G66,$C$12)/$C$12,$E66*$C$5*INDEX($C$6:$C$9,MIN(U$45-$G66,3)+1)))*(1-$C$14)*IF(AND($C66="Verified",$C$39=1),0,1)</f>
        <v>7.65</v>
      </c>
      <c r="V66" s="24" t="n">
        <f aca="false">IF(V$45&lt;$G66,0,IF($F66=1,$C$10+($C$11-$C$10)*MIN(V$45-$G66,$C$12)/$C$12,$E66*$C$5*INDEX($C$6:$C$9,MIN(V$45-$G66,3)+1)))*(1-$C$14)*IF(AND($C66="Verified",$C$39=1),0,1)</f>
        <v>15.3</v>
      </c>
      <c r="W66" s="24" t="n">
        <f aca="false">IF(W$45&lt;$G66,0,IF($F66=1,$C$10+($C$11-$C$10)*MIN(W$45-$G66,$C$12)/$C$12,$E66*$C$5*INDEX($C$6:$C$9,MIN(W$45-$G66,3)+1)))*(1-$C$14)*IF(AND($C66="Verified",$C$39=1),0,1)</f>
        <v>21.675</v>
      </c>
      <c r="X66" s="24" t="n">
        <f aca="false">IF(X$45&lt;$G66,0,IF($F66=1,$C$10+($C$11-$C$10)*MIN(X$45-$G66,$C$12)/$C$12,$E66*$C$5*INDEX($C$6:$C$9,MIN(X$45-$G66,3)+1)))*(1-$C$14)*IF(AND($C66="Verified",$C$39=1),0,1)</f>
        <v>25.5</v>
      </c>
      <c r="Y66" s="24" t="n">
        <f aca="false">IF(Y$45&lt;$G66,0,IF($F66=1,$C$10+($C$11-$C$10)*MIN(Y$45-$G66,$C$12)/$C$12,$E66*$C$5*INDEX($C$6:$C$9,MIN(Y$45-$G66,3)+1)))*(1-$C$14)*IF(AND($C66="Verified",$C$39=1),0,1)</f>
        <v>25.5</v>
      </c>
    </row>
    <row r="67" customFormat="false" ht="15" hidden="false" customHeight="false" outlineLevel="0" collapsed="false">
      <c r="A67" s="29" t="n">
        <f aca="false">Assumptions!A76</f>
        <v>20</v>
      </c>
      <c r="B67" s="29" t="str">
        <f aca="false">Assumptions!B76</f>
        <v>B</v>
      </c>
      <c r="C67" s="29" t="str">
        <f aca="false">Assumptions!C76</f>
        <v>Verified</v>
      </c>
      <c r="D67" s="34" t="n">
        <f aca="false">Assumptions!D76</f>
        <v>6500</v>
      </c>
      <c r="E67" s="31" t="n">
        <f aca="false">Assumptions!E76</f>
        <v>30</v>
      </c>
      <c r="F67" s="29" t="n">
        <f aca="false">Assumptions!G76</f>
        <v>0</v>
      </c>
      <c r="G67" s="2" t="n">
        <f aca="false">Assumptions!F76+IF(F67=1,0,$C$15)</f>
        <v>14</v>
      </c>
      <c r="H67" s="24" t="n">
        <f aca="false">IF(H$45&lt;$G67,0,IF($F67=1,$C$10+($C$11-$C$10)*MIN(H$45-$G67,$C$12)/$C$12,$E67*$C$5*INDEX($C$6:$C$9,MIN(H$45-$G67,3)+1)))*(1-$C$14)*IF(AND($C67="Verified",$C$39=1),0,1)</f>
        <v>0</v>
      </c>
      <c r="I67" s="24" t="n">
        <f aca="false">IF(I$45&lt;$G67,0,IF($F67=1,$C$10+($C$11-$C$10)*MIN(I$45-$G67,$C$12)/$C$12,$E67*$C$5*INDEX($C$6:$C$9,MIN(I$45-$G67,3)+1)))*(1-$C$14)*IF(AND($C67="Verified",$C$39=1),0,1)</f>
        <v>0</v>
      </c>
      <c r="J67" s="24" t="n">
        <f aca="false">IF(J$45&lt;$G67,0,IF($F67=1,$C$10+($C$11-$C$10)*MIN(J$45-$G67,$C$12)/$C$12,$E67*$C$5*INDEX($C$6:$C$9,MIN(J$45-$G67,3)+1)))*(1-$C$14)*IF(AND($C67="Verified",$C$39=1),0,1)</f>
        <v>0</v>
      </c>
      <c r="K67" s="24" t="n">
        <f aca="false">IF(K$45&lt;$G67,0,IF($F67=1,$C$10+($C$11-$C$10)*MIN(K$45-$G67,$C$12)/$C$12,$E67*$C$5*INDEX($C$6:$C$9,MIN(K$45-$G67,3)+1)))*(1-$C$14)*IF(AND($C67="Verified",$C$39=1),0,1)</f>
        <v>0</v>
      </c>
      <c r="L67" s="24" t="n">
        <f aca="false">IF(L$45&lt;$G67,0,IF($F67=1,$C$10+($C$11-$C$10)*MIN(L$45-$G67,$C$12)/$C$12,$E67*$C$5*INDEX($C$6:$C$9,MIN(L$45-$G67,3)+1)))*(1-$C$14)*IF(AND($C67="Verified",$C$39=1),0,1)</f>
        <v>0</v>
      </c>
      <c r="M67" s="24" t="n">
        <f aca="false">IF(M$45&lt;$G67,0,IF($F67=1,$C$10+($C$11-$C$10)*MIN(M$45-$G67,$C$12)/$C$12,$E67*$C$5*INDEX($C$6:$C$9,MIN(M$45-$G67,3)+1)))*(1-$C$14)*IF(AND($C67="Verified",$C$39=1),0,1)</f>
        <v>0</v>
      </c>
      <c r="N67" s="24" t="n">
        <f aca="false">IF(N$45&lt;$G67,0,IF($F67=1,$C$10+($C$11-$C$10)*MIN(N$45-$G67,$C$12)/$C$12,$E67*$C$5*INDEX($C$6:$C$9,MIN(N$45-$G67,3)+1)))*(1-$C$14)*IF(AND($C67="Verified",$C$39=1),0,1)</f>
        <v>0</v>
      </c>
      <c r="O67" s="24" t="n">
        <f aca="false">IF(O$45&lt;$G67,0,IF($F67=1,$C$10+($C$11-$C$10)*MIN(O$45-$G67,$C$12)/$C$12,$E67*$C$5*INDEX($C$6:$C$9,MIN(O$45-$G67,3)+1)))*(1-$C$14)*IF(AND($C67="Verified",$C$39=1),0,1)</f>
        <v>0</v>
      </c>
      <c r="P67" s="24" t="n">
        <f aca="false">IF(P$45&lt;$G67,0,IF($F67=1,$C$10+($C$11-$C$10)*MIN(P$45-$G67,$C$12)/$C$12,$E67*$C$5*INDEX($C$6:$C$9,MIN(P$45-$G67,3)+1)))*(1-$C$14)*IF(AND($C67="Verified",$C$39=1),0,1)</f>
        <v>0</v>
      </c>
      <c r="Q67" s="24" t="n">
        <f aca="false">IF(Q$45&lt;$G67,0,IF($F67=1,$C$10+($C$11-$C$10)*MIN(Q$45-$G67,$C$12)/$C$12,$E67*$C$5*INDEX($C$6:$C$9,MIN(Q$45-$G67,3)+1)))*(1-$C$14)*IF(AND($C67="Verified",$C$39=1),0,1)</f>
        <v>0</v>
      </c>
      <c r="R67" s="24" t="n">
        <f aca="false">IF(R$45&lt;$G67,0,IF($F67=1,$C$10+($C$11-$C$10)*MIN(R$45-$G67,$C$12)/$C$12,$E67*$C$5*INDEX($C$6:$C$9,MIN(R$45-$G67,3)+1)))*(1-$C$14)*IF(AND($C67="Verified",$C$39=1),0,1)</f>
        <v>0</v>
      </c>
      <c r="S67" s="24" t="n">
        <f aca="false">IF(S$45&lt;$G67,0,IF($F67=1,$C$10+($C$11-$C$10)*MIN(S$45-$G67,$C$12)/$C$12,$E67*$C$5*INDEX($C$6:$C$9,MIN(S$45-$G67,3)+1)))*(1-$C$14)*IF(AND($C67="Verified",$C$39=1),0,1)</f>
        <v>0</v>
      </c>
      <c r="T67" s="24" t="n">
        <f aca="false">IF(T$45&lt;$G67,0,IF($F67=1,$C$10+($C$11-$C$10)*MIN(T$45-$G67,$C$12)/$C$12,$E67*$C$5*INDEX($C$6:$C$9,MIN(T$45-$G67,3)+1)))*(1-$C$14)*IF(AND($C67="Verified",$C$39=1),0,1)</f>
        <v>0</v>
      </c>
      <c r="U67" s="24" t="n">
        <f aca="false">IF(U$45&lt;$G67,0,IF($F67=1,$C$10+($C$11-$C$10)*MIN(U$45-$G67,$C$12)/$C$12,$E67*$C$5*INDEX($C$6:$C$9,MIN(U$45-$G67,3)+1)))*(1-$C$14)*IF(AND($C67="Verified",$C$39=1),0,1)</f>
        <v>7.65</v>
      </c>
      <c r="V67" s="24" t="n">
        <f aca="false">IF(V$45&lt;$G67,0,IF($F67=1,$C$10+($C$11-$C$10)*MIN(V$45-$G67,$C$12)/$C$12,$E67*$C$5*INDEX($C$6:$C$9,MIN(V$45-$G67,3)+1)))*(1-$C$14)*IF(AND($C67="Verified",$C$39=1),0,1)</f>
        <v>15.3</v>
      </c>
      <c r="W67" s="24" t="n">
        <f aca="false">IF(W$45&lt;$G67,0,IF($F67=1,$C$10+($C$11-$C$10)*MIN(W$45-$G67,$C$12)/$C$12,$E67*$C$5*INDEX($C$6:$C$9,MIN(W$45-$G67,3)+1)))*(1-$C$14)*IF(AND($C67="Verified",$C$39=1),0,1)</f>
        <v>21.675</v>
      </c>
      <c r="X67" s="24" t="n">
        <f aca="false">IF(X$45&lt;$G67,0,IF($F67=1,$C$10+($C$11-$C$10)*MIN(X$45-$G67,$C$12)/$C$12,$E67*$C$5*INDEX($C$6:$C$9,MIN(X$45-$G67,3)+1)))*(1-$C$14)*IF(AND($C67="Verified",$C$39=1),0,1)</f>
        <v>25.5</v>
      </c>
      <c r="Y67" s="24" t="n">
        <f aca="false">IF(Y$45&lt;$G67,0,IF($F67=1,$C$10+($C$11-$C$10)*MIN(Y$45-$G67,$C$12)/$C$12,$E67*$C$5*INDEX($C$6:$C$9,MIN(Y$45-$G67,3)+1)))*(1-$C$14)*IF(AND($C67="Verified",$C$39=1),0,1)</f>
        <v>25.5</v>
      </c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5" hidden="false" customHeight="false" outlineLevel="0" collapsed="false">
      <c r="A69" s="37" t="s">
        <v>199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customFormat="false" ht="15" hidden="false" customHeight="false" outlineLevel="0" collapsed="false">
      <c r="A70" s="2" t="n">
        <f aca="false">A48</f>
        <v>1</v>
      </c>
      <c r="B70" s="2" t="str">
        <f aca="false">B48</f>
        <v>Pilot</v>
      </c>
      <c r="C70" s="2" t="str">
        <f aca="false">C48</f>
        <v>Assured</v>
      </c>
      <c r="D70" s="2"/>
      <c r="E70" s="2"/>
      <c r="F70" s="2"/>
      <c r="G70" s="2"/>
      <c r="H70" s="23" t="n">
        <f aca="false">H48*$D48*$C$13*INDEX(Assumptions!$B$44:$B$46,MATCH($C48,Assumptions!$A$44:$A$46,0))+IF(H$45&gt;=$G48,INDEX(Assumptions!$C$44:$C$46,MATCH($C48,Assumptions!$A$44:$A$46,0)),0)+IF($C48="Assured",H48*$D48*$C$13*$C$26*$C$27*$C$28,0)</f>
        <v>47228.125</v>
      </c>
      <c r="I70" s="23" t="n">
        <f aca="false">I48*$D48*$C$13*INDEX(Assumptions!$B$44:$B$46,MATCH($C48,Assumptions!$A$44:$A$46,0))+IF(I$45&gt;=$G48,INDEX(Assumptions!$C$44:$C$46,MATCH($C48,Assumptions!$A$44:$A$46,0)),0)+IF($C48="Assured",I48*$D48*$C$13*$C$26*$C$27*$C$28,0)</f>
        <v>49477.0833333333</v>
      </c>
      <c r="J70" s="23" t="n">
        <f aca="false">J48*$D48*$C$13*INDEX(Assumptions!$B$44:$B$46,MATCH($C48,Assumptions!$A$44:$A$46,0))+IF(J$45&gt;=$G48,INDEX(Assumptions!$C$44:$C$46,MATCH($C48,Assumptions!$A$44:$A$46,0)),0)+IF($C48="Assured",J48*$D48*$C$13*$C$26*$C$27*$C$28,0)</f>
        <v>51726.0416666667</v>
      </c>
      <c r="K70" s="23" t="n">
        <f aca="false">K48*$D48*$C$13*INDEX(Assumptions!$B$44:$B$46,MATCH($C48,Assumptions!$A$44:$A$46,0))+IF(K$45&gt;=$G48,INDEX(Assumptions!$C$44:$C$46,MATCH($C48,Assumptions!$A$44:$A$46,0)),0)+IF($C48="Assured",K48*$D48*$C$13*$C$26*$C$27*$C$28,0)</f>
        <v>53975</v>
      </c>
      <c r="L70" s="23" t="n">
        <f aca="false">L48*$D48*$C$13*INDEX(Assumptions!$B$44:$B$46,MATCH($C48,Assumptions!$A$44:$A$46,0))+IF(L$45&gt;=$G48,INDEX(Assumptions!$C$44:$C$46,MATCH($C48,Assumptions!$A$44:$A$46,0)),0)+IF($C48="Assured",L48*$D48*$C$13*$C$26*$C$27*$C$28,0)</f>
        <v>53975</v>
      </c>
      <c r="M70" s="23" t="n">
        <f aca="false">M48*$D48*$C$13*INDEX(Assumptions!$B$44:$B$46,MATCH($C48,Assumptions!$A$44:$A$46,0))+IF(M$45&gt;=$G48,INDEX(Assumptions!$C$44:$C$46,MATCH($C48,Assumptions!$A$44:$A$46,0)),0)+IF($C48="Assured",M48*$D48*$C$13*$C$26*$C$27*$C$28,0)</f>
        <v>53975</v>
      </c>
      <c r="N70" s="23" t="n">
        <f aca="false">N48*$D48*$C$13*INDEX(Assumptions!$B$44:$B$46,MATCH($C48,Assumptions!$A$44:$A$46,0))+IF(N$45&gt;=$G48,INDEX(Assumptions!$C$44:$C$46,MATCH($C48,Assumptions!$A$44:$A$46,0)),0)+IF($C48="Assured",N48*$D48*$C$13*$C$26*$C$27*$C$28,0)</f>
        <v>53975</v>
      </c>
      <c r="O70" s="23" t="n">
        <f aca="false">O48*$D48*$C$13*INDEX(Assumptions!$B$44:$B$46,MATCH($C48,Assumptions!$A$44:$A$46,0))+IF(O$45&gt;=$G48,INDEX(Assumptions!$C$44:$C$46,MATCH($C48,Assumptions!$A$44:$A$46,0)),0)+IF($C48="Assured",O48*$D48*$C$13*$C$26*$C$27*$C$28,0)</f>
        <v>53975</v>
      </c>
      <c r="P70" s="23" t="n">
        <f aca="false">P48*$D48*$C$13*INDEX(Assumptions!$B$44:$B$46,MATCH($C48,Assumptions!$A$44:$A$46,0))+IF(P$45&gt;=$G48,INDEX(Assumptions!$C$44:$C$46,MATCH($C48,Assumptions!$A$44:$A$46,0)),0)+IF($C48="Assured",P48*$D48*$C$13*$C$26*$C$27*$C$28,0)</f>
        <v>53975</v>
      </c>
      <c r="Q70" s="23" t="n">
        <f aca="false">Q48*$D48*$C$13*INDEX(Assumptions!$B$44:$B$46,MATCH($C48,Assumptions!$A$44:$A$46,0))+IF(Q$45&gt;=$G48,INDEX(Assumptions!$C$44:$C$46,MATCH($C48,Assumptions!$A$44:$A$46,0)),0)+IF($C48="Assured",Q48*$D48*$C$13*$C$26*$C$27*$C$28,0)</f>
        <v>53975</v>
      </c>
      <c r="R70" s="23" t="n">
        <f aca="false">R48*$D48*$C$13*INDEX(Assumptions!$B$44:$B$46,MATCH($C48,Assumptions!$A$44:$A$46,0))+IF(R$45&gt;=$G48,INDEX(Assumptions!$C$44:$C$46,MATCH($C48,Assumptions!$A$44:$A$46,0)),0)+IF($C48="Assured",R48*$D48*$C$13*$C$26*$C$27*$C$28,0)</f>
        <v>53975</v>
      </c>
      <c r="S70" s="23" t="n">
        <f aca="false">S48*$D48*$C$13*INDEX(Assumptions!$B$44:$B$46,MATCH($C48,Assumptions!$A$44:$A$46,0))+IF(S$45&gt;=$G48,INDEX(Assumptions!$C$44:$C$46,MATCH($C48,Assumptions!$A$44:$A$46,0)),0)+IF($C48="Assured",S48*$D48*$C$13*$C$26*$C$27*$C$28,0)</f>
        <v>53975</v>
      </c>
      <c r="T70" s="23" t="n">
        <f aca="false">T48*$D48*$C$13*INDEX(Assumptions!$B$44:$B$46,MATCH($C48,Assumptions!$A$44:$A$46,0))+IF(T$45&gt;=$G48,INDEX(Assumptions!$C$44:$C$46,MATCH($C48,Assumptions!$A$44:$A$46,0)),0)+IF($C48="Assured",T48*$D48*$C$13*$C$26*$C$27*$C$28,0)</f>
        <v>53975</v>
      </c>
      <c r="U70" s="23" t="n">
        <f aca="false">U48*$D48*$C$13*INDEX(Assumptions!$B$44:$B$46,MATCH($C48,Assumptions!$A$44:$A$46,0))+IF(U$45&gt;=$G48,INDEX(Assumptions!$C$44:$C$46,MATCH($C48,Assumptions!$A$44:$A$46,0)),0)+IF($C48="Assured",U48*$D48*$C$13*$C$26*$C$27*$C$28,0)</f>
        <v>53975</v>
      </c>
      <c r="V70" s="23" t="n">
        <f aca="false">V48*$D48*$C$13*INDEX(Assumptions!$B$44:$B$46,MATCH($C48,Assumptions!$A$44:$A$46,0))+IF(V$45&gt;=$G48,INDEX(Assumptions!$C$44:$C$46,MATCH($C48,Assumptions!$A$44:$A$46,0)),0)+IF($C48="Assured",V48*$D48*$C$13*$C$26*$C$27*$C$28,0)</f>
        <v>53975</v>
      </c>
      <c r="W70" s="23" t="n">
        <f aca="false">W48*$D48*$C$13*INDEX(Assumptions!$B$44:$B$46,MATCH($C48,Assumptions!$A$44:$A$46,0))+IF(W$45&gt;=$G48,INDEX(Assumptions!$C$44:$C$46,MATCH($C48,Assumptions!$A$44:$A$46,0)),0)+IF($C48="Assured",W48*$D48*$C$13*$C$26*$C$27*$C$28,0)</f>
        <v>53975</v>
      </c>
      <c r="X70" s="23" t="n">
        <f aca="false">X48*$D48*$C$13*INDEX(Assumptions!$B$44:$B$46,MATCH($C48,Assumptions!$A$44:$A$46,0))+IF(X$45&gt;=$G48,INDEX(Assumptions!$C$44:$C$46,MATCH($C48,Assumptions!$A$44:$A$46,0)),0)+IF($C48="Assured",X48*$D48*$C$13*$C$26*$C$27*$C$28,0)</f>
        <v>53975</v>
      </c>
      <c r="Y70" s="23" t="n">
        <f aca="false">Y48*$D48*$C$13*INDEX(Assumptions!$B$44:$B$46,MATCH($C48,Assumptions!$A$44:$A$46,0))+IF(Y$45&gt;=$G48,INDEX(Assumptions!$C$44:$C$46,MATCH($C48,Assumptions!$A$44:$A$46,0)),0)+IF($C48="Assured",Y48*$D48*$C$13*$C$26*$C$27*$C$28,0)</f>
        <v>53975</v>
      </c>
    </row>
    <row r="71" customFormat="false" ht="15" hidden="false" customHeight="false" outlineLevel="0" collapsed="false">
      <c r="A71" s="2" t="n">
        <f aca="false">A49</f>
        <v>2</v>
      </c>
      <c r="B71" s="2" t="str">
        <f aca="false">B49</f>
        <v>Pilot</v>
      </c>
      <c r="C71" s="2" t="str">
        <f aca="false">C49</f>
        <v>Assured</v>
      </c>
      <c r="D71" s="2"/>
      <c r="E71" s="2"/>
      <c r="F71" s="2"/>
      <c r="G71" s="2"/>
      <c r="H71" s="23" t="n">
        <f aca="false">H49*$D49*$C$13*INDEX(Assumptions!$B$44:$B$46,MATCH($C49,Assumptions!$A$44:$A$46,0))+IF(H$45&gt;=$G49,INDEX(Assumptions!$C$44:$C$46,MATCH($C49,Assumptions!$A$44:$A$46,0)),0)+IF($C49="Assured",H49*$D49*$C$13*$C$26*$C$27*$C$28,0)</f>
        <v>47228.125</v>
      </c>
      <c r="I71" s="23" t="n">
        <f aca="false">I49*$D49*$C$13*INDEX(Assumptions!$B$44:$B$46,MATCH($C49,Assumptions!$A$44:$A$46,0))+IF(I$45&gt;=$G49,INDEX(Assumptions!$C$44:$C$46,MATCH($C49,Assumptions!$A$44:$A$46,0)),0)+IF($C49="Assured",I49*$D49*$C$13*$C$26*$C$27*$C$28,0)</f>
        <v>49477.0833333333</v>
      </c>
      <c r="J71" s="23" t="n">
        <f aca="false">J49*$D49*$C$13*INDEX(Assumptions!$B$44:$B$46,MATCH($C49,Assumptions!$A$44:$A$46,0))+IF(J$45&gt;=$G49,INDEX(Assumptions!$C$44:$C$46,MATCH($C49,Assumptions!$A$44:$A$46,0)),0)+IF($C49="Assured",J49*$D49*$C$13*$C$26*$C$27*$C$28,0)</f>
        <v>51726.0416666667</v>
      </c>
      <c r="K71" s="23" t="n">
        <f aca="false">K49*$D49*$C$13*INDEX(Assumptions!$B$44:$B$46,MATCH($C49,Assumptions!$A$44:$A$46,0))+IF(K$45&gt;=$G49,INDEX(Assumptions!$C$44:$C$46,MATCH($C49,Assumptions!$A$44:$A$46,0)),0)+IF($C49="Assured",K49*$D49*$C$13*$C$26*$C$27*$C$28,0)</f>
        <v>53975</v>
      </c>
      <c r="L71" s="23" t="n">
        <f aca="false">L49*$D49*$C$13*INDEX(Assumptions!$B$44:$B$46,MATCH($C49,Assumptions!$A$44:$A$46,0))+IF(L$45&gt;=$G49,INDEX(Assumptions!$C$44:$C$46,MATCH($C49,Assumptions!$A$44:$A$46,0)),0)+IF($C49="Assured",L49*$D49*$C$13*$C$26*$C$27*$C$28,0)</f>
        <v>53975</v>
      </c>
      <c r="M71" s="23" t="n">
        <f aca="false">M49*$D49*$C$13*INDEX(Assumptions!$B$44:$B$46,MATCH($C49,Assumptions!$A$44:$A$46,0))+IF(M$45&gt;=$G49,INDEX(Assumptions!$C$44:$C$46,MATCH($C49,Assumptions!$A$44:$A$46,0)),0)+IF($C49="Assured",M49*$D49*$C$13*$C$26*$C$27*$C$28,0)</f>
        <v>53975</v>
      </c>
      <c r="N71" s="23" t="n">
        <f aca="false">N49*$D49*$C$13*INDEX(Assumptions!$B$44:$B$46,MATCH($C49,Assumptions!$A$44:$A$46,0))+IF(N$45&gt;=$G49,INDEX(Assumptions!$C$44:$C$46,MATCH($C49,Assumptions!$A$44:$A$46,0)),0)+IF($C49="Assured",N49*$D49*$C$13*$C$26*$C$27*$C$28,0)</f>
        <v>53975</v>
      </c>
      <c r="O71" s="23" t="n">
        <f aca="false">O49*$D49*$C$13*INDEX(Assumptions!$B$44:$B$46,MATCH($C49,Assumptions!$A$44:$A$46,0))+IF(O$45&gt;=$G49,INDEX(Assumptions!$C$44:$C$46,MATCH($C49,Assumptions!$A$44:$A$46,0)),0)+IF($C49="Assured",O49*$D49*$C$13*$C$26*$C$27*$C$28,0)</f>
        <v>53975</v>
      </c>
      <c r="P71" s="23" t="n">
        <f aca="false">P49*$D49*$C$13*INDEX(Assumptions!$B$44:$B$46,MATCH($C49,Assumptions!$A$44:$A$46,0))+IF(P$45&gt;=$G49,INDEX(Assumptions!$C$44:$C$46,MATCH($C49,Assumptions!$A$44:$A$46,0)),0)+IF($C49="Assured",P49*$D49*$C$13*$C$26*$C$27*$C$28,0)</f>
        <v>53975</v>
      </c>
      <c r="Q71" s="23" t="n">
        <f aca="false">Q49*$D49*$C$13*INDEX(Assumptions!$B$44:$B$46,MATCH($C49,Assumptions!$A$44:$A$46,0))+IF(Q$45&gt;=$G49,INDEX(Assumptions!$C$44:$C$46,MATCH($C49,Assumptions!$A$44:$A$46,0)),0)+IF($C49="Assured",Q49*$D49*$C$13*$C$26*$C$27*$C$28,0)</f>
        <v>53975</v>
      </c>
      <c r="R71" s="23" t="n">
        <f aca="false">R49*$D49*$C$13*INDEX(Assumptions!$B$44:$B$46,MATCH($C49,Assumptions!$A$44:$A$46,0))+IF(R$45&gt;=$G49,INDEX(Assumptions!$C$44:$C$46,MATCH($C49,Assumptions!$A$44:$A$46,0)),0)+IF($C49="Assured",R49*$D49*$C$13*$C$26*$C$27*$C$28,0)</f>
        <v>53975</v>
      </c>
      <c r="S71" s="23" t="n">
        <f aca="false">S49*$D49*$C$13*INDEX(Assumptions!$B$44:$B$46,MATCH($C49,Assumptions!$A$44:$A$46,0))+IF(S$45&gt;=$G49,INDEX(Assumptions!$C$44:$C$46,MATCH($C49,Assumptions!$A$44:$A$46,0)),0)+IF($C49="Assured",S49*$D49*$C$13*$C$26*$C$27*$C$28,0)</f>
        <v>53975</v>
      </c>
      <c r="T71" s="23" t="n">
        <f aca="false">T49*$D49*$C$13*INDEX(Assumptions!$B$44:$B$46,MATCH($C49,Assumptions!$A$44:$A$46,0))+IF(T$45&gt;=$G49,INDEX(Assumptions!$C$44:$C$46,MATCH($C49,Assumptions!$A$44:$A$46,0)),0)+IF($C49="Assured",T49*$D49*$C$13*$C$26*$C$27*$C$28,0)</f>
        <v>53975</v>
      </c>
      <c r="U71" s="23" t="n">
        <f aca="false">U49*$D49*$C$13*INDEX(Assumptions!$B$44:$B$46,MATCH($C49,Assumptions!$A$44:$A$46,0))+IF(U$45&gt;=$G49,INDEX(Assumptions!$C$44:$C$46,MATCH($C49,Assumptions!$A$44:$A$46,0)),0)+IF($C49="Assured",U49*$D49*$C$13*$C$26*$C$27*$C$28,0)</f>
        <v>53975</v>
      </c>
      <c r="V71" s="23" t="n">
        <f aca="false">V49*$D49*$C$13*INDEX(Assumptions!$B$44:$B$46,MATCH($C49,Assumptions!$A$44:$A$46,0))+IF(V$45&gt;=$G49,INDEX(Assumptions!$C$44:$C$46,MATCH($C49,Assumptions!$A$44:$A$46,0)),0)+IF($C49="Assured",V49*$D49*$C$13*$C$26*$C$27*$C$28,0)</f>
        <v>53975</v>
      </c>
      <c r="W71" s="23" t="n">
        <f aca="false">W49*$D49*$C$13*INDEX(Assumptions!$B$44:$B$46,MATCH($C49,Assumptions!$A$44:$A$46,0))+IF(W$45&gt;=$G49,INDEX(Assumptions!$C$44:$C$46,MATCH($C49,Assumptions!$A$44:$A$46,0)),0)+IF($C49="Assured",W49*$D49*$C$13*$C$26*$C$27*$C$28,0)</f>
        <v>53975</v>
      </c>
      <c r="X71" s="23" t="n">
        <f aca="false">X49*$D49*$C$13*INDEX(Assumptions!$B$44:$B$46,MATCH($C49,Assumptions!$A$44:$A$46,0))+IF(X$45&gt;=$G49,INDEX(Assumptions!$C$44:$C$46,MATCH($C49,Assumptions!$A$44:$A$46,0)),0)+IF($C49="Assured",X49*$D49*$C$13*$C$26*$C$27*$C$28,0)</f>
        <v>53975</v>
      </c>
      <c r="Y71" s="23" t="n">
        <f aca="false">Y49*$D49*$C$13*INDEX(Assumptions!$B$44:$B$46,MATCH($C49,Assumptions!$A$44:$A$46,0))+IF(Y$45&gt;=$G49,INDEX(Assumptions!$C$44:$C$46,MATCH($C49,Assumptions!$A$44:$A$46,0)),0)+IF($C49="Assured",Y49*$D49*$C$13*$C$26*$C$27*$C$28,0)</f>
        <v>53975</v>
      </c>
    </row>
    <row r="72" customFormat="false" ht="15" hidden="false" customHeight="false" outlineLevel="0" collapsed="false">
      <c r="A72" s="2" t="n">
        <f aca="false">A50</f>
        <v>3</v>
      </c>
      <c r="B72" s="2" t="str">
        <f aca="false">B50</f>
        <v>Pilot</v>
      </c>
      <c r="C72" s="2" t="str">
        <f aca="false">C50</f>
        <v>Assured</v>
      </c>
      <c r="D72" s="2"/>
      <c r="E72" s="2"/>
      <c r="F72" s="2"/>
      <c r="G72" s="2"/>
      <c r="H72" s="23" t="n">
        <f aca="false">H50*$D50*$C$13*INDEX(Assumptions!$B$44:$B$46,MATCH($C50,Assumptions!$A$44:$A$46,0))+IF(H$45&gt;=$G50,INDEX(Assumptions!$C$44:$C$46,MATCH($C50,Assumptions!$A$44:$A$46,0)),0)+IF($C50="Assured",H50*$D50*$C$13*$C$26*$C$27*$C$28,0)</f>
        <v>47228.125</v>
      </c>
      <c r="I72" s="23" t="n">
        <f aca="false">I50*$D50*$C$13*INDEX(Assumptions!$B$44:$B$46,MATCH($C50,Assumptions!$A$44:$A$46,0))+IF(I$45&gt;=$G50,INDEX(Assumptions!$C$44:$C$46,MATCH($C50,Assumptions!$A$44:$A$46,0)),0)+IF($C50="Assured",I50*$D50*$C$13*$C$26*$C$27*$C$28,0)</f>
        <v>49477.0833333333</v>
      </c>
      <c r="J72" s="23" t="n">
        <f aca="false">J50*$D50*$C$13*INDEX(Assumptions!$B$44:$B$46,MATCH($C50,Assumptions!$A$44:$A$46,0))+IF(J$45&gt;=$G50,INDEX(Assumptions!$C$44:$C$46,MATCH($C50,Assumptions!$A$44:$A$46,0)),0)+IF($C50="Assured",J50*$D50*$C$13*$C$26*$C$27*$C$28,0)</f>
        <v>51726.0416666667</v>
      </c>
      <c r="K72" s="23" t="n">
        <f aca="false">K50*$D50*$C$13*INDEX(Assumptions!$B$44:$B$46,MATCH($C50,Assumptions!$A$44:$A$46,0))+IF(K$45&gt;=$G50,INDEX(Assumptions!$C$44:$C$46,MATCH($C50,Assumptions!$A$44:$A$46,0)),0)+IF($C50="Assured",K50*$D50*$C$13*$C$26*$C$27*$C$28,0)</f>
        <v>53975</v>
      </c>
      <c r="L72" s="23" t="n">
        <f aca="false">L50*$D50*$C$13*INDEX(Assumptions!$B$44:$B$46,MATCH($C50,Assumptions!$A$44:$A$46,0))+IF(L$45&gt;=$G50,INDEX(Assumptions!$C$44:$C$46,MATCH($C50,Assumptions!$A$44:$A$46,0)),0)+IF($C50="Assured",L50*$D50*$C$13*$C$26*$C$27*$C$28,0)</f>
        <v>53975</v>
      </c>
      <c r="M72" s="23" t="n">
        <f aca="false">M50*$D50*$C$13*INDEX(Assumptions!$B$44:$B$46,MATCH($C50,Assumptions!$A$44:$A$46,0))+IF(M$45&gt;=$G50,INDEX(Assumptions!$C$44:$C$46,MATCH($C50,Assumptions!$A$44:$A$46,0)),0)+IF($C50="Assured",M50*$D50*$C$13*$C$26*$C$27*$C$28,0)</f>
        <v>53975</v>
      </c>
      <c r="N72" s="23" t="n">
        <f aca="false">N50*$D50*$C$13*INDEX(Assumptions!$B$44:$B$46,MATCH($C50,Assumptions!$A$44:$A$46,0))+IF(N$45&gt;=$G50,INDEX(Assumptions!$C$44:$C$46,MATCH($C50,Assumptions!$A$44:$A$46,0)),0)+IF($C50="Assured",N50*$D50*$C$13*$C$26*$C$27*$C$28,0)</f>
        <v>53975</v>
      </c>
      <c r="O72" s="23" t="n">
        <f aca="false">O50*$D50*$C$13*INDEX(Assumptions!$B$44:$B$46,MATCH($C50,Assumptions!$A$44:$A$46,0))+IF(O$45&gt;=$G50,INDEX(Assumptions!$C$44:$C$46,MATCH($C50,Assumptions!$A$44:$A$46,0)),0)+IF($C50="Assured",O50*$D50*$C$13*$C$26*$C$27*$C$28,0)</f>
        <v>53975</v>
      </c>
      <c r="P72" s="23" t="n">
        <f aca="false">P50*$D50*$C$13*INDEX(Assumptions!$B$44:$B$46,MATCH($C50,Assumptions!$A$44:$A$46,0))+IF(P$45&gt;=$G50,INDEX(Assumptions!$C$44:$C$46,MATCH($C50,Assumptions!$A$44:$A$46,0)),0)+IF($C50="Assured",P50*$D50*$C$13*$C$26*$C$27*$C$28,0)</f>
        <v>53975</v>
      </c>
      <c r="Q72" s="23" t="n">
        <f aca="false">Q50*$D50*$C$13*INDEX(Assumptions!$B$44:$B$46,MATCH($C50,Assumptions!$A$44:$A$46,0))+IF(Q$45&gt;=$G50,INDEX(Assumptions!$C$44:$C$46,MATCH($C50,Assumptions!$A$44:$A$46,0)),0)+IF($C50="Assured",Q50*$D50*$C$13*$C$26*$C$27*$C$28,0)</f>
        <v>53975</v>
      </c>
      <c r="R72" s="23" t="n">
        <f aca="false">R50*$D50*$C$13*INDEX(Assumptions!$B$44:$B$46,MATCH($C50,Assumptions!$A$44:$A$46,0))+IF(R$45&gt;=$G50,INDEX(Assumptions!$C$44:$C$46,MATCH($C50,Assumptions!$A$44:$A$46,0)),0)+IF($C50="Assured",R50*$D50*$C$13*$C$26*$C$27*$C$28,0)</f>
        <v>53975</v>
      </c>
      <c r="S72" s="23" t="n">
        <f aca="false">S50*$D50*$C$13*INDEX(Assumptions!$B$44:$B$46,MATCH($C50,Assumptions!$A$44:$A$46,0))+IF(S$45&gt;=$G50,INDEX(Assumptions!$C$44:$C$46,MATCH($C50,Assumptions!$A$44:$A$46,0)),0)+IF($C50="Assured",S50*$D50*$C$13*$C$26*$C$27*$C$28,0)</f>
        <v>53975</v>
      </c>
      <c r="T72" s="23" t="n">
        <f aca="false">T50*$D50*$C$13*INDEX(Assumptions!$B$44:$B$46,MATCH($C50,Assumptions!$A$44:$A$46,0))+IF(T$45&gt;=$G50,INDEX(Assumptions!$C$44:$C$46,MATCH($C50,Assumptions!$A$44:$A$46,0)),0)+IF($C50="Assured",T50*$D50*$C$13*$C$26*$C$27*$C$28,0)</f>
        <v>53975</v>
      </c>
      <c r="U72" s="23" t="n">
        <f aca="false">U50*$D50*$C$13*INDEX(Assumptions!$B$44:$B$46,MATCH($C50,Assumptions!$A$44:$A$46,0))+IF(U$45&gt;=$G50,INDEX(Assumptions!$C$44:$C$46,MATCH($C50,Assumptions!$A$44:$A$46,0)),0)+IF($C50="Assured",U50*$D50*$C$13*$C$26*$C$27*$C$28,0)</f>
        <v>53975</v>
      </c>
      <c r="V72" s="23" t="n">
        <f aca="false">V50*$D50*$C$13*INDEX(Assumptions!$B$44:$B$46,MATCH($C50,Assumptions!$A$44:$A$46,0))+IF(V$45&gt;=$G50,INDEX(Assumptions!$C$44:$C$46,MATCH($C50,Assumptions!$A$44:$A$46,0)),0)+IF($C50="Assured",V50*$D50*$C$13*$C$26*$C$27*$C$28,0)</f>
        <v>53975</v>
      </c>
      <c r="W72" s="23" t="n">
        <f aca="false">W50*$D50*$C$13*INDEX(Assumptions!$B$44:$B$46,MATCH($C50,Assumptions!$A$44:$A$46,0))+IF(W$45&gt;=$G50,INDEX(Assumptions!$C$44:$C$46,MATCH($C50,Assumptions!$A$44:$A$46,0)),0)+IF($C50="Assured",W50*$D50*$C$13*$C$26*$C$27*$C$28,0)</f>
        <v>53975</v>
      </c>
      <c r="X72" s="23" t="n">
        <f aca="false">X50*$D50*$C$13*INDEX(Assumptions!$B$44:$B$46,MATCH($C50,Assumptions!$A$44:$A$46,0))+IF(X$45&gt;=$G50,INDEX(Assumptions!$C$44:$C$46,MATCH($C50,Assumptions!$A$44:$A$46,0)),0)+IF($C50="Assured",X50*$D50*$C$13*$C$26*$C$27*$C$28,0)</f>
        <v>53975</v>
      </c>
      <c r="Y72" s="23" t="n">
        <f aca="false">Y50*$D50*$C$13*INDEX(Assumptions!$B$44:$B$46,MATCH($C50,Assumptions!$A$44:$A$46,0))+IF(Y$45&gt;=$G50,INDEX(Assumptions!$C$44:$C$46,MATCH($C50,Assumptions!$A$44:$A$46,0)),0)+IF($C50="Assured",Y50*$D50*$C$13*$C$26*$C$27*$C$28,0)</f>
        <v>53975</v>
      </c>
    </row>
    <row r="73" customFormat="false" ht="15" hidden="false" customHeight="false" outlineLevel="0" collapsed="false">
      <c r="A73" s="2" t="n">
        <f aca="false">A51</f>
        <v>4</v>
      </c>
      <c r="B73" s="2" t="str">
        <f aca="false">B51</f>
        <v>Pilot</v>
      </c>
      <c r="C73" s="2" t="str">
        <f aca="false">C51</f>
        <v>Assured</v>
      </c>
      <c r="D73" s="2"/>
      <c r="E73" s="2"/>
      <c r="F73" s="2"/>
      <c r="G73" s="2"/>
      <c r="H73" s="23" t="n">
        <f aca="false">H51*$D51*$C$13*INDEX(Assumptions!$B$44:$B$46,MATCH($C51,Assumptions!$A$44:$A$46,0))+IF(H$45&gt;=$G51,INDEX(Assumptions!$C$44:$C$46,MATCH($C51,Assumptions!$A$44:$A$46,0)),0)+IF($C51="Assured",H51*$D51*$C$13*$C$26*$C$27*$C$28,0)</f>
        <v>47228.125</v>
      </c>
      <c r="I73" s="23" t="n">
        <f aca="false">I51*$D51*$C$13*INDEX(Assumptions!$B$44:$B$46,MATCH($C51,Assumptions!$A$44:$A$46,0))+IF(I$45&gt;=$G51,INDEX(Assumptions!$C$44:$C$46,MATCH($C51,Assumptions!$A$44:$A$46,0)),0)+IF($C51="Assured",I51*$D51*$C$13*$C$26*$C$27*$C$28,0)</f>
        <v>49477.0833333333</v>
      </c>
      <c r="J73" s="23" t="n">
        <f aca="false">J51*$D51*$C$13*INDEX(Assumptions!$B$44:$B$46,MATCH($C51,Assumptions!$A$44:$A$46,0))+IF(J$45&gt;=$G51,INDEX(Assumptions!$C$44:$C$46,MATCH($C51,Assumptions!$A$44:$A$46,0)),0)+IF($C51="Assured",J51*$D51*$C$13*$C$26*$C$27*$C$28,0)</f>
        <v>51726.0416666667</v>
      </c>
      <c r="K73" s="23" t="n">
        <f aca="false">K51*$D51*$C$13*INDEX(Assumptions!$B$44:$B$46,MATCH($C51,Assumptions!$A$44:$A$46,0))+IF(K$45&gt;=$G51,INDEX(Assumptions!$C$44:$C$46,MATCH($C51,Assumptions!$A$44:$A$46,0)),0)+IF($C51="Assured",K51*$D51*$C$13*$C$26*$C$27*$C$28,0)</f>
        <v>53975</v>
      </c>
      <c r="L73" s="23" t="n">
        <f aca="false">L51*$D51*$C$13*INDEX(Assumptions!$B$44:$B$46,MATCH($C51,Assumptions!$A$44:$A$46,0))+IF(L$45&gt;=$G51,INDEX(Assumptions!$C$44:$C$46,MATCH($C51,Assumptions!$A$44:$A$46,0)),0)+IF($C51="Assured",L51*$D51*$C$13*$C$26*$C$27*$C$28,0)</f>
        <v>53975</v>
      </c>
      <c r="M73" s="23" t="n">
        <f aca="false">M51*$D51*$C$13*INDEX(Assumptions!$B$44:$B$46,MATCH($C51,Assumptions!$A$44:$A$46,0))+IF(M$45&gt;=$G51,INDEX(Assumptions!$C$44:$C$46,MATCH($C51,Assumptions!$A$44:$A$46,0)),0)+IF($C51="Assured",M51*$D51*$C$13*$C$26*$C$27*$C$28,0)</f>
        <v>53975</v>
      </c>
      <c r="N73" s="23" t="n">
        <f aca="false">N51*$D51*$C$13*INDEX(Assumptions!$B$44:$B$46,MATCH($C51,Assumptions!$A$44:$A$46,0))+IF(N$45&gt;=$G51,INDEX(Assumptions!$C$44:$C$46,MATCH($C51,Assumptions!$A$44:$A$46,0)),0)+IF($C51="Assured",N51*$D51*$C$13*$C$26*$C$27*$C$28,0)</f>
        <v>53975</v>
      </c>
      <c r="O73" s="23" t="n">
        <f aca="false">O51*$D51*$C$13*INDEX(Assumptions!$B$44:$B$46,MATCH($C51,Assumptions!$A$44:$A$46,0))+IF(O$45&gt;=$G51,INDEX(Assumptions!$C$44:$C$46,MATCH($C51,Assumptions!$A$44:$A$46,0)),0)+IF($C51="Assured",O51*$D51*$C$13*$C$26*$C$27*$C$28,0)</f>
        <v>53975</v>
      </c>
      <c r="P73" s="23" t="n">
        <f aca="false">P51*$D51*$C$13*INDEX(Assumptions!$B$44:$B$46,MATCH($C51,Assumptions!$A$44:$A$46,0))+IF(P$45&gt;=$G51,INDEX(Assumptions!$C$44:$C$46,MATCH($C51,Assumptions!$A$44:$A$46,0)),0)+IF($C51="Assured",P51*$D51*$C$13*$C$26*$C$27*$C$28,0)</f>
        <v>53975</v>
      </c>
      <c r="Q73" s="23" t="n">
        <f aca="false">Q51*$D51*$C$13*INDEX(Assumptions!$B$44:$B$46,MATCH($C51,Assumptions!$A$44:$A$46,0))+IF(Q$45&gt;=$G51,INDEX(Assumptions!$C$44:$C$46,MATCH($C51,Assumptions!$A$44:$A$46,0)),0)+IF($C51="Assured",Q51*$D51*$C$13*$C$26*$C$27*$C$28,0)</f>
        <v>53975</v>
      </c>
      <c r="R73" s="23" t="n">
        <f aca="false">R51*$D51*$C$13*INDEX(Assumptions!$B$44:$B$46,MATCH($C51,Assumptions!$A$44:$A$46,0))+IF(R$45&gt;=$G51,INDEX(Assumptions!$C$44:$C$46,MATCH($C51,Assumptions!$A$44:$A$46,0)),0)+IF($C51="Assured",R51*$D51*$C$13*$C$26*$C$27*$C$28,0)</f>
        <v>53975</v>
      </c>
      <c r="S73" s="23" t="n">
        <f aca="false">S51*$D51*$C$13*INDEX(Assumptions!$B$44:$B$46,MATCH($C51,Assumptions!$A$44:$A$46,0))+IF(S$45&gt;=$G51,INDEX(Assumptions!$C$44:$C$46,MATCH($C51,Assumptions!$A$44:$A$46,0)),0)+IF($C51="Assured",S51*$D51*$C$13*$C$26*$C$27*$C$28,0)</f>
        <v>53975</v>
      </c>
      <c r="T73" s="23" t="n">
        <f aca="false">T51*$D51*$C$13*INDEX(Assumptions!$B$44:$B$46,MATCH($C51,Assumptions!$A$44:$A$46,0))+IF(T$45&gt;=$G51,INDEX(Assumptions!$C$44:$C$46,MATCH($C51,Assumptions!$A$44:$A$46,0)),0)+IF($C51="Assured",T51*$D51*$C$13*$C$26*$C$27*$C$28,0)</f>
        <v>53975</v>
      </c>
      <c r="U73" s="23" t="n">
        <f aca="false">U51*$D51*$C$13*INDEX(Assumptions!$B$44:$B$46,MATCH($C51,Assumptions!$A$44:$A$46,0))+IF(U$45&gt;=$G51,INDEX(Assumptions!$C$44:$C$46,MATCH($C51,Assumptions!$A$44:$A$46,0)),0)+IF($C51="Assured",U51*$D51*$C$13*$C$26*$C$27*$C$28,0)</f>
        <v>53975</v>
      </c>
      <c r="V73" s="23" t="n">
        <f aca="false">V51*$D51*$C$13*INDEX(Assumptions!$B$44:$B$46,MATCH($C51,Assumptions!$A$44:$A$46,0))+IF(V$45&gt;=$G51,INDEX(Assumptions!$C$44:$C$46,MATCH($C51,Assumptions!$A$44:$A$46,0)),0)+IF($C51="Assured",V51*$D51*$C$13*$C$26*$C$27*$C$28,0)</f>
        <v>53975</v>
      </c>
      <c r="W73" s="23" t="n">
        <f aca="false">W51*$D51*$C$13*INDEX(Assumptions!$B$44:$B$46,MATCH($C51,Assumptions!$A$44:$A$46,0))+IF(W$45&gt;=$G51,INDEX(Assumptions!$C$44:$C$46,MATCH($C51,Assumptions!$A$44:$A$46,0)),0)+IF($C51="Assured",W51*$D51*$C$13*$C$26*$C$27*$C$28,0)</f>
        <v>53975</v>
      </c>
      <c r="X73" s="23" t="n">
        <f aca="false">X51*$D51*$C$13*INDEX(Assumptions!$B$44:$B$46,MATCH($C51,Assumptions!$A$44:$A$46,0))+IF(X$45&gt;=$G51,INDEX(Assumptions!$C$44:$C$46,MATCH($C51,Assumptions!$A$44:$A$46,0)),0)+IF($C51="Assured",X51*$D51*$C$13*$C$26*$C$27*$C$28,0)</f>
        <v>53975</v>
      </c>
      <c r="Y73" s="23" t="n">
        <f aca="false">Y51*$D51*$C$13*INDEX(Assumptions!$B$44:$B$46,MATCH($C51,Assumptions!$A$44:$A$46,0))+IF(Y$45&gt;=$G51,INDEX(Assumptions!$C$44:$C$46,MATCH($C51,Assumptions!$A$44:$A$46,0)),0)+IF($C51="Assured",Y51*$D51*$C$13*$C$26*$C$27*$C$28,0)</f>
        <v>53975</v>
      </c>
    </row>
    <row r="74" customFormat="false" ht="15" hidden="false" customHeight="false" outlineLevel="0" collapsed="false">
      <c r="A74" s="2" t="n">
        <f aca="false">A52</f>
        <v>5</v>
      </c>
      <c r="B74" s="2" t="str">
        <f aca="false">B52</f>
        <v>A</v>
      </c>
      <c r="C74" s="2" t="str">
        <f aca="false">C52</f>
        <v>Assured</v>
      </c>
      <c r="D74" s="2"/>
      <c r="E74" s="2"/>
      <c r="F74" s="2"/>
      <c r="G74" s="2"/>
      <c r="H74" s="23" t="n">
        <f aca="false">H52*$D52*$C$13*INDEX(Assumptions!$B$44:$B$46,MATCH($C52,Assumptions!$A$44:$A$46,0))+IF(H$45&gt;=$G52,INDEX(Assumptions!$C$44:$C$46,MATCH($C52,Assumptions!$A$44:$A$46,0)),0)+IF($C52="Assured",H52*$D52*$C$13*$C$26*$C$27*$C$28,0)</f>
        <v>0</v>
      </c>
      <c r="I74" s="23" t="n">
        <f aca="false">I52*$D52*$C$13*INDEX(Assumptions!$B$44:$B$46,MATCH($C52,Assumptions!$A$44:$A$46,0))+IF(I$45&gt;=$G52,INDEX(Assumptions!$C$44:$C$46,MATCH($C52,Assumptions!$A$44:$A$46,0)),0)+IF($C52="Assured",I52*$D52*$C$13*$C$26*$C$27*$C$28,0)</f>
        <v>0</v>
      </c>
      <c r="J74" s="23" t="n">
        <f aca="false">J52*$D52*$C$13*INDEX(Assumptions!$B$44:$B$46,MATCH($C52,Assumptions!$A$44:$A$46,0))+IF(J$45&gt;=$G52,INDEX(Assumptions!$C$44:$C$46,MATCH($C52,Assumptions!$A$44:$A$46,0)),0)+IF($C52="Assured",J52*$D52*$C$13*$C$26*$C$27*$C$28,0)</f>
        <v>23317.2</v>
      </c>
      <c r="K74" s="23" t="n">
        <f aca="false">K52*$D52*$C$13*INDEX(Assumptions!$B$44:$B$46,MATCH($C52,Assumptions!$A$44:$A$46,0))+IF(K$45&gt;=$G52,INDEX(Assumptions!$C$44:$C$46,MATCH($C52,Assumptions!$A$44:$A$46,0)),0)+IF($C52="Assured",K52*$D52*$C$13*$C$26*$C$27*$C$28,0)</f>
        <v>46634.4</v>
      </c>
      <c r="L74" s="23" t="n">
        <f aca="false">L52*$D52*$C$13*INDEX(Assumptions!$B$44:$B$46,MATCH($C52,Assumptions!$A$44:$A$46,0))+IF(L$45&gt;=$G52,INDEX(Assumptions!$C$44:$C$46,MATCH($C52,Assumptions!$A$44:$A$46,0)),0)+IF($C52="Assured",L52*$D52*$C$13*$C$26*$C$27*$C$28,0)</f>
        <v>66065.4</v>
      </c>
      <c r="M74" s="23" t="n">
        <f aca="false">M52*$D52*$C$13*INDEX(Assumptions!$B$44:$B$46,MATCH($C52,Assumptions!$A$44:$A$46,0))+IF(M$45&gt;=$G52,INDEX(Assumptions!$C$44:$C$46,MATCH($C52,Assumptions!$A$44:$A$46,0)),0)+IF($C52="Assured",M52*$D52*$C$13*$C$26*$C$27*$C$28,0)</f>
        <v>77724</v>
      </c>
      <c r="N74" s="23" t="n">
        <f aca="false">N52*$D52*$C$13*INDEX(Assumptions!$B$44:$B$46,MATCH($C52,Assumptions!$A$44:$A$46,0))+IF(N$45&gt;=$G52,INDEX(Assumptions!$C$44:$C$46,MATCH($C52,Assumptions!$A$44:$A$46,0)),0)+IF($C52="Assured",N52*$D52*$C$13*$C$26*$C$27*$C$28,0)</f>
        <v>77724</v>
      </c>
      <c r="O74" s="23" t="n">
        <f aca="false">O52*$D52*$C$13*INDEX(Assumptions!$B$44:$B$46,MATCH($C52,Assumptions!$A$44:$A$46,0))+IF(O$45&gt;=$G52,INDEX(Assumptions!$C$44:$C$46,MATCH($C52,Assumptions!$A$44:$A$46,0)),0)+IF($C52="Assured",O52*$D52*$C$13*$C$26*$C$27*$C$28,0)</f>
        <v>77724</v>
      </c>
      <c r="P74" s="23" t="n">
        <f aca="false">P52*$D52*$C$13*INDEX(Assumptions!$B$44:$B$46,MATCH($C52,Assumptions!$A$44:$A$46,0))+IF(P$45&gt;=$G52,INDEX(Assumptions!$C$44:$C$46,MATCH($C52,Assumptions!$A$44:$A$46,0)),0)+IF($C52="Assured",P52*$D52*$C$13*$C$26*$C$27*$C$28,0)</f>
        <v>77724</v>
      </c>
      <c r="Q74" s="23" t="n">
        <f aca="false">Q52*$D52*$C$13*INDEX(Assumptions!$B$44:$B$46,MATCH($C52,Assumptions!$A$44:$A$46,0))+IF(Q$45&gt;=$G52,INDEX(Assumptions!$C$44:$C$46,MATCH($C52,Assumptions!$A$44:$A$46,0)),0)+IF($C52="Assured",Q52*$D52*$C$13*$C$26*$C$27*$C$28,0)</f>
        <v>77724</v>
      </c>
      <c r="R74" s="23" t="n">
        <f aca="false">R52*$D52*$C$13*INDEX(Assumptions!$B$44:$B$46,MATCH($C52,Assumptions!$A$44:$A$46,0))+IF(R$45&gt;=$G52,INDEX(Assumptions!$C$44:$C$46,MATCH($C52,Assumptions!$A$44:$A$46,0)),0)+IF($C52="Assured",R52*$D52*$C$13*$C$26*$C$27*$C$28,0)</f>
        <v>77724</v>
      </c>
      <c r="S74" s="23" t="n">
        <f aca="false">S52*$D52*$C$13*INDEX(Assumptions!$B$44:$B$46,MATCH($C52,Assumptions!$A$44:$A$46,0))+IF(S$45&gt;=$G52,INDEX(Assumptions!$C$44:$C$46,MATCH($C52,Assumptions!$A$44:$A$46,0)),0)+IF($C52="Assured",S52*$D52*$C$13*$C$26*$C$27*$C$28,0)</f>
        <v>77724</v>
      </c>
      <c r="T74" s="23" t="n">
        <f aca="false">T52*$D52*$C$13*INDEX(Assumptions!$B$44:$B$46,MATCH($C52,Assumptions!$A$44:$A$46,0))+IF(T$45&gt;=$G52,INDEX(Assumptions!$C$44:$C$46,MATCH($C52,Assumptions!$A$44:$A$46,0)),0)+IF($C52="Assured",T52*$D52*$C$13*$C$26*$C$27*$C$28,0)</f>
        <v>77724</v>
      </c>
      <c r="U74" s="23" t="n">
        <f aca="false">U52*$D52*$C$13*INDEX(Assumptions!$B$44:$B$46,MATCH($C52,Assumptions!$A$44:$A$46,0))+IF(U$45&gt;=$G52,INDEX(Assumptions!$C$44:$C$46,MATCH($C52,Assumptions!$A$44:$A$46,0)),0)+IF($C52="Assured",U52*$D52*$C$13*$C$26*$C$27*$C$28,0)</f>
        <v>77724</v>
      </c>
      <c r="V74" s="23" t="n">
        <f aca="false">V52*$D52*$C$13*INDEX(Assumptions!$B$44:$B$46,MATCH($C52,Assumptions!$A$44:$A$46,0))+IF(V$45&gt;=$G52,INDEX(Assumptions!$C$44:$C$46,MATCH($C52,Assumptions!$A$44:$A$46,0)),0)+IF($C52="Assured",V52*$D52*$C$13*$C$26*$C$27*$C$28,0)</f>
        <v>77724</v>
      </c>
      <c r="W74" s="23" t="n">
        <f aca="false">W52*$D52*$C$13*INDEX(Assumptions!$B$44:$B$46,MATCH($C52,Assumptions!$A$44:$A$46,0))+IF(W$45&gt;=$G52,INDEX(Assumptions!$C$44:$C$46,MATCH($C52,Assumptions!$A$44:$A$46,0)),0)+IF($C52="Assured",W52*$D52*$C$13*$C$26*$C$27*$C$28,0)</f>
        <v>77724</v>
      </c>
      <c r="X74" s="23" t="n">
        <f aca="false">X52*$D52*$C$13*INDEX(Assumptions!$B$44:$B$46,MATCH($C52,Assumptions!$A$44:$A$46,0))+IF(X$45&gt;=$G52,INDEX(Assumptions!$C$44:$C$46,MATCH($C52,Assumptions!$A$44:$A$46,0)),0)+IF($C52="Assured",X52*$D52*$C$13*$C$26*$C$27*$C$28,0)</f>
        <v>77724</v>
      </c>
      <c r="Y74" s="23" t="n">
        <f aca="false">Y52*$D52*$C$13*INDEX(Assumptions!$B$44:$B$46,MATCH($C52,Assumptions!$A$44:$A$46,0))+IF(Y$45&gt;=$G52,INDEX(Assumptions!$C$44:$C$46,MATCH($C52,Assumptions!$A$44:$A$46,0)),0)+IF($C52="Assured",Y52*$D52*$C$13*$C$26*$C$27*$C$28,0)</f>
        <v>77724</v>
      </c>
    </row>
    <row r="75" customFormat="false" ht="15" hidden="false" customHeight="false" outlineLevel="0" collapsed="false">
      <c r="A75" s="2" t="n">
        <f aca="false">A53</f>
        <v>6</v>
      </c>
      <c r="B75" s="2" t="str">
        <f aca="false">B53</f>
        <v>A</v>
      </c>
      <c r="C75" s="2" t="str">
        <f aca="false">C53</f>
        <v>Assured</v>
      </c>
      <c r="D75" s="2"/>
      <c r="E75" s="2"/>
      <c r="F75" s="2"/>
      <c r="G75" s="2"/>
      <c r="H75" s="23" t="n">
        <f aca="false">H53*$D53*$C$13*INDEX(Assumptions!$B$44:$B$46,MATCH($C53,Assumptions!$A$44:$A$46,0))+IF(H$45&gt;=$G53,INDEX(Assumptions!$C$44:$C$46,MATCH($C53,Assumptions!$A$44:$A$46,0)),0)+IF($C53="Assured",H53*$D53*$C$13*$C$26*$C$27*$C$28,0)</f>
        <v>0</v>
      </c>
      <c r="I75" s="23" t="n">
        <f aca="false">I53*$D53*$C$13*INDEX(Assumptions!$B$44:$B$46,MATCH($C53,Assumptions!$A$44:$A$46,0))+IF(I$45&gt;=$G53,INDEX(Assumptions!$C$44:$C$46,MATCH($C53,Assumptions!$A$44:$A$46,0)),0)+IF($C53="Assured",I53*$D53*$C$13*$C$26*$C$27*$C$28,0)</f>
        <v>0</v>
      </c>
      <c r="J75" s="23" t="n">
        <f aca="false">J53*$D53*$C$13*INDEX(Assumptions!$B$44:$B$46,MATCH($C53,Assumptions!$A$44:$A$46,0))+IF(J$45&gt;=$G53,INDEX(Assumptions!$C$44:$C$46,MATCH($C53,Assumptions!$A$44:$A$46,0)),0)+IF($C53="Assured",J53*$D53*$C$13*$C$26*$C$27*$C$28,0)</f>
        <v>23317.2</v>
      </c>
      <c r="K75" s="23" t="n">
        <f aca="false">K53*$D53*$C$13*INDEX(Assumptions!$B$44:$B$46,MATCH($C53,Assumptions!$A$44:$A$46,0))+IF(K$45&gt;=$G53,INDEX(Assumptions!$C$44:$C$46,MATCH($C53,Assumptions!$A$44:$A$46,0)),0)+IF($C53="Assured",K53*$D53*$C$13*$C$26*$C$27*$C$28,0)</f>
        <v>46634.4</v>
      </c>
      <c r="L75" s="23" t="n">
        <f aca="false">L53*$D53*$C$13*INDEX(Assumptions!$B$44:$B$46,MATCH($C53,Assumptions!$A$44:$A$46,0))+IF(L$45&gt;=$G53,INDEX(Assumptions!$C$44:$C$46,MATCH($C53,Assumptions!$A$44:$A$46,0)),0)+IF($C53="Assured",L53*$D53*$C$13*$C$26*$C$27*$C$28,0)</f>
        <v>66065.4</v>
      </c>
      <c r="M75" s="23" t="n">
        <f aca="false">M53*$D53*$C$13*INDEX(Assumptions!$B$44:$B$46,MATCH($C53,Assumptions!$A$44:$A$46,0))+IF(M$45&gt;=$G53,INDEX(Assumptions!$C$44:$C$46,MATCH($C53,Assumptions!$A$44:$A$46,0)),0)+IF($C53="Assured",M53*$D53*$C$13*$C$26*$C$27*$C$28,0)</f>
        <v>77724</v>
      </c>
      <c r="N75" s="23" t="n">
        <f aca="false">N53*$D53*$C$13*INDEX(Assumptions!$B$44:$B$46,MATCH($C53,Assumptions!$A$44:$A$46,0))+IF(N$45&gt;=$G53,INDEX(Assumptions!$C$44:$C$46,MATCH($C53,Assumptions!$A$44:$A$46,0)),0)+IF($C53="Assured",N53*$D53*$C$13*$C$26*$C$27*$C$28,0)</f>
        <v>77724</v>
      </c>
      <c r="O75" s="23" t="n">
        <f aca="false">O53*$D53*$C$13*INDEX(Assumptions!$B$44:$B$46,MATCH($C53,Assumptions!$A$44:$A$46,0))+IF(O$45&gt;=$G53,INDEX(Assumptions!$C$44:$C$46,MATCH($C53,Assumptions!$A$44:$A$46,0)),0)+IF($C53="Assured",O53*$D53*$C$13*$C$26*$C$27*$C$28,0)</f>
        <v>77724</v>
      </c>
      <c r="P75" s="23" t="n">
        <f aca="false">P53*$D53*$C$13*INDEX(Assumptions!$B$44:$B$46,MATCH($C53,Assumptions!$A$44:$A$46,0))+IF(P$45&gt;=$G53,INDEX(Assumptions!$C$44:$C$46,MATCH($C53,Assumptions!$A$44:$A$46,0)),0)+IF($C53="Assured",P53*$D53*$C$13*$C$26*$C$27*$C$28,0)</f>
        <v>77724</v>
      </c>
      <c r="Q75" s="23" t="n">
        <f aca="false">Q53*$D53*$C$13*INDEX(Assumptions!$B$44:$B$46,MATCH($C53,Assumptions!$A$44:$A$46,0))+IF(Q$45&gt;=$G53,INDEX(Assumptions!$C$44:$C$46,MATCH($C53,Assumptions!$A$44:$A$46,0)),0)+IF($C53="Assured",Q53*$D53*$C$13*$C$26*$C$27*$C$28,0)</f>
        <v>77724</v>
      </c>
      <c r="R75" s="23" t="n">
        <f aca="false">R53*$D53*$C$13*INDEX(Assumptions!$B$44:$B$46,MATCH($C53,Assumptions!$A$44:$A$46,0))+IF(R$45&gt;=$G53,INDEX(Assumptions!$C$44:$C$46,MATCH($C53,Assumptions!$A$44:$A$46,0)),0)+IF($C53="Assured",R53*$D53*$C$13*$C$26*$C$27*$C$28,0)</f>
        <v>77724</v>
      </c>
      <c r="S75" s="23" t="n">
        <f aca="false">S53*$D53*$C$13*INDEX(Assumptions!$B$44:$B$46,MATCH($C53,Assumptions!$A$44:$A$46,0))+IF(S$45&gt;=$G53,INDEX(Assumptions!$C$44:$C$46,MATCH($C53,Assumptions!$A$44:$A$46,0)),0)+IF($C53="Assured",S53*$D53*$C$13*$C$26*$C$27*$C$28,0)</f>
        <v>77724</v>
      </c>
      <c r="T75" s="23" t="n">
        <f aca="false">T53*$D53*$C$13*INDEX(Assumptions!$B$44:$B$46,MATCH($C53,Assumptions!$A$44:$A$46,0))+IF(T$45&gt;=$G53,INDEX(Assumptions!$C$44:$C$46,MATCH($C53,Assumptions!$A$44:$A$46,0)),0)+IF($C53="Assured",T53*$D53*$C$13*$C$26*$C$27*$C$28,0)</f>
        <v>77724</v>
      </c>
      <c r="U75" s="23" t="n">
        <f aca="false">U53*$D53*$C$13*INDEX(Assumptions!$B$44:$B$46,MATCH($C53,Assumptions!$A$44:$A$46,0))+IF(U$45&gt;=$G53,INDEX(Assumptions!$C$44:$C$46,MATCH($C53,Assumptions!$A$44:$A$46,0)),0)+IF($C53="Assured",U53*$D53*$C$13*$C$26*$C$27*$C$28,0)</f>
        <v>77724</v>
      </c>
      <c r="V75" s="23" t="n">
        <f aca="false">V53*$D53*$C$13*INDEX(Assumptions!$B$44:$B$46,MATCH($C53,Assumptions!$A$44:$A$46,0))+IF(V$45&gt;=$G53,INDEX(Assumptions!$C$44:$C$46,MATCH($C53,Assumptions!$A$44:$A$46,0)),0)+IF($C53="Assured",V53*$D53*$C$13*$C$26*$C$27*$C$28,0)</f>
        <v>77724</v>
      </c>
      <c r="W75" s="23" t="n">
        <f aca="false">W53*$D53*$C$13*INDEX(Assumptions!$B$44:$B$46,MATCH($C53,Assumptions!$A$44:$A$46,0))+IF(W$45&gt;=$G53,INDEX(Assumptions!$C$44:$C$46,MATCH($C53,Assumptions!$A$44:$A$46,0)),0)+IF($C53="Assured",W53*$D53*$C$13*$C$26*$C$27*$C$28,0)</f>
        <v>77724</v>
      </c>
      <c r="X75" s="23" t="n">
        <f aca="false">X53*$D53*$C$13*INDEX(Assumptions!$B$44:$B$46,MATCH($C53,Assumptions!$A$44:$A$46,0))+IF(X$45&gt;=$G53,INDEX(Assumptions!$C$44:$C$46,MATCH($C53,Assumptions!$A$44:$A$46,0)),0)+IF($C53="Assured",X53*$D53*$C$13*$C$26*$C$27*$C$28,0)</f>
        <v>77724</v>
      </c>
      <c r="Y75" s="23" t="n">
        <f aca="false">Y53*$D53*$C$13*INDEX(Assumptions!$B$44:$B$46,MATCH($C53,Assumptions!$A$44:$A$46,0))+IF(Y$45&gt;=$G53,INDEX(Assumptions!$C$44:$C$46,MATCH($C53,Assumptions!$A$44:$A$46,0)),0)+IF($C53="Assured",Y53*$D53*$C$13*$C$26*$C$27*$C$28,0)</f>
        <v>77724</v>
      </c>
    </row>
    <row r="76" customFormat="false" ht="15" hidden="false" customHeight="false" outlineLevel="0" collapsed="false">
      <c r="A76" s="2" t="n">
        <f aca="false">A54</f>
        <v>7</v>
      </c>
      <c r="B76" s="2" t="str">
        <f aca="false">B54</f>
        <v>A</v>
      </c>
      <c r="C76" s="2" t="str">
        <f aca="false">C54</f>
        <v>Assured</v>
      </c>
      <c r="D76" s="2"/>
      <c r="E76" s="2"/>
      <c r="F76" s="2"/>
      <c r="G76" s="2"/>
      <c r="H76" s="23" t="n">
        <f aca="false">H54*$D54*$C$13*INDEX(Assumptions!$B$44:$B$46,MATCH($C54,Assumptions!$A$44:$A$46,0))+IF(H$45&gt;=$G54,INDEX(Assumptions!$C$44:$C$46,MATCH($C54,Assumptions!$A$44:$A$46,0)),0)+IF($C54="Assured",H54*$D54*$C$13*$C$26*$C$27*$C$28,0)</f>
        <v>0</v>
      </c>
      <c r="I76" s="23" t="n">
        <f aca="false">I54*$D54*$C$13*INDEX(Assumptions!$B$44:$B$46,MATCH($C54,Assumptions!$A$44:$A$46,0))+IF(I$45&gt;=$G54,INDEX(Assumptions!$C$44:$C$46,MATCH($C54,Assumptions!$A$44:$A$46,0)),0)+IF($C54="Assured",I54*$D54*$C$13*$C$26*$C$27*$C$28,0)</f>
        <v>0</v>
      </c>
      <c r="J76" s="23" t="n">
        <f aca="false">J54*$D54*$C$13*INDEX(Assumptions!$B$44:$B$46,MATCH($C54,Assumptions!$A$44:$A$46,0))+IF(J$45&gt;=$G54,INDEX(Assumptions!$C$44:$C$46,MATCH($C54,Assumptions!$A$44:$A$46,0)),0)+IF($C54="Assured",J54*$D54*$C$13*$C$26*$C$27*$C$28,0)</f>
        <v>0</v>
      </c>
      <c r="K76" s="23" t="n">
        <f aca="false">K54*$D54*$C$13*INDEX(Assumptions!$B$44:$B$46,MATCH($C54,Assumptions!$A$44:$A$46,0))+IF(K$45&gt;=$G54,INDEX(Assumptions!$C$44:$C$46,MATCH($C54,Assumptions!$A$44:$A$46,0)),0)+IF($C54="Assured",K54*$D54*$C$13*$C$26*$C$27*$C$28,0)</f>
        <v>23317.2</v>
      </c>
      <c r="L76" s="23" t="n">
        <f aca="false">L54*$D54*$C$13*INDEX(Assumptions!$B$44:$B$46,MATCH($C54,Assumptions!$A$44:$A$46,0))+IF(L$45&gt;=$G54,INDEX(Assumptions!$C$44:$C$46,MATCH($C54,Assumptions!$A$44:$A$46,0)),0)+IF($C54="Assured",L54*$D54*$C$13*$C$26*$C$27*$C$28,0)</f>
        <v>46634.4</v>
      </c>
      <c r="M76" s="23" t="n">
        <f aca="false">M54*$D54*$C$13*INDEX(Assumptions!$B$44:$B$46,MATCH($C54,Assumptions!$A$44:$A$46,0))+IF(M$45&gt;=$G54,INDEX(Assumptions!$C$44:$C$46,MATCH($C54,Assumptions!$A$44:$A$46,0)),0)+IF($C54="Assured",M54*$D54*$C$13*$C$26*$C$27*$C$28,0)</f>
        <v>66065.4</v>
      </c>
      <c r="N76" s="23" t="n">
        <f aca="false">N54*$D54*$C$13*INDEX(Assumptions!$B$44:$B$46,MATCH($C54,Assumptions!$A$44:$A$46,0))+IF(N$45&gt;=$G54,INDEX(Assumptions!$C$44:$C$46,MATCH($C54,Assumptions!$A$44:$A$46,0)),0)+IF($C54="Assured",N54*$D54*$C$13*$C$26*$C$27*$C$28,0)</f>
        <v>77724</v>
      </c>
      <c r="O76" s="23" t="n">
        <f aca="false">O54*$D54*$C$13*INDEX(Assumptions!$B$44:$B$46,MATCH($C54,Assumptions!$A$44:$A$46,0))+IF(O$45&gt;=$G54,INDEX(Assumptions!$C$44:$C$46,MATCH($C54,Assumptions!$A$44:$A$46,0)),0)+IF($C54="Assured",O54*$D54*$C$13*$C$26*$C$27*$C$28,0)</f>
        <v>77724</v>
      </c>
      <c r="P76" s="23" t="n">
        <f aca="false">P54*$D54*$C$13*INDEX(Assumptions!$B$44:$B$46,MATCH($C54,Assumptions!$A$44:$A$46,0))+IF(P$45&gt;=$G54,INDEX(Assumptions!$C$44:$C$46,MATCH($C54,Assumptions!$A$44:$A$46,0)),0)+IF($C54="Assured",P54*$D54*$C$13*$C$26*$C$27*$C$28,0)</f>
        <v>77724</v>
      </c>
      <c r="Q76" s="23" t="n">
        <f aca="false">Q54*$D54*$C$13*INDEX(Assumptions!$B$44:$B$46,MATCH($C54,Assumptions!$A$44:$A$46,0))+IF(Q$45&gt;=$G54,INDEX(Assumptions!$C$44:$C$46,MATCH($C54,Assumptions!$A$44:$A$46,0)),0)+IF($C54="Assured",Q54*$D54*$C$13*$C$26*$C$27*$C$28,0)</f>
        <v>77724</v>
      </c>
      <c r="R76" s="23" t="n">
        <f aca="false">R54*$D54*$C$13*INDEX(Assumptions!$B$44:$B$46,MATCH($C54,Assumptions!$A$44:$A$46,0))+IF(R$45&gt;=$G54,INDEX(Assumptions!$C$44:$C$46,MATCH($C54,Assumptions!$A$44:$A$46,0)),0)+IF($C54="Assured",R54*$D54*$C$13*$C$26*$C$27*$C$28,0)</f>
        <v>77724</v>
      </c>
      <c r="S76" s="23" t="n">
        <f aca="false">S54*$D54*$C$13*INDEX(Assumptions!$B$44:$B$46,MATCH($C54,Assumptions!$A$44:$A$46,0))+IF(S$45&gt;=$G54,INDEX(Assumptions!$C$44:$C$46,MATCH($C54,Assumptions!$A$44:$A$46,0)),0)+IF($C54="Assured",S54*$D54*$C$13*$C$26*$C$27*$C$28,0)</f>
        <v>77724</v>
      </c>
      <c r="T76" s="23" t="n">
        <f aca="false">T54*$D54*$C$13*INDEX(Assumptions!$B$44:$B$46,MATCH($C54,Assumptions!$A$44:$A$46,0))+IF(T$45&gt;=$G54,INDEX(Assumptions!$C$44:$C$46,MATCH($C54,Assumptions!$A$44:$A$46,0)),0)+IF($C54="Assured",T54*$D54*$C$13*$C$26*$C$27*$C$28,0)</f>
        <v>77724</v>
      </c>
      <c r="U76" s="23" t="n">
        <f aca="false">U54*$D54*$C$13*INDEX(Assumptions!$B$44:$B$46,MATCH($C54,Assumptions!$A$44:$A$46,0))+IF(U$45&gt;=$G54,INDEX(Assumptions!$C$44:$C$46,MATCH($C54,Assumptions!$A$44:$A$46,0)),0)+IF($C54="Assured",U54*$D54*$C$13*$C$26*$C$27*$C$28,0)</f>
        <v>77724</v>
      </c>
      <c r="V76" s="23" t="n">
        <f aca="false">V54*$D54*$C$13*INDEX(Assumptions!$B$44:$B$46,MATCH($C54,Assumptions!$A$44:$A$46,0))+IF(V$45&gt;=$G54,INDEX(Assumptions!$C$44:$C$46,MATCH($C54,Assumptions!$A$44:$A$46,0)),0)+IF($C54="Assured",V54*$D54*$C$13*$C$26*$C$27*$C$28,0)</f>
        <v>77724</v>
      </c>
      <c r="W76" s="23" t="n">
        <f aca="false">W54*$D54*$C$13*INDEX(Assumptions!$B$44:$B$46,MATCH($C54,Assumptions!$A$44:$A$46,0))+IF(W$45&gt;=$G54,INDEX(Assumptions!$C$44:$C$46,MATCH($C54,Assumptions!$A$44:$A$46,0)),0)+IF($C54="Assured",W54*$D54*$C$13*$C$26*$C$27*$C$28,0)</f>
        <v>77724</v>
      </c>
      <c r="X76" s="23" t="n">
        <f aca="false">X54*$D54*$C$13*INDEX(Assumptions!$B$44:$B$46,MATCH($C54,Assumptions!$A$44:$A$46,0))+IF(X$45&gt;=$G54,INDEX(Assumptions!$C$44:$C$46,MATCH($C54,Assumptions!$A$44:$A$46,0)),0)+IF($C54="Assured",X54*$D54*$C$13*$C$26*$C$27*$C$28,0)</f>
        <v>77724</v>
      </c>
      <c r="Y76" s="23" t="n">
        <f aca="false">Y54*$D54*$C$13*INDEX(Assumptions!$B$44:$B$46,MATCH($C54,Assumptions!$A$44:$A$46,0))+IF(Y$45&gt;=$G54,INDEX(Assumptions!$C$44:$C$46,MATCH($C54,Assumptions!$A$44:$A$46,0)),0)+IF($C54="Assured",Y54*$D54*$C$13*$C$26*$C$27*$C$28,0)</f>
        <v>77724</v>
      </c>
    </row>
    <row r="77" customFormat="false" ht="15" hidden="false" customHeight="false" outlineLevel="0" collapsed="false">
      <c r="A77" s="2" t="n">
        <f aca="false">A55</f>
        <v>8</v>
      </c>
      <c r="B77" s="2" t="str">
        <f aca="false">B55</f>
        <v>A</v>
      </c>
      <c r="C77" s="2" t="str">
        <f aca="false">C55</f>
        <v>Assured</v>
      </c>
      <c r="D77" s="2"/>
      <c r="E77" s="2"/>
      <c r="F77" s="2"/>
      <c r="G77" s="2"/>
      <c r="H77" s="23" t="n">
        <f aca="false">H55*$D55*$C$13*INDEX(Assumptions!$B$44:$B$46,MATCH($C55,Assumptions!$A$44:$A$46,0))+IF(H$45&gt;=$G55,INDEX(Assumptions!$C$44:$C$46,MATCH($C55,Assumptions!$A$44:$A$46,0)),0)+IF($C55="Assured",H55*$D55*$C$13*$C$26*$C$27*$C$28,0)</f>
        <v>0</v>
      </c>
      <c r="I77" s="23" t="n">
        <f aca="false">I55*$D55*$C$13*INDEX(Assumptions!$B$44:$B$46,MATCH($C55,Assumptions!$A$44:$A$46,0))+IF(I$45&gt;=$G55,INDEX(Assumptions!$C$44:$C$46,MATCH($C55,Assumptions!$A$44:$A$46,0)),0)+IF($C55="Assured",I55*$D55*$C$13*$C$26*$C$27*$C$28,0)</f>
        <v>0</v>
      </c>
      <c r="J77" s="23" t="n">
        <f aca="false">J55*$D55*$C$13*INDEX(Assumptions!$B$44:$B$46,MATCH($C55,Assumptions!$A$44:$A$46,0))+IF(J$45&gt;=$G55,INDEX(Assumptions!$C$44:$C$46,MATCH($C55,Assumptions!$A$44:$A$46,0)),0)+IF($C55="Assured",J55*$D55*$C$13*$C$26*$C$27*$C$28,0)</f>
        <v>0</v>
      </c>
      <c r="K77" s="23" t="n">
        <f aca="false">K55*$D55*$C$13*INDEX(Assumptions!$B$44:$B$46,MATCH($C55,Assumptions!$A$44:$A$46,0))+IF(K$45&gt;=$G55,INDEX(Assumptions!$C$44:$C$46,MATCH($C55,Assumptions!$A$44:$A$46,0)),0)+IF($C55="Assured",K55*$D55*$C$13*$C$26*$C$27*$C$28,0)</f>
        <v>23317.2</v>
      </c>
      <c r="L77" s="23" t="n">
        <f aca="false">L55*$D55*$C$13*INDEX(Assumptions!$B$44:$B$46,MATCH($C55,Assumptions!$A$44:$A$46,0))+IF(L$45&gt;=$G55,INDEX(Assumptions!$C$44:$C$46,MATCH($C55,Assumptions!$A$44:$A$46,0)),0)+IF($C55="Assured",L55*$D55*$C$13*$C$26*$C$27*$C$28,0)</f>
        <v>46634.4</v>
      </c>
      <c r="M77" s="23" t="n">
        <f aca="false">M55*$D55*$C$13*INDEX(Assumptions!$B$44:$B$46,MATCH($C55,Assumptions!$A$44:$A$46,0))+IF(M$45&gt;=$G55,INDEX(Assumptions!$C$44:$C$46,MATCH($C55,Assumptions!$A$44:$A$46,0)),0)+IF($C55="Assured",M55*$D55*$C$13*$C$26*$C$27*$C$28,0)</f>
        <v>66065.4</v>
      </c>
      <c r="N77" s="23" t="n">
        <f aca="false">N55*$D55*$C$13*INDEX(Assumptions!$B$44:$B$46,MATCH($C55,Assumptions!$A$44:$A$46,0))+IF(N$45&gt;=$G55,INDEX(Assumptions!$C$44:$C$46,MATCH($C55,Assumptions!$A$44:$A$46,0)),0)+IF($C55="Assured",N55*$D55*$C$13*$C$26*$C$27*$C$28,0)</f>
        <v>77724</v>
      </c>
      <c r="O77" s="23" t="n">
        <f aca="false">O55*$D55*$C$13*INDEX(Assumptions!$B$44:$B$46,MATCH($C55,Assumptions!$A$44:$A$46,0))+IF(O$45&gt;=$G55,INDEX(Assumptions!$C$44:$C$46,MATCH($C55,Assumptions!$A$44:$A$46,0)),0)+IF($C55="Assured",O55*$D55*$C$13*$C$26*$C$27*$C$28,0)</f>
        <v>77724</v>
      </c>
      <c r="P77" s="23" t="n">
        <f aca="false">P55*$D55*$C$13*INDEX(Assumptions!$B$44:$B$46,MATCH($C55,Assumptions!$A$44:$A$46,0))+IF(P$45&gt;=$G55,INDEX(Assumptions!$C$44:$C$46,MATCH($C55,Assumptions!$A$44:$A$46,0)),0)+IF($C55="Assured",P55*$D55*$C$13*$C$26*$C$27*$C$28,0)</f>
        <v>77724</v>
      </c>
      <c r="Q77" s="23" t="n">
        <f aca="false">Q55*$D55*$C$13*INDEX(Assumptions!$B$44:$B$46,MATCH($C55,Assumptions!$A$44:$A$46,0))+IF(Q$45&gt;=$G55,INDEX(Assumptions!$C$44:$C$46,MATCH($C55,Assumptions!$A$44:$A$46,0)),0)+IF($C55="Assured",Q55*$D55*$C$13*$C$26*$C$27*$C$28,0)</f>
        <v>77724</v>
      </c>
      <c r="R77" s="23" t="n">
        <f aca="false">R55*$D55*$C$13*INDEX(Assumptions!$B$44:$B$46,MATCH($C55,Assumptions!$A$44:$A$46,0))+IF(R$45&gt;=$G55,INDEX(Assumptions!$C$44:$C$46,MATCH($C55,Assumptions!$A$44:$A$46,0)),0)+IF($C55="Assured",R55*$D55*$C$13*$C$26*$C$27*$C$28,0)</f>
        <v>77724</v>
      </c>
      <c r="S77" s="23" t="n">
        <f aca="false">S55*$D55*$C$13*INDEX(Assumptions!$B$44:$B$46,MATCH($C55,Assumptions!$A$44:$A$46,0))+IF(S$45&gt;=$G55,INDEX(Assumptions!$C$44:$C$46,MATCH($C55,Assumptions!$A$44:$A$46,0)),0)+IF($C55="Assured",S55*$D55*$C$13*$C$26*$C$27*$C$28,0)</f>
        <v>77724</v>
      </c>
      <c r="T77" s="23" t="n">
        <f aca="false">T55*$D55*$C$13*INDEX(Assumptions!$B$44:$B$46,MATCH($C55,Assumptions!$A$44:$A$46,0))+IF(T$45&gt;=$G55,INDEX(Assumptions!$C$44:$C$46,MATCH($C55,Assumptions!$A$44:$A$46,0)),0)+IF($C55="Assured",T55*$D55*$C$13*$C$26*$C$27*$C$28,0)</f>
        <v>77724</v>
      </c>
      <c r="U77" s="23" t="n">
        <f aca="false">U55*$D55*$C$13*INDEX(Assumptions!$B$44:$B$46,MATCH($C55,Assumptions!$A$44:$A$46,0))+IF(U$45&gt;=$G55,INDEX(Assumptions!$C$44:$C$46,MATCH($C55,Assumptions!$A$44:$A$46,0)),0)+IF($C55="Assured",U55*$D55*$C$13*$C$26*$C$27*$C$28,0)</f>
        <v>77724</v>
      </c>
      <c r="V77" s="23" t="n">
        <f aca="false">V55*$D55*$C$13*INDEX(Assumptions!$B$44:$B$46,MATCH($C55,Assumptions!$A$44:$A$46,0))+IF(V$45&gt;=$G55,INDEX(Assumptions!$C$44:$C$46,MATCH($C55,Assumptions!$A$44:$A$46,0)),0)+IF($C55="Assured",V55*$D55*$C$13*$C$26*$C$27*$C$28,0)</f>
        <v>77724</v>
      </c>
      <c r="W77" s="23" t="n">
        <f aca="false">W55*$D55*$C$13*INDEX(Assumptions!$B$44:$B$46,MATCH($C55,Assumptions!$A$44:$A$46,0))+IF(W$45&gt;=$G55,INDEX(Assumptions!$C$44:$C$46,MATCH($C55,Assumptions!$A$44:$A$46,0)),0)+IF($C55="Assured",W55*$D55*$C$13*$C$26*$C$27*$C$28,0)</f>
        <v>77724</v>
      </c>
      <c r="X77" s="23" t="n">
        <f aca="false">X55*$D55*$C$13*INDEX(Assumptions!$B$44:$B$46,MATCH($C55,Assumptions!$A$44:$A$46,0))+IF(X$45&gt;=$G55,INDEX(Assumptions!$C$44:$C$46,MATCH($C55,Assumptions!$A$44:$A$46,0)),0)+IF($C55="Assured",X55*$D55*$C$13*$C$26*$C$27*$C$28,0)</f>
        <v>77724</v>
      </c>
      <c r="Y77" s="23" t="n">
        <f aca="false">Y55*$D55*$C$13*INDEX(Assumptions!$B$44:$B$46,MATCH($C55,Assumptions!$A$44:$A$46,0))+IF(Y$45&gt;=$G55,INDEX(Assumptions!$C$44:$C$46,MATCH($C55,Assumptions!$A$44:$A$46,0)),0)+IF($C55="Assured",Y55*$D55*$C$13*$C$26*$C$27*$C$28,0)</f>
        <v>77724</v>
      </c>
    </row>
    <row r="78" customFormat="false" ht="15" hidden="false" customHeight="false" outlineLevel="0" collapsed="false">
      <c r="A78" s="2" t="n">
        <f aca="false">A56</f>
        <v>9</v>
      </c>
      <c r="B78" s="2" t="str">
        <f aca="false">B56</f>
        <v>A</v>
      </c>
      <c r="C78" s="2" t="str">
        <f aca="false">C56</f>
        <v>Assured</v>
      </c>
      <c r="D78" s="2"/>
      <c r="E78" s="2"/>
      <c r="F78" s="2"/>
      <c r="G78" s="2"/>
      <c r="H78" s="23" t="n">
        <f aca="false">H56*$D56*$C$13*INDEX(Assumptions!$B$44:$B$46,MATCH($C56,Assumptions!$A$44:$A$46,0))+IF(H$45&gt;=$G56,INDEX(Assumptions!$C$44:$C$46,MATCH($C56,Assumptions!$A$44:$A$46,0)),0)+IF($C56="Assured",H56*$D56*$C$13*$C$26*$C$27*$C$28,0)</f>
        <v>0</v>
      </c>
      <c r="I78" s="23" t="n">
        <f aca="false">I56*$D56*$C$13*INDEX(Assumptions!$B$44:$B$46,MATCH($C56,Assumptions!$A$44:$A$46,0))+IF(I$45&gt;=$G56,INDEX(Assumptions!$C$44:$C$46,MATCH($C56,Assumptions!$A$44:$A$46,0)),0)+IF($C56="Assured",I56*$D56*$C$13*$C$26*$C$27*$C$28,0)</f>
        <v>0</v>
      </c>
      <c r="J78" s="23" t="n">
        <f aca="false">J56*$D56*$C$13*INDEX(Assumptions!$B$44:$B$46,MATCH($C56,Assumptions!$A$44:$A$46,0))+IF(J$45&gt;=$G56,INDEX(Assumptions!$C$44:$C$46,MATCH($C56,Assumptions!$A$44:$A$46,0)),0)+IF($C56="Assured",J56*$D56*$C$13*$C$26*$C$27*$C$28,0)</f>
        <v>0</v>
      </c>
      <c r="K78" s="23" t="n">
        <f aca="false">K56*$D56*$C$13*INDEX(Assumptions!$B$44:$B$46,MATCH($C56,Assumptions!$A$44:$A$46,0))+IF(K$45&gt;=$G56,INDEX(Assumptions!$C$44:$C$46,MATCH($C56,Assumptions!$A$44:$A$46,0)),0)+IF($C56="Assured",K56*$D56*$C$13*$C$26*$C$27*$C$28,0)</f>
        <v>0</v>
      </c>
      <c r="L78" s="23" t="n">
        <f aca="false">L56*$D56*$C$13*INDEX(Assumptions!$B$44:$B$46,MATCH($C56,Assumptions!$A$44:$A$46,0))+IF(L$45&gt;=$G56,INDEX(Assumptions!$C$44:$C$46,MATCH($C56,Assumptions!$A$44:$A$46,0)),0)+IF($C56="Assured",L56*$D56*$C$13*$C$26*$C$27*$C$28,0)</f>
        <v>23317.2</v>
      </c>
      <c r="M78" s="23" t="n">
        <f aca="false">M56*$D56*$C$13*INDEX(Assumptions!$B$44:$B$46,MATCH($C56,Assumptions!$A$44:$A$46,0))+IF(M$45&gt;=$G56,INDEX(Assumptions!$C$44:$C$46,MATCH($C56,Assumptions!$A$44:$A$46,0)),0)+IF($C56="Assured",M56*$D56*$C$13*$C$26*$C$27*$C$28,0)</f>
        <v>46634.4</v>
      </c>
      <c r="N78" s="23" t="n">
        <f aca="false">N56*$D56*$C$13*INDEX(Assumptions!$B$44:$B$46,MATCH($C56,Assumptions!$A$44:$A$46,0))+IF(N$45&gt;=$G56,INDEX(Assumptions!$C$44:$C$46,MATCH($C56,Assumptions!$A$44:$A$46,0)),0)+IF($C56="Assured",N56*$D56*$C$13*$C$26*$C$27*$C$28,0)</f>
        <v>66065.4</v>
      </c>
      <c r="O78" s="23" t="n">
        <f aca="false">O56*$D56*$C$13*INDEX(Assumptions!$B$44:$B$46,MATCH($C56,Assumptions!$A$44:$A$46,0))+IF(O$45&gt;=$G56,INDEX(Assumptions!$C$44:$C$46,MATCH($C56,Assumptions!$A$44:$A$46,0)),0)+IF($C56="Assured",O56*$D56*$C$13*$C$26*$C$27*$C$28,0)</f>
        <v>77724</v>
      </c>
      <c r="P78" s="23" t="n">
        <f aca="false">P56*$D56*$C$13*INDEX(Assumptions!$B$44:$B$46,MATCH($C56,Assumptions!$A$44:$A$46,0))+IF(P$45&gt;=$G56,INDEX(Assumptions!$C$44:$C$46,MATCH($C56,Assumptions!$A$44:$A$46,0)),0)+IF($C56="Assured",P56*$D56*$C$13*$C$26*$C$27*$C$28,0)</f>
        <v>77724</v>
      </c>
      <c r="Q78" s="23" t="n">
        <f aca="false">Q56*$D56*$C$13*INDEX(Assumptions!$B$44:$B$46,MATCH($C56,Assumptions!$A$44:$A$46,0))+IF(Q$45&gt;=$G56,INDEX(Assumptions!$C$44:$C$46,MATCH($C56,Assumptions!$A$44:$A$46,0)),0)+IF($C56="Assured",Q56*$D56*$C$13*$C$26*$C$27*$C$28,0)</f>
        <v>77724</v>
      </c>
      <c r="R78" s="23" t="n">
        <f aca="false">R56*$D56*$C$13*INDEX(Assumptions!$B$44:$B$46,MATCH($C56,Assumptions!$A$44:$A$46,0))+IF(R$45&gt;=$G56,INDEX(Assumptions!$C$44:$C$46,MATCH($C56,Assumptions!$A$44:$A$46,0)),0)+IF($C56="Assured",R56*$D56*$C$13*$C$26*$C$27*$C$28,0)</f>
        <v>77724</v>
      </c>
      <c r="S78" s="23" t="n">
        <f aca="false">S56*$D56*$C$13*INDEX(Assumptions!$B$44:$B$46,MATCH($C56,Assumptions!$A$44:$A$46,0))+IF(S$45&gt;=$G56,INDEX(Assumptions!$C$44:$C$46,MATCH($C56,Assumptions!$A$44:$A$46,0)),0)+IF($C56="Assured",S56*$D56*$C$13*$C$26*$C$27*$C$28,0)</f>
        <v>77724</v>
      </c>
      <c r="T78" s="23" t="n">
        <f aca="false">T56*$D56*$C$13*INDEX(Assumptions!$B$44:$B$46,MATCH($C56,Assumptions!$A$44:$A$46,0))+IF(T$45&gt;=$G56,INDEX(Assumptions!$C$44:$C$46,MATCH($C56,Assumptions!$A$44:$A$46,0)),0)+IF($C56="Assured",T56*$D56*$C$13*$C$26*$C$27*$C$28,0)</f>
        <v>77724</v>
      </c>
      <c r="U78" s="23" t="n">
        <f aca="false">U56*$D56*$C$13*INDEX(Assumptions!$B$44:$B$46,MATCH($C56,Assumptions!$A$44:$A$46,0))+IF(U$45&gt;=$G56,INDEX(Assumptions!$C$44:$C$46,MATCH($C56,Assumptions!$A$44:$A$46,0)),0)+IF($C56="Assured",U56*$D56*$C$13*$C$26*$C$27*$C$28,0)</f>
        <v>77724</v>
      </c>
      <c r="V78" s="23" t="n">
        <f aca="false">V56*$D56*$C$13*INDEX(Assumptions!$B$44:$B$46,MATCH($C56,Assumptions!$A$44:$A$46,0))+IF(V$45&gt;=$G56,INDEX(Assumptions!$C$44:$C$46,MATCH($C56,Assumptions!$A$44:$A$46,0)),0)+IF($C56="Assured",V56*$D56*$C$13*$C$26*$C$27*$C$28,0)</f>
        <v>77724</v>
      </c>
      <c r="W78" s="23" t="n">
        <f aca="false">W56*$D56*$C$13*INDEX(Assumptions!$B$44:$B$46,MATCH($C56,Assumptions!$A$44:$A$46,0))+IF(W$45&gt;=$G56,INDEX(Assumptions!$C$44:$C$46,MATCH($C56,Assumptions!$A$44:$A$46,0)),0)+IF($C56="Assured",W56*$D56*$C$13*$C$26*$C$27*$C$28,0)</f>
        <v>77724</v>
      </c>
      <c r="X78" s="23" t="n">
        <f aca="false">X56*$D56*$C$13*INDEX(Assumptions!$B$44:$B$46,MATCH($C56,Assumptions!$A$44:$A$46,0))+IF(X$45&gt;=$G56,INDEX(Assumptions!$C$44:$C$46,MATCH($C56,Assumptions!$A$44:$A$46,0)),0)+IF($C56="Assured",X56*$D56*$C$13*$C$26*$C$27*$C$28,0)</f>
        <v>77724</v>
      </c>
      <c r="Y78" s="23" t="n">
        <f aca="false">Y56*$D56*$C$13*INDEX(Assumptions!$B$44:$B$46,MATCH($C56,Assumptions!$A$44:$A$46,0))+IF(Y$45&gt;=$G56,INDEX(Assumptions!$C$44:$C$46,MATCH($C56,Assumptions!$A$44:$A$46,0)),0)+IF($C56="Assured",Y56*$D56*$C$13*$C$26*$C$27*$C$28,0)</f>
        <v>77724</v>
      </c>
    </row>
    <row r="79" customFormat="false" ht="15" hidden="false" customHeight="false" outlineLevel="0" collapsed="false">
      <c r="A79" s="2" t="n">
        <f aca="false">A57</f>
        <v>10</v>
      </c>
      <c r="B79" s="2" t="str">
        <f aca="false">B57</f>
        <v>C</v>
      </c>
      <c r="C79" s="2" t="str">
        <f aca="false">C57</f>
        <v>Assured</v>
      </c>
      <c r="D79" s="2"/>
      <c r="E79" s="2"/>
      <c r="F79" s="2"/>
      <c r="G79" s="2"/>
      <c r="H79" s="23" t="n">
        <f aca="false">H57*$D57*$C$13*INDEX(Assumptions!$B$44:$B$46,MATCH($C57,Assumptions!$A$44:$A$46,0))+IF(H$45&gt;=$G57,INDEX(Assumptions!$C$44:$C$46,MATCH($C57,Assumptions!$A$44:$A$46,0)),0)+IF($C57="Assured",H57*$D57*$C$13*$C$26*$C$27*$C$28,0)</f>
        <v>0</v>
      </c>
      <c r="I79" s="23" t="n">
        <f aca="false">I57*$D57*$C$13*INDEX(Assumptions!$B$44:$B$46,MATCH($C57,Assumptions!$A$44:$A$46,0))+IF(I$45&gt;=$G57,INDEX(Assumptions!$C$44:$C$46,MATCH($C57,Assumptions!$A$44:$A$46,0)),0)+IF($C57="Assured",I57*$D57*$C$13*$C$26*$C$27*$C$28,0)</f>
        <v>0</v>
      </c>
      <c r="J79" s="23" t="n">
        <f aca="false">J57*$D57*$C$13*INDEX(Assumptions!$B$44:$B$46,MATCH($C57,Assumptions!$A$44:$A$46,0))+IF(J$45&gt;=$G57,INDEX(Assumptions!$C$44:$C$46,MATCH($C57,Assumptions!$A$44:$A$46,0)),0)+IF($C57="Assured",J57*$D57*$C$13*$C$26*$C$27*$C$28,0)</f>
        <v>0</v>
      </c>
      <c r="K79" s="23" t="n">
        <f aca="false">K57*$D57*$C$13*INDEX(Assumptions!$B$44:$B$46,MATCH($C57,Assumptions!$A$44:$A$46,0))+IF(K$45&gt;=$G57,INDEX(Assumptions!$C$44:$C$46,MATCH($C57,Assumptions!$A$44:$A$46,0)),0)+IF($C57="Assured",K57*$D57*$C$13*$C$26*$C$27*$C$28,0)</f>
        <v>0</v>
      </c>
      <c r="L79" s="23" t="n">
        <f aca="false">L57*$D57*$C$13*INDEX(Assumptions!$B$44:$B$46,MATCH($C57,Assumptions!$A$44:$A$46,0))+IF(L$45&gt;=$G57,INDEX(Assumptions!$C$44:$C$46,MATCH($C57,Assumptions!$A$44:$A$46,0)),0)+IF($C57="Assured",L57*$D57*$C$13*$C$26*$C$27*$C$28,0)</f>
        <v>0</v>
      </c>
      <c r="M79" s="23" t="n">
        <f aca="false">M57*$D57*$C$13*INDEX(Assumptions!$B$44:$B$46,MATCH($C57,Assumptions!$A$44:$A$46,0))+IF(M$45&gt;=$G57,INDEX(Assumptions!$C$44:$C$46,MATCH($C57,Assumptions!$A$44:$A$46,0)),0)+IF($C57="Assured",M57*$D57*$C$13*$C$26*$C$27*$C$28,0)</f>
        <v>16840.2</v>
      </c>
      <c r="N79" s="23" t="n">
        <f aca="false">N57*$D57*$C$13*INDEX(Assumptions!$B$44:$B$46,MATCH($C57,Assumptions!$A$44:$A$46,0))+IF(N$45&gt;=$G57,INDEX(Assumptions!$C$44:$C$46,MATCH($C57,Assumptions!$A$44:$A$46,0)),0)+IF($C57="Assured",N57*$D57*$C$13*$C$26*$C$27*$C$28,0)</f>
        <v>33680.4</v>
      </c>
      <c r="O79" s="23" t="n">
        <f aca="false">O57*$D57*$C$13*INDEX(Assumptions!$B$44:$B$46,MATCH($C57,Assumptions!$A$44:$A$46,0))+IF(O$45&gt;=$G57,INDEX(Assumptions!$C$44:$C$46,MATCH($C57,Assumptions!$A$44:$A$46,0)),0)+IF($C57="Assured",O57*$D57*$C$13*$C$26*$C$27*$C$28,0)</f>
        <v>47713.9</v>
      </c>
      <c r="P79" s="23" t="n">
        <f aca="false">P57*$D57*$C$13*INDEX(Assumptions!$B$44:$B$46,MATCH($C57,Assumptions!$A$44:$A$46,0))+IF(P$45&gt;=$G57,INDEX(Assumptions!$C$44:$C$46,MATCH($C57,Assumptions!$A$44:$A$46,0)),0)+IF($C57="Assured",P57*$D57*$C$13*$C$26*$C$27*$C$28,0)</f>
        <v>56134</v>
      </c>
      <c r="Q79" s="23" t="n">
        <f aca="false">Q57*$D57*$C$13*INDEX(Assumptions!$B$44:$B$46,MATCH($C57,Assumptions!$A$44:$A$46,0))+IF(Q$45&gt;=$G57,INDEX(Assumptions!$C$44:$C$46,MATCH($C57,Assumptions!$A$44:$A$46,0)),0)+IF($C57="Assured",Q57*$D57*$C$13*$C$26*$C$27*$C$28,0)</f>
        <v>56134</v>
      </c>
      <c r="R79" s="23" t="n">
        <f aca="false">R57*$D57*$C$13*INDEX(Assumptions!$B$44:$B$46,MATCH($C57,Assumptions!$A$44:$A$46,0))+IF(R$45&gt;=$G57,INDEX(Assumptions!$C$44:$C$46,MATCH($C57,Assumptions!$A$44:$A$46,0)),0)+IF($C57="Assured",R57*$D57*$C$13*$C$26*$C$27*$C$28,0)</f>
        <v>56134</v>
      </c>
      <c r="S79" s="23" t="n">
        <f aca="false">S57*$D57*$C$13*INDEX(Assumptions!$B$44:$B$46,MATCH($C57,Assumptions!$A$44:$A$46,0))+IF(S$45&gt;=$G57,INDEX(Assumptions!$C$44:$C$46,MATCH($C57,Assumptions!$A$44:$A$46,0)),0)+IF($C57="Assured",S57*$D57*$C$13*$C$26*$C$27*$C$28,0)</f>
        <v>56134</v>
      </c>
      <c r="T79" s="23" t="n">
        <f aca="false">T57*$D57*$C$13*INDEX(Assumptions!$B$44:$B$46,MATCH($C57,Assumptions!$A$44:$A$46,0))+IF(T$45&gt;=$G57,INDEX(Assumptions!$C$44:$C$46,MATCH($C57,Assumptions!$A$44:$A$46,0)),0)+IF($C57="Assured",T57*$D57*$C$13*$C$26*$C$27*$C$28,0)</f>
        <v>56134</v>
      </c>
      <c r="U79" s="23" t="n">
        <f aca="false">U57*$D57*$C$13*INDEX(Assumptions!$B$44:$B$46,MATCH($C57,Assumptions!$A$44:$A$46,0))+IF(U$45&gt;=$G57,INDEX(Assumptions!$C$44:$C$46,MATCH($C57,Assumptions!$A$44:$A$46,0)),0)+IF($C57="Assured",U57*$D57*$C$13*$C$26*$C$27*$C$28,0)</f>
        <v>56134</v>
      </c>
      <c r="V79" s="23" t="n">
        <f aca="false">V57*$D57*$C$13*INDEX(Assumptions!$B$44:$B$46,MATCH($C57,Assumptions!$A$44:$A$46,0))+IF(V$45&gt;=$G57,INDEX(Assumptions!$C$44:$C$46,MATCH($C57,Assumptions!$A$44:$A$46,0)),0)+IF($C57="Assured",V57*$D57*$C$13*$C$26*$C$27*$C$28,0)</f>
        <v>56134</v>
      </c>
      <c r="W79" s="23" t="n">
        <f aca="false">W57*$D57*$C$13*INDEX(Assumptions!$B$44:$B$46,MATCH($C57,Assumptions!$A$44:$A$46,0))+IF(W$45&gt;=$G57,INDEX(Assumptions!$C$44:$C$46,MATCH($C57,Assumptions!$A$44:$A$46,0)),0)+IF($C57="Assured",W57*$D57*$C$13*$C$26*$C$27*$C$28,0)</f>
        <v>56134</v>
      </c>
      <c r="X79" s="23" t="n">
        <f aca="false">X57*$D57*$C$13*INDEX(Assumptions!$B$44:$B$46,MATCH($C57,Assumptions!$A$44:$A$46,0))+IF(X$45&gt;=$G57,INDEX(Assumptions!$C$44:$C$46,MATCH($C57,Assumptions!$A$44:$A$46,0)),0)+IF($C57="Assured",X57*$D57*$C$13*$C$26*$C$27*$C$28,0)</f>
        <v>56134</v>
      </c>
      <c r="Y79" s="23" t="n">
        <f aca="false">Y57*$D57*$C$13*INDEX(Assumptions!$B$44:$B$46,MATCH($C57,Assumptions!$A$44:$A$46,0))+IF(Y$45&gt;=$G57,INDEX(Assumptions!$C$44:$C$46,MATCH($C57,Assumptions!$A$44:$A$46,0)),0)+IF($C57="Assured",Y57*$D57*$C$13*$C$26*$C$27*$C$28,0)</f>
        <v>56134</v>
      </c>
    </row>
    <row r="80" customFormat="false" ht="15" hidden="false" customHeight="false" outlineLevel="0" collapsed="false">
      <c r="A80" s="2" t="n">
        <f aca="false">A58</f>
        <v>11</v>
      </c>
      <c r="B80" s="2" t="str">
        <f aca="false">B58</f>
        <v>C</v>
      </c>
      <c r="C80" s="2" t="str">
        <f aca="false">C58</f>
        <v>Assured</v>
      </c>
      <c r="D80" s="2"/>
      <c r="E80" s="2"/>
      <c r="F80" s="2"/>
      <c r="G80" s="2"/>
      <c r="H80" s="23" t="n">
        <f aca="false">H58*$D58*$C$13*INDEX(Assumptions!$B$44:$B$46,MATCH($C58,Assumptions!$A$44:$A$46,0))+IF(H$45&gt;=$G58,INDEX(Assumptions!$C$44:$C$46,MATCH($C58,Assumptions!$A$44:$A$46,0)),0)+IF($C58="Assured",H58*$D58*$C$13*$C$26*$C$27*$C$28,0)</f>
        <v>0</v>
      </c>
      <c r="I80" s="23" t="n">
        <f aca="false">I58*$D58*$C$13*INDEX(Assumptions!$B$44:$B$46,MATCH($C58,Assumptions!$A$44:$A$46,0))+IF(I$45&gt;=$G58,INDEX(Assumptions!$C$44:$C$46,MATCH($C58,Assumptions!$A$44:$A$46,0)),0)+IF($C58="Assured",I58*$D58*$C$13*$C$26*$C$27*$C$28,0)</f>
        <v>0</v>
      </c>
      <c r="J80" s="23" t="n">
        <f aca="false">J58*$D58*$C$13*INDEX(Assumptions!$B$44:$B$46,MATCH($C58,Assumptions!$A$44:$A$46,0))+IF(J$45&gt;=$G58,INDEX(Assumptions!$C$44:$C$46,MATCH($C58,Assumptions!$A$44:$A$46,0)),0)+IF($C58="Assured",J58*$D58*$C$13*$C$26*$C$27*$C$28,0)</f>
        <v>0</v>
      </c>
      <c r="K80" s="23" t="n">
        <f aca="false">K58*$D58*$C$13*INDEX(Assumptions!$B$44:$B$46,MATCH($C58,Assumptions!$A$44:$A$46,0))+IF(K$45&gt;=$G58,INDEX(Assumptions!$C$44:$C$46,MATCH($C58,Assumptions!$A$44:$A$46,0)),0)+IF($C58="Assured",K58*$D58*$C$13*$C$26*$C$27*$C$28,0)</f>
        <v>0</v>
      </c>
      <c r="L80" s="23" t="n">
        <f aca="false">L58*$D58*$C$13*INDEX(Assumptions!$B$44:$B$46,MATCH($C58,Assumptions!$A$44:$A$46,0))+IF(L$45&gt;=$G58,INDEX(Assumptions!$C$44:$C$46,MATCH($C58,Assumptions!$A$44:$A$46,0)),0)+IF($C58="Assured",L58*$D58*$C$13*$C$26*$C$27*$C$28,0)</f>
        <v>0</v>
      </c>
      <c r="M80" s="23" t="n">
        <f aca="false">M58*$D58*$C$13*INDEX(Assumptions!$B$44:$B$46,MATCH($C58,Assumptions!$A$44:$A$46,0))+IF(M$45&gt;=$G58,INDEX(Assumptions!$C$44:$C$46,MATCH($C58,Assumptions!$A$44:$A$46,0)),0)+IF($C58="Assured",M58*$D58*$C$13*$C$26*$C$27*$C$28,0)</f>
        <v>0</v>
      </c>
      <c r="N80" s="23" t="n">
        <f aca="false">N58*$D58*$C$13*INDEX(Assumptions!$B$44:$B$46,MATCH($C58,Assumptions!$A$44:$A$46,0))+IF(N$45&gt;=$G58,INDEX(Assumptions!$C$44:$C$46,MATCH($C58,Assumptions!$A$44:$A$46,0)),0)+IF($C58="Assured",N58*$D58*$C$13*$C$26*$C$27*$C$28,0)</f>
        <v>16840.2</v>
      </c>
      <c r="O80" s="23" t="n">
        <f aca="false">O58*$D58*$C$13*INDEX(Assumptions!$B$44:$B$46,MATCH($C58,Assumptions!$A$44:$A$46,0))+IF(O$45&gt;=$G58,INDEX(Assumptions!$C$44:$C$46,MATCH($C58,Assumptions!$A$44:$A$46,0)),0)+IF($C58="Assured",O58*$D58*$C$13*$C$26*$C$27*$C$28,0)</f>
        <v>33680.4</v>
      </c>
      <c r="P80" s="23" t="n">
        <f aca="false">P58*$D58*$C$13*INDEX(Assumptions!$B$44:$B$46,MATCH($C58,Assumptions!$A$44:$A$46,0))+IF(P$45&gt;=$G58,INDEX(Assumptions!$C$44:$C$46,MATCH($C58,Assumptions!$A$44:$A$46,0)),0)+IF($C58="Assured",P58*$D58*$C$13*$C$26*$C$27*$C$28,0)</f>
        <v>47713.9</v>
      </c>
      <c r="Q80" s="23" t="n">
        <f aca="false">Q58*$D58*$C$13*INDEX(Assumptions!$B$44:$B$46,MATCH($C58,Assumptions!$A$44:$A$46,0))+IF(Q$45&gt;=$G58,INDEX(Assumptions!$C$44:$C$46,MATCH($C58,Assumptions!$A$44:$A$46,0)),0)+IF($C58="Assured",Q58*$D58*$C$13*$C$26*$C$27*$C$28,0)</f>
        <v>56134</v>
      </c>
      <c r="R80" s="23" t="n">
        <f aca="false">R58*$D58*$C$13*INDEX(Assumptions!$B$44:$B$46,MATCH($C58,Assumptions!$A$44:$A$46,0))+IF(R$45&gt;=$G58,INDEX(Assumptions!$C$44:$C$46,MATCH($C58,Assumptions!$A$44:$A$46,0)),0)+IF($C58="Assured",R58*$D58*$C$13*$C$26*$C$27*$C$28,0)</f>
        <v>56134</v>
      </c>
      <c r="S80" s="23" t="n">
        <f aca="false">S58*$D58*$C$13*INDEX(Assumptions!$B$44:$B$46,MATCH($C58,Assumptions!$A$44:$A$46,0))+IF(S$45&gt;=$G58,INDEX(Assumptions!$C$44:$C$46,MATCH($C58,Assumptions!$A$44:$A$46,0)),0)+IF($C58="Assured",S58*$D58*$C$13*$C$26*$C$27*$C$28,0)</f>
        <v>56134</v>
      </c>
      <c r="T80" s="23" t="n">
        <f aca="false">T58*$D58*$C$13*INDEX(Assumptions!$B$44:$B$46,MATCH($C58,Assumptions!$A$44:$A$46,0))+IF(T$45&gt;=$G58,INDEX(Assumptions!$C$44:$C$46,MATCH($C58,Assumptions!$A$44:$A$46,0)),0)+IF($C58="Assured",T58*$D58*$C$13*$C$26*$C$27*$C$28,0)</f>
        <v>56134</v>
      </c>
      <c r="U80" s="23" t="n">
        <f aca="false">U58*$D58*$C$13*INDEX(Assumptions!$B$44:$B$46,MATCH($C58,Assumptions!$A$44:$A$46,0))+IF(U$45&gt;=$G58,INDEX(Assumptions!$C$44:$C$46,MATCH($C58,Assumptions!$A$44:$A$46,0)),0)+IF($C58="Assured",U58*$D58*$C$13*$C$26*$C$27*$C$28,0)</f>
        <v>56134</v>
      </c>
      <c r="V80" s="23" t="n">
        <f aca="false">V58*$D58*$C$13*INDEX(Assumptions!$B$44:$B$46,MATCH($C58,Assumptions!$A$44:$A$46,0))+IF(V$45&gt;=$G58,INDEX(Assumptions!$C$44:$C$46,MATCH($C58,Assumptions!$A$44:$A$46,0)),0)+IF($C58="Assured",V58*$D58*$C$13*$C$26*$C$27*$C$28,0)</f>
        <v>56134</v>
      </c>
      <c r="W80" s="23" t="n">
        <f aca="false">W58*$D58*$C$13*INDEX(Assumptions!$B$44:$B$46,MATCH($C58,Assumptions!$A$44:$A$46,0))+IF(W$45&gt;=$G58,INDEX(Assumptions!$C$44:$C$46,MATCH($C58,Assumptions!$A$44:$A$46,0)),0)+IF($C58="Assured",W58*$D58*$C$13*$C$26*$C$27*$C$28,0)</f>
        <v>56134</v>
      </c>
      <c r="X80" s="23" t="n">
        <f aca="false">X58*$D58*$C$13*INDEX(Assumptions!$B$44:$B$46,MATCH($C58,Assumptions!$A$44:$A$46,0))+IF(X$45&gt;=$G58,INDEX(Assumptions!$C$44:$C$46,MATCH($C58,Assumptions!$A$44:$A$46,0)),0)+IF($C58="Assured",X58*$D58*$C$13*$C$26*$C$27*$C$28,0)</f>
        <v>56134</v>
      </c>
      <c r="Y80" s="23" t="n">
        <f aca="false">Y58*$D58*$C$13*INDEX(Assumptions!$B$44:$B$46,MATCH($C58,Assumptions!$A$44:$A$46,0))+IF(Y$45&gt;=$G58,INDEX(Assumptions!$C$44:$C$46,MATCH($C58,Assumptions!$A$44:$A$46,0)),0)+IF($C58="Assured",Y58*$D58*$C$13*$C$26*$C$27*$C$28,0)</f>
        <v>56134</v>
      </c>
    </row>
    <row r="81" customFormat="false" ht="15" hidden="false" customHeight="false" outlineLevel="0" collapsed="false">
      <c r="A81" s="2" t="n">
        <f aca="false">A59</f>
        <v>12</v>
      </c>
      <c r="B81" s="2" t="str">
        <f aca="false">B59</f>
        <v>C</v>
      </c>
      <c r="C81" s="2" t="str">
        <f aca="false">C59</f>
        <v>Assured</v>
      </c>
      <c r="D81" s="2"/>
      <c r="E81" s="2"/>
      <c r="F81" s="2"/>
      <c r="G81" s="2"/>
      <c r="H81" s="23" t="n">
        <f aca="false">H59*$D59*$C$13*INDEX(Assumptions!$B$44:$B$46,MATCH($C59,Assumptions!$A$44:$A$46,0))+IF(H$45&gt;=$G59,INDEX(Assumptions!$C$44:$C$46,MATCH($C59,Assumptions!$A$44:$A$46,0)),0)+IF($C59="Assured",H59*$D59*$C$13*$C$26*$C$27*$C$28,0)</f>
        <v>0</v>
      </c>
      <c r="I81" s="23" t="n">
        <f aca="false">I59*$D59*$C$13*INDEX(Assumptions!$B$44:$B$46,MATCH($C59,Assumptions!$A$44:$A$46,0))+IF(I$45&gt;=$G59,INDEX(Assumptions!$C$44:$C$46,MATCH($C59,Assumptions!$A$44:$A$46,0)),0)+IF($C59="Assured",I59*$D59*$C$13*$C$26*$C$27*$C$28,0)</f>
        <v>0</v>
      </c>
      <c r="J81" s="23" t="n">
        <f aca="false">J59*$D59*$C$13*INDEX(Assumptions!$B$44:$B$46,MATCH($C59,Assumptions!$A$44:$A$46,0))+IF(J$45&gt;=$G59,INDEX(Assumptions!$C$44:$C$46,MATCH($C59,Assumptions!$A$44:$A$46,0)),0)+IF($C59="Assured",J59*$D59*$C$13*$C$26*$C$27*$C$28,0)</f>
        <v>0</v>
      </c>
      <c r="K81" s="23" t="n">
        <f aca="false">K59*$D59*$C$13*INDEX(Assumptions!$B$44:$B$46,MATCH($C59,Assumptions!$A$44:$A$46,0))+IF(K$45&gt;=$G59,INDEX(Assumptions!$C$44:$C$46,MATCH($C59,Assumptions!$A$44:$A$46,0)),0)+IF($C59="Assured",K59*$D59*$C$13*$C$26*$C$27*$C$28,0)</f>
        <v>0</v>
      </c>
      <c r="L81" s="23" t="n">
        <f aca="false">L59*$D59*$C$13*INDEX(Assumptions!$B$44:$B$46,MATCH($C59,Assumptions!$A$44:$A$46,0))+IF(L$45&gt;=$G59,INDEX(Assumptions!$C$44:$C$46,MATCH($C59,Assumptions!$A$44:$A$46,0)),0)+IF($C59="Assured",L59*$D59*$C$13*$C$26*$C$27*$C$28,0)</f>
        <v>0</v>
      </c>
      <c r="M81" s="23" t="n">
        <f aca="false">M59*$D59*$C$13*INDEX(Assumptions!$B$44:$B$46,MATCH($C59,Assumptions!$A$44:$A$46,0))+IF(M$45&gt;=$G59,INDEX(Assumptions!$C$44:$C$46,MATCH($C59,Assumptions!$A$44:$A$46,0)),0)+IF($C59="Assured",M59*$D59*$C$13*$C$26*$C$27*$C$28,0)</f>
        <v>0</v>
      </c>
      <c r="N81" s="23" t="n">
        <f aca="false">N59*$D59*$C$13*INDEX(Assumptions!$B$44:$B$46,MATCH($C59,Assumptions!$A$44:$A$46,0))+IF(N$45&gt;=$G59,INDEX(Assumptions!$C$44:$C$46,MATCH($C59,Assumptions!$A$44:$A$46,0)),0)+IF($C59="Assured",N59*$D59*$C$13*$C$26*$C$27*$C$28,0)</f>
        <v>16840.2</v>
      </c>
      <c r="O81" s="23" t="n">
        <f aca="false">O59*$D59*$C$13*INDEX(Assumptions!$B$44:$B$46,MATCH($C59,Assumptions!$A$44:$A$46,0))+IF(O$45&gt;=$G59,INDEX(Assumptions!$C$44:$C$46,MATCH($C59,Assumptions!$A$44:$A$46,0)),0)+IF($C59="Assured",O59*$D59*$C$13*$C$26*$C$27*$C$28,0)</f>
        <v>33680.4</v>
      </c>
      <c r="P81" s="23" t="n">
        <f aca="false">P59*$D59*$C$13*INDEX(Assumptions!$B$44:$B$46,MATCH($C59,Assumptions!$A$44:$A$46,0))+IF(P$45&gt;=$G59,INDEX(Assumptions!$C$44:$C$46,MATCH($C59,Assumptions!$A$44:$A$46,0)),0)+IF($C59="Assured",P59*$D59*$C$13*$C$26*$C$27*$C$28,0)</f>
        <v>47713.9</v>
      </c>
      <c r="Q81" s="23" t="n">
        <f aca="false">Q59*$D59*$C$13*INDEX(Assumptions!$B$44:$B$46,MATCH($C59,Assumptions!$A$44:$A$46,0))+IF(Q$45&gt;=$G59,INDEX(Assumptions!$C$44:$C$46,MATCH($C59,Assumptions!$A$44:$A$46,0)),0)+IF($C59="Assured",Q59*$D59*$C$13*$C$26*$C$27*$C$28,0)</f>
        <v>56134</v>
      </c>
      <c r="R81" s="23" t="n">
        <f aca="false">R59*$D59*$C$13*INDEX(Assumptions!$B$44:$B$46,MATCH($C59,Assumptions!$A$44:$A$46,0))+IF(R$45&gt;=$G59,INDEX(Assumptions!$C$44:$C$46,MATCH($C59,Assumptions!$A$44:$A$46,0)),0)+IF($C59="Assured",R59*$D59*$C$13*$C$26*$C$27*$C$28,0)</f>
        <v>56134</v>
      </c>
      <c r="S81" s="23" t="n">
        <f aca="false">S59*$D59*$C$13*INDEX(Assumptions!$B$44:$B$46,MATCH($C59,Assumptions!$A$44:$A$46,0))+IF(S$45&gt;=$G59,INDEX(Assumptions!$C$44:$C$46,MATCH($C59,Assumptions!$A$44:$A$46,0)),0)+IF($C59="Assured",S59*$D59*$C$13*$C$26*$C$27*$C$28,0)</f>
        <v>56134</v>
      </c>
      <c r="T81" s="23" t="n">
        <f aca="false">T59*$D59*$C$13*INDEX(Assumptions!$B$44:$B$46,MATCH($C59,Assumptions!$A$44:$A$46,0))+IF(T$45&gt;=$G59,INDEX(Assumptions!$C$44:$C$46,MATCH($C59,Assumptions!$A$44:$A$46,0)),0)+IF($C59="Assured",T59*$D59*$C$13*$C$26*$C$27*$C$28,0)</f>
        <v>56134</v>
      </c>
      <c r="U81" s="23" t="n">
        <f aca="false">U59*$D59*$C$13*INDEX(Assumptions!$B$44:$B$46,MATCH($C59,Assumptions!$A$44:$A$46,0))+IF(U$45&gt;=$G59,INDEX(Assumptions!$C$44:$C$46,MATCH($C59,Assumptions!$A$44:$A$46,0)),0)+IF($C59="Assured",U59*$D59*$C$13*$C$26*$C$27*$C$28,0)</f>
        <v>56134</v>
      </c>
      <c r="V81" s="23" t="n">
        <f aca="false">V59*$D59*$C$13*INDEX(Assumptions!$B$44:$B$46,MATCH($C59,Assumptions!$A$44:$A$46,0))+IF(V$45&gt;=$G59,INDEX(Assumptions!$C$44:$C$46,MATCH($C59,Assumptions!$A$44:$A$46,0)),0)+IF($C59="Assured",V59*$D59*$C$13*$C$26*$C$27*$C$28,0)</f>
        <v>56134</v>
      </c>
      <c r="W81" s="23" t="n">
        <f aca="false">W59*$D59*$C$13*INDEX(Assumptions!$B$44:$B$46,MATCH($C59,Assumptions!$A$44:$A$46,0))+IF(W$45&gt;=$G59,INDEX(Assumptions!$C$44:$C$46,MATCH($C59,Assumptions!$A$44:$A$46,0)),0)+IF($C59="Assured",W59*$D59*$C$13*$C$26*$C$27*$C$28,0)</f>
        <v>56134</v>
      </c>
      <c r="X81" s="23" t="n">
        <f aca="false">X59*$D59*$C$13*INDEX(Assumptions!$B$44:$B$46,MATCH($C59,Assumptions!$A$44:$A$46,0))+IF(X$45&gt;=$G59,INDEX(Assumptions!$C$44:$C$46,MATCH($C59,Assumptions!$A$44:$A$46,0)),0)+IF($C59="Assured",X59*$D59*$C$13*$C$26*$C$27*$C$28,0)</f>
        <v>56134</v>
      </c>
      <c r="Y81" s="23" t="n">
        <f aca="false">Y59*$D59*$C$13*INDEX(Assumptions!$B$44:$B$46,MATCH($C59,Assumptions!$A$44:$A$46,0))+IF(Y$45&gt;=$G59,INDEX(Assumptions!$C$44:$C$46,MATCH($C59,Assumptions!$A$44:$A$46,0)),0)+IF($C59="Assured",Y59*$D59*$C$13*$C$26*$C$27*$C$28,0)</f>
        <v>56134</v>
      </c>
    </row>
    <row r="82" customFormat="false" ht="15" hidden="false" customHeight="false" outlineLevel="0" collapsed="false">
      <c r="A82" s="2" t="n">
        <f aca="false">A60</f>
        <v>13</v>
      </c>
      <c r="B82" s="2" t="str">
        <f aca="false">B60</f>
        <v>C</v>
      </c>
      <c r="C82" s="2" t="str">
        <f aca="false">C60</f>
        <v>Assured</v>
      </c>
      <c r="D82" s="2"/>
      <c r="E82" s="2"/>
      <c r="F82" s="2"/>
      <c r="G82" s="2"/>
      <c r="H82" s="23" t="n">
        <f aca="false">H60*$D60*$C$13*INDEX(Assumptions!$B$44:$B$46,MATCH($C60,Assumptions!$A$44:$A$46,0))+IF(H$45&gt;=$G60,INDEX(Assumptions!$C$44:$C$46,MATCH($C60,Assumptions!$A$44:$A$46,0)),0)+IF($C60="Assured",H60*$D60*$C$13*$C$26*$C$27*$C$28,0)</f>
        <v>0</v>
      </c>
      <c r="I82" s="23" t="n">
        <f aca="false">I60*$D60*$C$13*INDEX(Assumptions!$B$44:$B$46,MATCH($C60,Assumptions!$A$44:$A$46,0))+IF(I$45&gt;=$G60,INDEX(Assumptions!$C$44:$C$46,MATCH($C60,Assumptions!$A$44:$A$46,0)),0)+IF($C60="Assured",I60*$D60*$C$13*$C$26*$C$27*$C$28,0)</f>
        <v>0</v>
      </c>
      <c r="J82" s="23" t="n">
        <f aca="false">J60*$D60*$C$13*INDEX(Assumptions!$B$44:$B$46,MATCH($C60,Assumptions!$A$44:$A$46,0))+IF(J$45&gt;=$G60,INDEX(Assumptions!$C$44:$C$46,MATCH($C60,Assumptions!$A$44:$A$46,0)),0)+IF($C60="Assured",J60*$D60*$C$13*$C$26*$C$27*$C$28,0)</f>
        <v>0</v>
      </c>
      <c r="K82" s="23" t="n">
        <f aca="false">K60*$D60*$C$13*INDEX(Assumptions!$B$44:$B$46,MATCH($C60,Assumptions!$A$44:$A$46,0))+IF(K$45&gt;=$G60,INDEX(Assumptions!$C$44:$C$46,MATCH($C60,Assumptions!$A$44:$A$46,0)),0)+IF($C60="Assured",K60*$D60*$C$13*$C$26*$C$27*$C$28,0)</f>
        <v>0</v>
      </c>
      <c r="L82" s="23" t="n">
        <f aca="false">L60*$D60*$C$13*INDEX(Assumptions!$B$44:$B$46,MATCH($C60,Assumptions!$A$44:$A$46,0))+IF(L$45&gt;=$G60,INDEX(Assumptions!$C$44:$C$46,MATCH($C60,Assumptions!$A$44:$A$46,0)),0)+IF($C60="Assured",L60*$D60*$C$13*$C$26*$C$27*$C$28,0)</f>
        <v>0</v>
      </c>
      <c r="M82" s="23" t="n">
        <f aca="false">M60*$D60*$C$13*INDEX(Assumptions!$B$44:$B$46,MATCH($C60,Assumptions!$A$44:$A$46,0))+IF(M$45&gt;=$G60,INDEX(Assumptions!$C$44:$C$46,MATCH($C60,Assumptions!$A$44:$A$46,0)),0)+IF($C60="Assured",M60*$D60*$C$13*$C$26*$C$27*$C$28,0)</f>
        <v>0</v>
      </c>
      <c r="N82" s="23" t="n">
        <f aca="false">N60*$D60*$C$13*INDEX(Assumptions!$B$44:$B$46,MATCH($C60,Assumptions!$A$44:$A$46,0))+IF(N$45&gt;=$G60,INDEX(Assumptions!$C$44:$C$46,MATCH($C60,Assumptions!$A$44:$A$46,0)),0)+IF($C60="Assured",N60*$D60*$C$13*$C$26*$C$27*$C$28,0)</f>
        <v>0</v>
      </c>
      <c r="O82" s="23" t="n">
        <f aca="false">O60*$D60*$C$13*INDEX(Assumptions!$B$44:$B$46,MATCH($C60,Assumptions!$A$44:$A$46,0))+IF(O$45&gt;=$G60,INDEX(Assumptions!$C$44:$C$46,MATCH($C60,Assumptions!$A$44:$A$46,0)),0)+IF($C60="Assured",O60*$D60*$C$13*$C$26*$C$27*$C$28,0)</f>
        <v>16840.2</v>
      </c>
      <c r="P82" s="23" t="n">
        <f aca="false">P60*$D60*$C$13*INDEX(Assumptions!$B$44:$B$46,MATCH($C60,Assumptions!$A$44:$A$46,0))+IF(P$45&gt;=$G60,INDEX(Assumptions!$C$44:$C$46,MATCH($C60,Assumptions!$A$44:$A$46,0)),0)+IF($C60="Assured",P60*$D60*$C$13*$C$26*$C$27*$C$28,0)</f>
        <v>33680.4</v>
      </c>
      <c r="Q82" s="23" t="n">
        <f aca="false">Q60*$D60*$C$13*INDEX(Assumptions!$B$44:$B$46,MATCH($C60,Assumptions!$A$44:$A$46,0))+IF(Q$45&gt;=$G60,INDEX(Assumptions!$C$44:$C$46,MATCH($C60,Assumptions!$A$44:$A$46,0)),0)+IF($C60="Assured",Q60*$D60*$C$13*$C$26*$C$27*$C$28,0)</f>
        <v>47713.9</v>
      </c>
      <c r="R82" s="23" t="n">
        <f aca="false">R60*$D60*$C$13*INDEX(Assumptions!$B$44:$B$46,MATCH($C60,Assumptions!$A$44:$A$46,0))+IF(R$45&gt;=$G60,INDEX(Assumptions!$C$44:$C$46,MATCH($C60,Assumptions!$A$44:$A$46,0)),0)+IF($C60="Assured",R60*$D60*$C$13*$C$26*$C$27*$C$28,0)</f>
        <v>56134</v>
      </c>
      <c r="S82" s="23" t="n">
        <f aca="false">S60*$D60*$C$13*INDEX(Assumptions!$B$44:$B$46,MATCH($C60,Assumptions!$A$44:$A$46,0))+IF(S$45&gt;=$G60,INDEX(Assumptions!$C$44:$C$46,MATCH($C60,Assumptions!$A$44:$A$46,0)),0)+IF($C60="Assured",S60*$D60*$C$13*$C$26*$C$27*$C$28,0)</f>
        <v>56134</v>
      </c>
      <c r="T82" s="23" t="n">
        <f aca="false">T60*$D60*$C$13*INDEX(Assumptions!$B$44:$B$46,MATCH($C60,Assumptions!$A$44:$A$46,0))+IF(T$45&gt;=$G60,INDEX(Assumptions!$C$44:$C$46,MATCH($C60,Assumptions!$A$44:$A$46,0)),0)+IF($C60="Assured",T60*$D60*$C$13*$C$26*$C$27*$C$28,0)</f>
        <v>56134</v>
      </c>
      <c r="U82" s="23" t="n">
        <f aca="false">U60*$D60*$C$13*INDEX(Assumptions!$B$44:$B$46,MATCH($C60,Assumptions!$A$44:$A$46,0))+IF(U$45&gt;=$G60,INDEX(Assumptions!$C$44:$C$46,MATCH($C60,Assumptions!$A$44:$A$46,0)),0)+IF($C60="Assured",U60*$D60*$C$13*$C$26*$C$27*$C$28,0)</f>
        <v>56134</v>
      </c>
      <c r="V82" s="23" t="n">
        <f aca="false">V60*$D60*$C$13*INDEX(Assumptions!$B$44:$B$46,MATCH($C60,Assumptions!$A$44:$A$46,0))+IF(V$45&gt;=$G60,INDEX(Assumptions!$C$44:$C$46,MATCH($C60,Assumptions!$A$44:$A$46,0)),0)+IF($C60="Assured",V60*$D60*$C$13*$C$26*$C$27*$C$28,0)</f>
        <v>56134</v>
      </c>
      <c r="W82" s="23" t="n">
        <f aca="false">W60*$D60*$C$13*INDEX(Assumptions!$B$44:$B$46,MATCH($C60,Assumptions!$A$44:$A$46,0))+IF(W$45&gt;=$G60,INDEX(Assumptions!$C$44:$C$46,MATCH($C60,Assumptions!$A$44:$A$46,0)),0)+IF($C60="Assured",W60*$D60*$C$13*$C$26*$C$27*$C$28,0)</f>
        <v>56134</v>
      </c>
      <c r="X82" s="23" t="n">
        <f aca="false">X60*$D60*$C$13*INDEX(Assumptions!$B$44:$B$46,MATCH($C60,Assumptions!$A$44:$A$46,0))+IF(X$45&gt;=$G60,INDEX(Assumptions!$C$44:$C$46,MATCH($C60,Assumptions!$A$44:$A$46,0)),0)+IF($C60="Assured",X60*$D60*$C$13*$C$26*$C$27*$C$28,0)</f>
        <v>56134</v>
      </c>
      <c r="Y82" s="23" t="n">
        <f aca="false">Y60*$D60*$C$13*INDEX(Assumptions!$B$44:$B$46,MATCH($C60,Assumptions!$A$44:$A$46,0))+IF(Y$45&gt;=$G60,INDEX(Assumptions!$C$44:$C$46,MATCH($C60,Assumptions!$A$44:$A$46,0)),0)+IF($C60="Assured",Y60*$D60*$C$13*$C$26*$C$27*$C$28,0)</f>
        <v>56134</v>
      </c>
    </row>
    <row r="83" customFormat="false" ht="15" hidden="false" customHeight="false" outlineLevel="0" collapsed="false">
      <c r="A83" s="2" t="n">
        <f aca="false">A61</f>
        <v>14</v>
      </c>
      <c r="B83" s="2" t="str">
        <f aca="false">B61</f>
        <v>B</v>
      </c>
      <c r="C83" s="2" t="str">
        <f aca="false">C61</f>
        <v>Connect</v>
      </c>
      <c r="D83" s="2"/>
      <c r="E83" s="2"/>
      <c r="F83" s="2"/>
      <c r="G83" s="2"/>
      <c r="H83" s="23" t="n">
        <f aca="false">H61*$D61*$C$13*INDEX(Assumptions!$B$44:$B$46,MATCH($C61,Assumptions!$A$44:$A$46,0))+IF(H$45&gt;=$G61,INDEX(Assumptions!$C$44:$C$46,MATCH($C61,Assumptions!$A$44:$A$46,0)),0)+IF($C61="Assured",H61*$D61*$C$13*$C$26*$C$27*$C$28,0)</f>
        <v>0</v>
      </c>
      <c r="I83" s="23" t="n">
        <f aca="false">I61*$D61*$C$13*INDEX(Assumptions!$B$44:$B$46,MATCH($C61,Assumptions!$A$44:$A$46,0))+IF(I$45&gt;=$G61,INDEX(Assumptions!$C$44:$C$46,MATCH($C61,Assumptions!$A$44:$A$46,0)),0)+IF($C61="Assured",I61*$D61*$C$13*$C$26*$C$27*$C$28,0)</f>
        <v>0</v>
      </c>
      <c r="J83" s="23" t="n">
        <f aca="false">J61*$D61*$C$13*INDEX(Assumptions!$B$44:$B$46,MATCH($C61,Assumptions!$A$44:$A$46,0))+IF(J$45&gt;=$G61,INDEX(Assumptions!$C$44:$C$46,MATCH($C61,Assumptions!$A$44:$A$46,0)),0)+IF($C61="Assured",J61*$D61*$C$13*$C$26*$C$27*$C$28,0)</f>
        <v>0</v>
      </c>
      <c r="K83" s="23" t="n">
        <f aca="false">K61*$D61*$C$13*INDEX(Assumptions!$B$44:$B$46,MATCH($C61,Assumptions!$A$44:$A$46,0))+IF(K$45&gt;=$G61,INDEX(Assumptions!$C$44:$C$46,MATCH($C61,Assumptions!$A$44:$A$46,0)),0)+IF($C61="Assured",K61*$D61*$C$13*$C$26*$C$27*$C$28,0)</f>
        <v>0</v>
      </c>
      <c r="L83" s="23" t="n">
        <f aca="false">L61*$D61*$C$13*INDEX(Assumptions!$B$44:$B$46,MATCH($C61,Assumptions!$A$44:$A$46,0))+IF(L$45&gt;=$G61,INDEX(Assumptions!$C$44:$C$46,MATCH($C61,Assumptions!$A$44:$A$46,0)),0)+IF($C61="Assured",L61*$D61*$C$13*$C$26*$C$27*$C$28,0)</f>
        <v>0</v>
      </c>
      <c r="M83" s="23" t="n">
        <f aca="false">M61*$D61*$C$13*INDEX(Assumptions!$B$44:$B$46,MATCH($C61,Assumptions!$A$44:$A$46,0))+IF(M$45&gt;=$G61,INDEX(Assumptions!$C$44:$C$46,MATCH($C61,Assumptions!$A$44:$A$46,0)),0)+IF($C61="Assured",M61*$D61*$C$13*$C$26*$C$27*$C$28,0)</f>
        <v>0</v>
      </c>
      <c r="N83" s="23" t="n">
        <f aca="false">N61*$D61*$C$13*INDEX(Assumptions!$B$44:$B$46,MATCH($C61,Assumptions!$A$44:$A$46,0))+IF(N$45&gt;=$G61,INDEX(Assumptions!$C$44:$C$46,MATCH($C61,Assumptions!$A$44:$A$46,0)),0)+IF($C61="Assured",N61*$D61*$C$13*$C$26*$C$27*$C$28,0)</f>
        <v>0</v>
      </c>
      <c r="O83" s="23" t="n">
        <f aca="false">O61*$D61*$C$13*INDEX(Assumptions!$B$44:$B$46,MATCH($C61,Assumptions!$A$44:$A$46,0))+IF(O$45&gt;=$G61,INDEX(Assumptions!$C$44:$C$46,MATCH($C61,Assumptions!$A$44:$A$46,0)),0)+IF($C61="Assured",O61*$D61*$C$13*$C$26*$C$27*$C$28,0)</f>
        <v>0</v>
      </c>
      <c r="P83" s="23" t="n">
        <f aca="false">P61*$D61*$C$13*INDEX(Assumptions!$B$44:$B$46,MATCH($C61,Assumptions!$A$44:$A$46,0))+IF(P$45&gt;=$G61,INDEX(Assumptions!$C$44:$C$46,MATCH($C61,Assumptions!$A$44:$A$46,0)),0)+IF($C61="Assured",P61*$D61*$C$13*$C$26*$C$27*$C$28,0)</f>
        <v>15978</v>
      </c>
      <c r="Q83" s="23" t="n">
        <f aca="false">Q61*$D61*$C$13*INDEX(Assumptions!$B$44:$B$46,MATCH($C61,Assumptions!$A$44:$A$46,0))+IF(Q$45&gt;=$G61,INDEX(Assumptions!$C$44:$C$46,MATCH($C61,Assumptions!$A$44:$A$46,0)),0)+IF($C61="Assured",Q61*$D61*$C$13*$C$26*$C$27*$C$28,0)</f>
        <v>19956</v>
      </c>
      <c r="R83" s="23" t="n">
        <f aca="false">R61*$D61*$C$13*INDEX(Assumptions!$B$44:$B$46,MATCH($C61,Assumptions!$A$44:$A$46,0))+IF(R$45&gt;=$G61,INDEX(Assumptions!$C$44:$C$46,MATCH($C61,Assumptions!$A$44:$A$46,0)),0)+IF($C61="Assured",R61*$D61*$C$13*$C$26*$C$27*$C$28,0)</f>
        <v>23271</v>
      </c>
      <c r="S83" s="23" t="n">
        <f aca="false">S61*$D61*$C$13*INDEX(Assumptions!$B$44:$B$46,MATCH($C61,Assumptions!$A$44:$A$46,0))+IF(S$45&gt;=$G61,INDEX(Assumptions!$C$44:$C$46,MATCH($C61,Assumptions!$A$44:$A$46,0)),0)+IF($C61="Assured",S61*$D61*$C$13*$C$26*$C$27*$C$28,0)</f>
        <v>25260</v>
      </c>
      <c r="T83" s="23" t="n">
        <f aca="false">T61*$D61*$C$13*INDEX(Assumptions!$B$44:$B$46,MATCH($C61,Assumptions!$A$44:$A$46,0))+IF(T$45&gt;=$G61,INDEX(Assumptions!$C$44:$C$46,MATCH($C61,Assumptions!$A$44:$A$46,0)),0)+IF($C61="Assured",T61*$D61*$C$13*$C$26*$C$27*$C$28,0)</f>
        <v>25260</v>
      </c>
      <c r="U83" s="23" t="n">
        <f aca="false">U61*$D61*$C$13*INDEX(Assumptions!$B$44:$B$46,MATCH($C61,Assumptions!$A$44:$A$46,0))+IF(U$45&gt;=$G61,INDEX(Assumptions!$C$44:$C$46,MATCH($C61,Assumptions!$A$44:$A$46,0)),0)+IF($C61="Assured",U61*$D61*$C$13*$C$26*$C$27*$C$28,0)</f>
        <v>25260</v>
      </c>
      <c r="V83" s="23" t="n">
        <f aca="false">V61*$D61*$C$13*INDEX(Assumptions!$B$44:$B$46,MATCH($C61,Assumptions!$A$44:$A$46,0))+IF(V$45&gt;=$G61,INDEX(Assumptions!$C$44:$C$46,MATCH($C61,Assumptions!$A$44:$A$46,0)),0)+IF($C61="Assured",V61*$D61*$C$13*$C$26*$C$27*$C$28,0)</f>
        <v>25260</v>
      </c>
      <c r="W83" s="23" t="n">
        <f aca="false">W61*$D61*$C$13*INDEX(Assumptions!$B$44:$B$46,MATCH($C61,Assumptions!$A$44:$A$46,0))+IF(W$45&gt;=$G61,INDEX(Assumptions!$C$44:$C$46,MATCH($C61,Assumptions!$A$44:$A$46,0)),0)+IF($C61="Assured",W61*$D61*$C$13*$C$26*$C$27*$C$28,0)</f>
        <v>25260</v>
      </c>
      <c r="X83" s="23" t="n">
        <f aca="false">X61*$D61*$C$13*INDEX(Assumptions!$B$44:$B$46,MATCH($C61,Assumptions!$A$44:$A$46,0))+IF(X$45&gt;=$G61,INDEX(Assumptions!$C$44:$C$46,MATCH($C61,Assumptions!$A$44:$A$46,0)),0)+IF($C61="Assured",X61*$D61*$C$13*$C$26*$C$27*$C$28,0)</f>
        <v>25260</v>
      </c>
      <c r="Y83" s="23" t="n">
        <f aca="false">Y61*$D61*$C$13*INDEX(Assumptions!$B$44:$B$46,MATCH($C61,Assumptions!$A$44:$A$46,0))+IF(Y$45&gt;=$G61,INDEX(Assumptions!$C$44:$C$46,MATCH($C61,Assumptions!$A$44:$A$46,0)),0)+IF($C61="Assured",Y61*$D61*$C$13*$C$26*$C$27*$C$28,0)</f>
        <v>25260</v>
      </c>
    </row>
    <row r="84" customFormat="false" ht="15" hidden="false" customHeight="false" outlineLevel="0" collapsed="false">
      <c r="A84" s="2" t="n">
        <f aca="false">A62</f>
        <v>15</v>
      </c>
      <c r="B84" s="2" t="str">
        <f aca="false">B62</f>
        <v>B</v>
      </c>
      <c r="C84" s="2" t="str">
        <f aca="false">C62</f>
        <v>Connect</v>
      </c>
      <c r="D84" s="2"/>
      <c r="E84" s="2"/>
      <c r="F84" s="2"/>
      <c r="G84" s="2"/>
      <c r="H84" s="23" t="n">
        <f aca="false">H62*$D62*$C$13*INDEX(Assumptions!$B$44:$B$46,MATCH($C62,Assumptions!$A$44:$A$46,0))+IF(H$45&gt;=$G62,INDEX(Assumptions!$C$44:$C$46,MATCH($C62,Assumptions!$A$44:$A$46,0)),0)+IF($C62="Assured",H62*$D62*$C$13*$C$26*$C$27*$C$28,0)</f>
        <v>0</v>
      </c>
      <c r="I84" s="23" t="n">
        <f aca="false">I62*$D62*$C$13*INDEX(Assumptions!$B$44:$B$46,MATCH($C62,Assumptions!$A$44:$A$46,0))+IF(I$45&gt;=$G62,INDEX(Assumptions!$C$44:$C$46,MATCH($C62,Assumptions!$A$44:$A$46,0)),0)+IF($C62="Assured",I62*$D62*$C$13*$C$26*$C$27*$C$28,0)</f>
        <v>0</v>
      </c>
      <c r="J84" s="23" t="n">
        <f aca="false">J62*$D62*$C$13*INDEX(Assumptions!$B$44:$B$46,MATCH($C62,Assumptions!$A$44:$A$46,0))+IF(J$45&gt;=$G62,INDEX(Assumptions!$C$44:$C$46,MATCH($C62,Assumptions!$A$44:$A$46,0)),0)+IF($C62="Assured",J62*$D62*$C$13*$C$26*$C$27*$C$28,0)</f>
        <v>0</v>
      </c>
      <c r="K84" s="23" t="n">
        <f aca="false">K62*$D62*$C$13*INDEX(Assumptions!$B$44:$B$46,MATCH($C62,Assumptions!$A$44:$A$46,0))+IF(K$45&gt;=$G62,INDEX(Assumptions!$C$44:$C$46,MATCH($C62,Assumptions!$A$44:$A$46,0)),0)+IF($C62="Assured",K62*$D62*$C$13*$C$26*$C$27*$C$28,0)</f>
        <v>0</v>
      </c>
      <c r="L84" s="23" t="n">
        <f aca="false">L62*$D62*$C$13*INDEX(Assumptions!$B$44:$B$46,MATCH($C62,Assumptions!$A$44:$A$46,0))+IF(L$45&gt;=$G62,INDEX(Assumptions!$C$44:$C$46,MATCH($C62,Assumptions!$A$44:$A$46,0)),0)+IF($C62="Assured",L62*$D62*$C$13*$C$26*$C$27*$C$28,0)</f>
        <v>0</v>
      </c>
      <c r="M84" s="23" t="n">
        <f aca="false">M62*$D62*$C$13*INDEX(Assumptions!$B$44:$B$46,MATCH($C62,Assumptions!$A$44:$A$46,0))+IF(M$45&gt;=$G62,INDEX(Assumptions!$C$44:$C$46,MATCH($C62,Assumptions!$A$44:$A$46,0)),0)+IF($C62="Assured",M62*$D62*$C$13*$C$26*$C$27*$C$28,0)</f>
        <v>0</v>
      </c>
      <c r="N84" s="23" t="n">
        <f aca="false">N62*$D62*$C$13*INDEX(Assumptions!$B$44:$B$46,MATCH($C62,Assumptions!$A$44:$A$46,0))+IF(N$45&gt;=$G62,INDEX(Assumptions!$C$44:$C$46,MATCH($C62,Assumptions!$A$44:$A$46,0)),0)+IF($C62="Assured",N62*$D62*$C$13*$C$26*$C$27*$C$28,0)</f>
        <v>0</v>
      </c>
      <c r="O84" s="23" t="n">
        <f aca="false">O62*$D62*$C$13*INDEX(Assumptions!$B$44:$B$46,MATCH($C62,Assumptions!$A$44:$A$46,0))+IF(O$45&gt;=$G62,INDEX(Assumptions!$C$44:$C$46,MATCH($C62,Assumptions!$A$44:$A$46,0)),0)+IF($C62="Assured",O62*$D62*$C$13*$C$26*$C$27*$C$28,0)</f>
        <v>0</v>
      </c>
      <c r="P84" s="23" t="n">
        <f aca="false">P62*$D62*$C$13*INDEX(Assumptions!$B$44:$B$46,MATCH($C62,Assumptions!$A$44:$A$46,0))+IF(P$45&gt;=$G62,INDEX(Assumptions!$C$44:$C$46,MATCH($C62,Assumptions!$A$44:$A$46,0)),0)+IF($C62="Assured",P62*$D62*$C$13*$C$26*$C$27*$C$28,0)</f>
        <v>0</v>
      </c>
      <c r="Q84" s="23" t="n">
        <f aca="false">Q62*$D62*$C$13*INDEX(Assumptions!$B$44:$B$46,MATCH($C62,Assumptions!$A$44:$A$46,0))+IF(Q$45&gt;=$G62,INDEX(Assumptions!$C$44:$C$46,MATCH($C62,Assumptions!$A$44:$A$46,0)),0)+IF($C62="Assured",Q62*$D62*$C$13*$C$26*$C$27*$C$28,0)</f>
        <v>15978</v>
      </c>
      <c r="R84" s="23" t="n">
        <f aca="false">R62*$D62*$C$13*INDEX(Assumptions!$B$44:$B$46,MATCH($C62,Assumptions!$A$44:$A$46,0))+IF(R$45&gt;=$G62,INDEX(Assumptions!$C$44:$C$46,MATCH($C62,Assumptions!$A$44:$A$46,0)),0)+IF($C62="Assured",R62*$D62*$C$13*$C$26*$C$27*$C$28,0)</f>
        <v>19956</v>
      </c>
      <c r="S84" s="23" t="n">
        <f aca="false">S62*$D62*$C$13*INDEX(Assumptions!$B$44:$B$46,MATCH($C62,Assumptions!$A$44:$A$46,0))+IF(S$45&gt;=$G62,INDEX(Assumptions!$C$44:$C$46,MATCH($C62,Assumptions!$A$44:$A$46,0)),0)+IF($C62="Assured",S62*$D62*$C$13*$C$26*$C$27*$C$28,0)</f>
        <v>23271</v>
      </c>
      <c r="T84" s="23" t="n">
        <f aca="false">T62*$D62*$C$13*INDEX(Assumptions!$B$44:$B$46,MATCH($C62,Assumptions!$A$44:$A$46,0))+IF(T$45&gt;=$G62,INDEX(Assumptions!$C$44:$C$46,MATCH($C62,Assumptions!$A$44:$A$46,0)),0)+IF($C62="Assured",T62*$D62*$C$13*$C$26*$C$27*$C$28,0)</f>
        <v>25260</v>
      </c>
      <c r="U84" s="23" t="n">
        <f aca="false">U62*$D62*$C$13*INDEX(Assumptions!$B$44:$B$46,MATCH($C62,Assumptions!$A$44:$A$46,0))+IF(U$45&gt;=$G62,INDEX(Assumptions!$C$44:$C$46,MATCH($C62,Assumptions!$A$44:$A$46,0)),0)+IF($C62="Assured",U62*$D62*$C$13*$C$26*$C$27*$C$28,0)</f>
        <v>25260</v>
      </c>
      <c r="V84" s="23" t="n">
        <f aca="false">V62*$D62*$C$13*INDEX(Assumptions!$B$44:$B$46,MATCH($C62,Assumptions!$A$44:$A$46,0))+IF(V$45&gt;=$G62,INDEX(Assumptions!$C$44:$C$46,MATCH($C62,Assumptions!$A$44:$A$46,0)),0)+IF($C62="Assured",V62*$D62*$C$13*$C$26*$C$27*$C$28,0)</f>
        <v>25260</v>
      </c>
      <c r="W84" s="23" t="n">
        <f aca="false">W62*$D62*$C$13*INDEX(Assumptions!$B$44:$B$46,MATCH($C62,Assumptions!$A$44:$A$46,0))+IF(W$45&gt;=$G62,INDEX(Assumptions!$C$44:$C$46,MATCH($C62,Assumptions!$A$44:$A$46,0)),0)+IF($C62="Assured",W62*$D62*$C$13*$C$26*$C$27*$C$28,0)</f>
        <v>25260</v>
      </c>
      <c r="X84" s="23" t="n">
        <f aca="false">X62*$D62*$C$13*INDEX(Assumptions!$B$44:$B$46,MATCH($C62,Assumptions!$A$44:$A$46,0))+IF(X$45&gt;=$G62,INDEX(Assumptions!$C$44:$C$46,MATCH($C62,Assumptions!$A$44:$A$46,0)),0)+IF($C62="Assured",X62*$D62*$C$13*$C$26*$C$27*$C$28,0)</f>
        <v>25260</v>
      </c>
      <c r="Y84" s="23" t="n">
        <f aca="false">Y62*$D62*$C$13*INDEX(Assumptions!$B$44:$B$46,MATCH($C62,Assumptions!$A$44:$A$46,0))+IF(Y$45&gt;=$G62,INDEX(Assumptions!$C$44:$C$46,MATCH($C62,Assumptions!$A$44:$A$46,0)),0)+IF($C62="Assured",Y62*$D62*$C$13*$C$26*$C$27*$C$28,0)</f>
        <v>25260</v>
      </c>
    </row>
    <row r="85" customFormat="false" ht="15" hidden="false" customHeight="false" outlineLevel="0" collapsed="false">
      <c r="A85" s="2" t="n">
        <f aca="false">A63</f>
        <v>16</v>
      </c>
      <c r="B85" s="2" t="str">
        <f aca="false">B63</f>
        <v>B</v>
      </c>
      <c r="C85" s="2" t="str">
        <f aca="false">C63</f>
        <v>Connect</v>
      </c>
      <c r="D85" s="2"/>
      <c r="E85" s="2"/>
      <c r="F85" s="2"/>
      <c r="G85" s="2"/>
      <c r="H85" s="23" t="n">
        <f aca="false">H63*$D63*$C$13*INDEX(Assumptions!$B$44:$B$46,MATCH($C63,Assumptions!$A$44:$A$46,0))+IF(H$45&gt;=$G63,INDEX(Assumptions!$C$44:$C$46,MATCH($C63,Assumptions!$A$44:$A$46,0)),0)+IF($C63="Assured",H63*$D63*$C$13*$C$26*$C$27*$C$28,0)</f>
        <v>0</v>
      </c>
      <c r="I85" s="23" t="n">
        <f aca="false">I63*$D63*$C$13*INDEX(Assumptions!$B$44:$B$46,MATCH($C63,Assumptions!$A$44:$A$46,0))+IF(I$45&gt;=$G63,INDEX(Assumptions!$C$44:$C$46,MATCH($C63,Assumptions!$A$44:$A$46,0)),0)+IF($C63="Assured",I63*$D63*$C$13*$C$26*$C$27*$C$28,0)</f>
        <v>0</v>
      </c>
      <c r="J85" s="23" t="n">
        <f aca="false">J63*$D63*$C$13*INDEX(Assumptions!$B$44:$B$46,MATCH($C63,Assumptions!$A$44:$A$46,0))+IF(J$45&gt;=$G63,INDEX(Assumptions!$C$44:$C$46,MATCH($C63,Assumptions!$A$44:$A$46,0)),0)+IF($C63="Assured",J63*$D63*$C$13*$C$26*$C$27*$C$28,0)</f>
        <v>0</v>
      </c>
      <c r="K85" s="23" t="n">
        <f aca="false">K63*$D63*$C$13*INDEX(Assumptions!$B$44:$B$46,MATCH($C63,Assumptions!$A$44:$A$46,0))+IF(K$45&gt;=$G63,INDEX(Assumptions!$C$44:$C$46,MATCH($C63,Assumptions!$A$44:$A$46,0)),0)+IF($C63="Assured",K63*$D63*$C$13*$C$26*$C$27*$C$28,0)</f>
        <v>0</v>
      </c>
      <c r="L85" s="23" t="n">
        <f aca="false">L63*$D63*$C$13*INDEX(Assumptions!$B$44:$B$46,MATCH($C63,Assumptions!$A$44:$A$46,0))+IF(L$45&gt;=$G63,INDEX(Assumptions!$C$44:$C$46,MATCH($C63,Assumptions!$A$44:$A$46,0)),0)+IF($C63="Assured",L63*$D63*$C$13*$C$26*$C$27*$C$28,0)</f>
        <v>0</v>
      </c>
      <c r="M85" s="23" t="n">
        <f aca="false">M63*$D63*$C$13*INDEX(Assumptions!$B$44:$B$46,MATCH($C63,Assumptions!$A$44:$A$46,0))+IF(M$45&gt;=$G63,INDEX(Assumptions!$C$44:$C$46,MATCH($C63,Assumptions!$A$44:$A$46,0)),0)+IF($C63="Assured",M63*$D63*$C$13*$C$26*$C$27*$C$28,0)</f>
        <v>0</v>
      </c>
      <c r="N85" s="23" t="n">
        <f aca="false">N63*$D63*$C$13*INDEX(Assumptions!$B$44:$B$46,MATCH($C63,Assumptions!$A$44:$A$46,0))+IF(N$45&gt;=$G63,INDEX(Assumptions!$C$44:$C$46,MATCH($C63,Assumptions!$A$44:$A$46,0)),0)+IF($C63="Assured",N63*$D63*$C$13*$C$26*$C$27*$C$28,0)</f>
        <v>0</v>
      </c>
      <c r="O85" s="23" t="n">
        <f aca="false">O63*$D63*$C$13*INDEX(Assumptions!$B$44:$B$46,MATCH($C63,Assumptions!$A$44:$A$46,0))+IF(O$45&gt;=$G63,INDEX(Assumptions!$C$44:$C$46,MATCH($C63,Assumptions!$A$44:$A$46,0)),0)+IF($C63="Assured",O63*$D63*$C$13*$C$26*$C$27*$C$28,0)</f>
        <v>0</v>
      </c>
      <c r="P85" s="23" t="n">
        <f aca="false">P63*$D63*$C$13*INDEX(Assumptions!$B$44:$B$46,MATCH($C63,Assumptions!$A$44:$A$46,0))+IF(P$45&gt;=$G63,INDEX(Assumptions!$C$44:$C$46,MATCH($C63,Assumptions!$A$44:$A$46,0)),0)+IF($C63="Assured",P63*$D63*$C$13*$C$26*$C$27*$C$28,0)</f>
        <v>0</v>
      </c>
      <c r="Q85" s="23" t="n">
        <f aca="false">Q63*$D63*$C$13*INDEX(Assumptions!$B$44:$B$46,MATCH($C63,Assumptions!$A$44:$A$46,0))+IF(Q$45&gt;=$G63,INDEX(Assumptions!$C$44:$C$46,MATCH($C63,Assumptions!$A$44:$A$46,0)),0)+IF($C63="Assured",Q63*$D63*$C$13*$C$26*$C$27*$C$28,0)</f>
        <v>0</v>
      </c>
      <c r="R85" s="23" t="n">
        <f aca="false">R63*$D63*$C$13*INDEX(Assumptions!$B$44:$B$46,MATCH($C63,Assumptions!$A$44:$A$46,0))+IF(R$45&gt;=$G63,INDEX(Assumptions!$C$44:$C$46,MATCH($C63,Assumptions!$A$44:$A$46,0)),0)+IF($C63="Assured",R63*$D63*$C$13*$C$26*$C$27*$C$28,0)</f>
        <v>15978</v>
      </c>
      <c r="S85" s="23" t="n">
        <f aca="false">S63*$D63*$C$13*INDEX(Assumptions!$B$44:$B$46,MATCH($C63,Assumptions!$A$44:$A$46,0))+IF(S$45&gt;=$G63,INDEX(Assumptions!$C$44:$C$46,MATCH($C63,Assumptions!$A$44:$A$46,0)),0)+IF($C63="Assured",S63*$D63*$C$13*$C$26*$C$27*$C$28,0)</f>
        <v>19956</v>
      </c>
      <c r="T85" s="23" t="n">
        <f aca="false">T63*$D63*$C$13*INDEX(Assumptions!$B$44:$B$46,MATCH($C63,Assumptions!$A$44:$A$46,0))+IF(T$45&gt;=$G63,INDEX(Assumptions!$C$44:$C$46,MATCH($C63,Assumptions!$A$44:$A$46,0)),0)+IF($C63="Assured",T63*$D63*$C$13*$C$26*$C$27*$C$28,0)</f>
        <v>23271</v>
      </c>
      <c r="U85" s="23" t="n">
        <f aca="false">U63*$D63*$C$13*INDEX(Assumptions!$B$44:$B$46,MATCH($C63,Assumptions!$A$44:$A$46,0))+IF(U$45&gt;=$G63,INDEX(Assumptions!$C$44:$C$46,MATCH($C63,Assumptions!$A$44:$A$46,0)),0)+IF($C63="Assured",U63*$D63*$C$13*$C$26*$C$27*$C$28,0)</f>
        <v>25260</v>
      </c>
      <c r="V85" s="23" t="n">
        <f aca="false">V63*$D63*$C$13*INDEX(Assumptions!$B$44:$B$46,MATCH($C63,Assumptions!$A$44:$A$46,0))+IF(V$45&gt;=$G63,INDEX(Assumptions!$C$44:$C$46,MATCH($C63,Assumptions!$A$44:$A$46,0)),0)+IF($C63="Assured",V63*$D63*$C$13*$C$26*$C$27*$C$28,0)</f>
        <v>25260</v>
      </c>
      <c r="W85" s="23" t="n">
        <f aca="false">W63*$D63*$C$13*INDEX(Assumptions!$B$44:$B$46,MATCH($C63,Assumptions!$A$44:$A$46,0))+IF(W$45&gt;=$G63,INDEX(Assumptions!$C$44:$C$46,MATCH($C63,Assumptions!$A$44:$A$46,0)),0)+IF($C63="Assured",W63*$D63*$C$13*$C$26*$C$27*$C$28,0)</f>
        <v>25260</v>
      </c>
      <c r="X85" s="23" t="n">
        <f aca="false">X63*$D63*$C$13*INDEX(Assumptions!$B$44:$B$46,MATCH($C63,Assumptions!$A$44:$A$46,0))+IF(X$45&gt;=$G63,INDEX(Assumptions!$C$44:$C$46,MATCH($C63,Assumptions!$A$44:$A$46,0)),0)+IF($C63="Assured",X63*$D63*$C$13*$C$26*$C$27*$C$28,0)</f>
        <v>25260</v>
      </c>
      <c r="Y85" s="23" t="n">
        <f aca="false">Y63*$D63*$C$13*INDEX(Assumptions!$B$44:$B$46,MATCH($C63,Assumptions!$A$44:$A$46,0))+IF(Y$45&gt;=$G63,INDEX(Assumptions!$C$44:$C$46,MATCH($C63,Assumptions!$A$44:$A$46,0)),0)+IF($C63="Assured",Y63*$D63*$C$13*$C$26*$C$27*$C$28,0)</f>
        <v>25260</v>
      </c>
    </row>
    <row r="86" customFormat="false" ht="15" hidden="false" customHeight="false" outlineLevel="0" collapsed="false">
      <c r="A86" s="2" t="n">
        <f aca="false">A64</f>
        <v>17</v>
      </c>
      <c r="B86" s="2" t="str">
        <f aca="false">B64</f>
        <v>B</v>
      </c>
      <c r="C86" s="2" t="str">
        <f aca="false">C64</f>
        <v>Verified</v>
      </c>
      <c r="D86" s="2"/>
      <c r="E86" s="2"/>
      <c r="F86" s="2"/>
      <c r="G86" s="2"/>
      <c r="H86" s="23" t="n">
        <f aca="false">H64*$D64*$C$13*INDEX(Assumptions!$B$44:$B$46,MATCH($C64,Assumptions!$A$44:$A$46,0))+IF(H$45&gt;=$G64,INDEX(Assumptions!$C$44:$C$46,MATCH($C64,Assumptions!$A$44:$A$46,0)),0)+IF($C64="Assured",H64*$D64*$C$13*$C$26*$C$27*$C$28,0)</f>
        <v>0</v>
      </c>
      <c r="I86" s="23" t="n">
        <f aca="false">I64*$D64*$C$13*INDEX(Assumptions!$B$44:$B$46,MATCH($C64,Assumptions!$A$44:$A$46,0))+IF(I$45&gt;=$G64,INDEX(Assumptions!$C$44:$C$46,MATCH($C64,Assumptions!$A$44:$A$46,0)),0)+IF($C64="Assured",I64*$D64*$C$13*$C$26*$C$27*$C$28,0)</f>
        <v>0</v>
      </c>
      <c r="J86" s="23" t="n">
        <f aca="false">J64*$D64*$C$13*INDEX(Assumptions!$B$44:$B$46,MATCH($C64,Assumptions!$A$44:$A$46,0))+IF(J$45&gt;=$G64,INDEX(Assumptions!$C$44:$C$46,MATCH($C64,Assumptions!$A$44:$A$46,0)),0)+IF($C64="Assured",J64*$D64*$C$13*$C$26*$C$27*$C$28,0)</f>
        <v>0</v>
      </c>
      <c r="K86" s="23" t="n">
        <f aca="false">K64*$D64*$C$13*INDEX(Assumptions!$B$44:$B$46,MATCH($C64,Assumptions!$A$44:$A$46,0))+IF(K$45&gt;=$G64,INDEX(Assumptions!$C$44:$C$46,MATCH($C64,Assumptions!$A$44:$A$46,0)),0)+IF($C64="Assured",K64*$D64*$C$13*$C$26*$C$27*$C$28,0)</f>
        <v>0</v>
      </c>
      <c r="L86" s="23" t="n">
        <f aca="false">L64*$D64*$C$13*INDEX(Assumptions!$B$44:$B$46,MATCH($C64,Assumptions!$A$44:$A$46,0))+IF(L$45&gt;=$G64,INDEX(Assumptions!$C$44:$C$46,MATCH($C64,Assumptions!$A$44:$A$46,0)),0)+IF($C64="Assured",L64*$D64*$C$13*$C$26*$C$27*$C$28,0)</f>
        <v>0</v>
      </c>
      <c r="M86" s="23" t="n">
        <f aca="false">M64*$D64*$C$13*INDEX(Assumptions!$B$44:$B$46,MATCH($C64,Assumptions!$A$44:$A$46,0))+IF(M$45&gt;=$G64,INDEX(Assumptions!$C$44:$C$46,MATCH($C64,Assumptions!$A$44:$A$46,0)),0)+IF($C64="Assured",M64*$D64*$C$13*$C$26*$C$27*$C$28,0)</f>
        <v>0</v>
      </c>
      <c r="N86" s="23" t="n">
        <f aca="false">N64*$D64*$C$13*INDEX(Assumptions!$B$44:$B$46,MATCH($C64,Assumptions!$A$44:$A$46,0))+IF(N$45&gt;=$G64,INDEX(Assumptions!$C$44:$C$46,MATCH($C64,Assumptions!$A$44:$A$46,0)),0)+IF($C64="Assured",N64*$D64*$C$13*$C$26*$C$27*$C$28,0)</f>
        <v>0</v>
      </c>
      <c r="O86" s="23" t="n">
        <f aca="false">O64*$D64*$C$13*INDEX(Assumptions!$B$44:$B$46,MATCH($C64,Assumptions!$A$44:$A$46,0))+IF(O$45&gt;=$G64,INDEX(Assumptions!$C$44:$C$46,MATCH($C64,Assumptions!$A$44:$A$46,0)),0)+IF($C64="Assured",O64*$D64*$C$13*$C$26*$C$27*$C$28,0)</f>
        <v>0</v>
      </c>
      <c r="P86" s="23" t="n">
        <f aca="false">P64*$D64*$C$13*INDEX(Assumptions!$B$44:$B$46,MATCH($C64,Assumptions!$A$44:$A$46,0))+IF(P$45&gt;=$G64,INDEX(Assumptions!$C$44:$C$46,MATCH($C64,Assumptions!$A$44:$A$46,0)),0)+IF($C64="Assured",P64*$D64*$C$13*$C$26*$C$27*$C$28,0)</f>
        <v>0</v>
      </c>
      <c r="Q86" s="23" t="n">
        <f aca="false">Q64*$D64*$C$13*INDEX(Assumptions!$B$44:$B$46,MATCH($C64,Assumptions!$A$44:$A$46,0))+IF(Q$45&gt;=$G64,INDEX(Assumptions!$C$44:$C$46,MATCH($C64,Assumptions!$A$44:$A$46,0)),0)+IF($C64="Assured",Q64*$D64*$C$13*$C$26*$C$27*$C$28,0)</f>
        <v>0</v>
      </c>
      <c r="R86" s="23" t="n">
        <f aca="false">R64*$D64*$C$13*INDEX(Assumptions!$B$44:$B$46,MATCH($C64,Assumptions!$A$44:$A$46,0))+IF(R$45&gt;=$G64,INDEX(Assumptions!$C$44:$C$46,MATCH($C64,Assumptions!$A$44:$A$46,0)),0)+IF($C64="Assured",R64*$D64*$C$13*$C$26*$C$27*$C$28,0)</f>
        <v>0</v>
      </c>
      <c r="S86" s="23" t="n">
        <f aca="false">S64*$D64*$C$13*INDEX(Assumptions!$B$44:$B$46,MATCH($C64,Assumptions!$A$44:$A$46,0))+IF(S$45&gt;=$G64,INDEX(Assumptions!$C$44:$C$46,MATCH($C64,Assumptions!$A$44:$A$46,0)),0)+IF($C64="Assured",S64*$D64*$C$13*$C$26*$C$27*$C$28,0)</f>
        <v>8950.5</v>
      </c>
      <c r="T86" s="23" t="n">
        <f aca="false">T64*$D64*$C$13*INDEX(Assumptions!$B$44:$B$46,MATCH($C64,Assumptions!$A$44:$A$46,0))+IF(T$45&gt;=$G64,INDEX(Assumptions!$C$44:$C$46,MATCH($C64,Assumptions!$A$44:$A$46,0)),0)+IF($C64="Assured",T64*$D64*$C$13*$C$26*$C$27*$C$28,0)</f>
        <v>17901</v>
      </c>
      <c r="U86" s="23" t="n">
        <f aca="false">U64*$D64*$C$13*INDEX(Assumptions!$B$44:$B$46,MATCH($C64,Assumptions!$A$44:$A$46,0))+IF(U$45&gt;=$G64,INDEX(Assumptions!$C$44:$C$46,MATCH($C64,Assumptions!$A$44:$A$46,0)),0)+IF($C64="Assured",U64*$D64*$C$13*$C$26*$C$27*$C$28,0)</f>
        <v>25359.75</v>
      </c>
      <c r="V86" s="23" t="n">
        <f aca="false">V64*$D64*$C$13*INDEX(Assumptions!$B$44:$B$46,MATCH($C64,Assumptions!$A$44:$A$46,0))+IF(V$45&gt;=$G64,INDEX(Assumptions!$C$44:$C$46,MATCH($C64,Assumptions!$A$44:$A$46,0)),0)+IF($C64="Assured",V64*$D64*$C$13*$C$26*$C$27*$C$28,0)</f>
        <v>29835</v>
      </c>
      <c r="W86" s="23" t="n">
        <f aca="false">W64*$D64*$C$13*INDEX(Assumptions!$B$44:$B$46,MATCH($C64,Assumptions!$A$44:$A$46,0))+IF(W$45&gt;=$G64,INDEX(Assumptions!$C$44:$C$46,MATCH($C64,Assumptions!$A$44:$A$46,0)),0)+IF($C64="Assured",W64*$D64*$C$13*$C$26*$C$27*$C$28,0)</f>
        <v>29835</v>
      </c>
      <c r="X86" s="23" t="n">
        <f aca="false">X64*$D64*$C$13*INDEX(Assumptions!$B$44:$B$46,MATCH($C64,Assumptions!$A$44:$A$46,0))+IF(X$45&gt;=$G64,INDEX(Assumptions!$C$44:$C$46,MATCH($C64,Assumptions!$A$44:$A$46,0)),0)+IF($C64="Assured",X64*$D64*$C$13*$C$26*$C$27*$C$28,0)</f>
        <v>29835</v>
      </c>
      <c r="Y86" s="23" t="n">
        <f aca="false">Y64*$D64*$C$13*INDEX(Assumptions!$B$44:$B$46,MATCH($C64,Assumptions!$A$44:$A$46,0))+IF(Y$45&gt;=$G64,INDEX(Assumptions!$C$44:$C$46,MATCH($C64,Assumptions!$A$44:$A$46,0)),0)+IF($C64="Assured",Y64*$D64*$C$13*$C$26*$C$27*$C$28,0)</f>
        <v>29835</v>
      </c>
    </row>
    <row r="87" customFormat="false" ht="15" hidden="false" customHeight="false" outlineLevel="0" collapsed="false">
      <c r="A87" s="2" t="n">
        <f aca="false">A65</f>
        <v>18</v>
      </c>
      <c r="B87" s="2" t="str">
        <f aca="false">B65</f>
        <v>B</v>
      </c>
      <c r="C87" s="2" t="str">
        <f aca="false">C65</f>
        <v>Verified</v>
      </c>
      <c r="D87" s="2"/>
      <c r="E87" s="2"/>
      <c r="F87" s="2"/>
      <c r="G87" s="2"/>
      <c r="H87" s="23" t="n">
        <f aca="false">H65*$D65*$C$13*INDEX(Assumptions!$B$44:$B$46,MATCH($C65,Assumptions!$A$44:$A$46,0))+IF(H$45&gt;=$G65,INDEX(Assumptions!$C$44:$C$46,MATCH($C65,Assumptions!$A$44:$A$46,0)),0)+IF($C65="Assured",H65*$D65*$C$13*$C$26*$C$27*$C$28,0)</f>
        <v>0</v>
      </c>
      <c r="I87" s="23" t="n">
        <f aca="false">I65*$D65*$C$13*INDEX(Assumptions!$B$44:$B$46,MATCH($C65,Assumptions!$A$44:$A$46,0))+IF(I$45&gt;=$G65,INDEX(Assumptions!$C$44:$C$46,MATCH($C65,Assumptions!$A$44:$A$46,0)),0)+IF($C65="Assured",I65*$D65*$C$13*$C$26*$C$27*$C$28,0)</f>
        <v>0</v>
      </c>
      <c r="J87" s="23" t="n">
        <f aca="false">J65*$D65*$C$13*INDEX(Assumptions!$B$44:$B$46,MATCH($C65,Assumptions!$A$44:$A$46,0))+IF(J$45&gt;=$G65,INDEX(Assumptions!$C$44:$C$46,MATCH($C65,Assumptions!$A$44:$A$46,0)),0)+IF($C65="Assured",J65*$D65*$C$13*$C$26*$C$27*$C$28,0)</f>
        <v>0</v>
      </c>
      <c r="K87" s="23" t="n">
        <f aca="false">K65*$D65*$C$13*INDEX(Assumptions!$B$44:$B$46,MATCH($C65,Assumptions!$A$44:$A$46,0))+IF(K$45&gt;=$G65,INDEX(Assumptions!$C$44:$C$46,MATCH($C65,Assumptions!$A$44:$A$46,0)),0)+IF($C65="Assured",K65*$D65*$C$13*$C$26*$C$27*$C$28,0)</f>
        <v>0</v>
      </c>
      <c r="L87" s="23" t="n">
        <f aca="false">L65*$D65*$C$13*INDEX(Assumptions!$B$44:$B$46,MATCH($C65,Assumptions!$A$44:$A$46,0))+IF(L$45&gt;=$G65,INDEX(Assumptions!$C$44:$C$46,MATCH($C65,Assumptions!$A$44:$A$46,0)),0)+IF($C65="Assured",L65*$D65*$C$13*$C$26*$C$27*$C$28,0)</f>
        <v>0</v>
      </c>
      <c r="M87" s="23" t="n">
        <f aca="false">M65*$D65*$C$13*INDEX(Assumptions!$B$44:$B$46,MATCH($C65,Assumptions!$A$44:$A$46,0))+IF(M$45&gt;=$G65,INDEX(Assumptions!$C$44:$C$46,MATCH($C65,Assumptions!$A$44:$A$46,0)),0)+IF($C65="Assured",M65*$D65*$C$13*$C$26*$C$27*$C$28,0)</f>
        <v>0</v>
      </c>
      <c r="N87" s="23" t="n">
        <f aca="false">N65*$D65*$C$13*INDEX(Assumptions!$B$44:$B$46,MATCH($C65,Assumptions!$A$44:$A$46,0))+IF(N$45&gt;=$G65,INDEX(Assumptions!$C$44:$C$46,MATCH($C65,Assumptions!$A$44:$A$46,0)),0)+IF($C65="Assured",N65*$D65*$C$13*$C$26*$C$27*$C$28,0)</f>
        <v>0</v>
      </c>
      <c r="O87" s="23" t="n">
        <f aca="false">O65*$D65*$C$13*INDEX(Assumptions!$B$44:$B$46,MATCH($C65,Assumptions!$A$44:$A$46,0))+IF(O$45&gt;=$G65,INDEX(Assumptions!$C$44:$C$46,MATCH($C65,Assumptions!$A$44:$A$46,0)),0)+IF($C65="Assured",O65*$D65*$C$13*$C$26*$C$27*$C$28,0)</f>
        <v>0</v>
      </c>
      <c r="P87" s="23" t="n">
        <f aca="false">P65*$D65*$C$13*INDEX(Assumptions!$B$44:$B$46,MATCH($C65,Assumptions!$A$44:$A$46,0))+IF(P$45&gt;=$G65,INDEX(Assumptions!$C$44:$C$46,MATCH($C65,Assumptions!$A$44:$A$46,0)),0)+IF($C65="Assured",P65*$D65*$C$13*$C$26*$C$27*$C$28,0)</f>
        <v>0</v>
      </c>
      <c r="Q87" s="23" t="n">
        <f aca="false">Q65*$D65*$C$13*INDEX(Assumptions!$B$44:$B$46,MATCH($C65,Assumptions!$A$44:$A$46,0))+IF(Q$45&gt;=$G65,INDEX(Assumptions!$C$44:$C$46,MATCH($C65,Assumptions!$A$44:$A$46,0)),0)+IF($C65="Assured",Q65*$D65*$C$13*$C$26*$C$27*$C$28,0)</f>
        <v>0</v>
      </c>
      <c r="R87" s="23" t="n">
        <f aca="false">R65*$D65*$C$13*INDEX(Assumptions!$B$44:$B$46,MATCH($C65,Assumptions!$A$44:$A$46,0))+IF(R$45&gt;=$G65,INDEX(Assumptions!$C$44:$C$46,MATCH($C65,Assumptions!$A$44:$A$46,0)),0)+IF($C65="Assured",R65*$D65*$C$13*$C$26*$C$27*$C$28,0)</f>
        <v>0</v>
      </c>
      <c r="S87" s="23" t="n">
        <f aca="false">S65*$D65*$C$13*INDEX(Assumptions!$B$44:$B$46,MATCH($C65,Assumptions!$A$44:$A$46,0))+IF(S$45&gt;=$G65,INDEX(Assumptions!$C$44:$C$46,MATCH($C65,Assumptions!$A$44:$A$46,0)),0)+IF($C65="Assured",S65*$D65*$C$13*$C$26*$C$27*$C$28,0)</f>
        <v>0</v>
      </c>
      <c r="T87" s="23" t="n">
        <f aca="false">T65*$D65*$C$13*INDEX(Assumptions!$B$44:$B$46,MATCH($C65,Assumptions!$A$44:$A$46,0))+IF(T$45&gt;=$G65,INDEX(Assumptions!$C$44:$C$46,MATCH($C65,Assumptions!$A$44:$A$46,0)),0)+IF($C65="Assured",T65*$D65*$C$13*$C$26*$C$27*$C$28,0)</f>
        <v>8950.5</v>
      </c>
      <c r="U87" s="23" t="n">
        <f aca="false">U65*$D65*$C$13*INDEX(Assumptions!$B$44:$B$46,MATCH($C65,Assumptions!$A$44:$A$46,0))+IF(U$45&gt;=$G65,INDEX(Assumptions!$C$44:$C$46,MATCH($C65,Assumptions!$A$44:$A$46,0)),0)+IF($C65="Assured",U65*$D65*$C$13*$C$26*$C$27*$C$28,0)</f>
        <v>17901</v>
      </c>
      <c r="V87" s="23" t="n">
        <f aca="false">V65*$D65*$C$13*INDEX(Assumptions!$B$44:$B$46,MATCH($C65,Assumptions!$A$44:$A$46,0))+IF(V$45&gt;=$G65,INDEX(Assumptions!$C$44:$C$46,MATCH($C65,Assumptions!$A$44:$A$46,0)),0)+IF($C65="Assured",V65*$D65*$C$13*$C$26*$C$27*$C$28,0)</f>
        <v>25359.75</v>
      </c>
      <c r="W87" s="23" t="n">
        <f aca="false">W65*$D65*$C$13*INDEX(Assumptions!$B$44:$B$46,MATCH($C65,Assumptions!$A$44:$A$46,0))+IF(W$45&gt;=$G65,INDEX(Assumptions!$C$44:$C$46,MATCH($C65,Assumptions!$A$44:$A$46,0)),0)+IF($C65="Assured",W65*$D65*$C$13*$C$26*$C$27*$C$28,0)</f>
        <v>29835</v>
      </c>
      <c r="X87" s="23" t="n">
        <f aca="false">X65*$D65*$C$13*INDEX(Assumptions!$B$44:$B$46,MATCH($C65,Assumptions!$A$44:$A$46,0))+IF(X$45&gt;=$G65,INDEX(Assumptions!$C$44:$C$46,MATCH($C65,Assumptions!$A$44:$A$46,0)),0)+IF($C65="Assured",X65*$D65*$C$13*$C$26*$C$27*$C$28,0)</f>
        <v>29835</v>
      </c>
      <c r="Y87" s="23" t="n">
        <f aca="false">Y65*$D65*$C$13*INDEX(Assumptions!$B$44:$B$46,MATCH($C65,Assumptions!$A$44:$A$46,0))+IF(Y$45&gt;=$G65,INDEX(Assumptions!$C$44:$C$46,MATCH($C65,Assumptions!$A$44:$A$46,0)),0)+IF($C65="Assured",Y65*$D65*$C$13*$C$26*$C$27*$C$28,0)</f>
        <v>29835</v>
      </c>
    </row>
    <row r="88" customFormat="false" ht="15" hidden="false" customHeight="false" outlineLevel="0" collapsed="false">
      <c r="A88" s="2" t="n">
        <f aca="false">A66</f>
        <v>19</v>
      </c>
      <c r="B88" s="2" t="str">
        <f aca="false">B66</f>
        <v>B</v>
      </c>
      <c r="C88" s="2" t="str">
        <f aca="false">C66</f>
        <v>Verified</v>
      </c>
      <c r="D88" s="2"/>
      <c r="E88" s="2"/>
      <c r="F88" s="2"/>
      <c r="G88" s="2"/>
      <c r="H88" s="23" t="n">
        <f aca="false">H66*$D66*$C$13*INDEX(Assumptions!$B$44:$B$46,MATCH($C66,Assumptions!$A$44:$A$46,0))+IF(H$45&gt;=$G66,INDEX(Assumptions!$C$44:$C$46,MATCH($C66,Assumptions!$A$44:$A$46,0)),0)+IF($C66="Assured",H66*$D66*$C$13*$C$26*$C$27*$C$28,0)</f>
        <v>0</v>
      </c>
      <c r="I88" s="23" t="n">
        <f aca="false">I66*$D66*$C$13*INDEX(Assumptions!$B$44:$B$46,MATCH($C66,Assumptions!$A$44:$A$46,0))+IF(I$45&gt;=$G66,INDEX(Assumptions!$C$44:$C$46,MATCH($C66,Assumptions!$A$44:$A$46,0)),0)+IF($C66="Assured",I66*$D66*$C$13*$C$26*$C$27*$C$28,0)</f>
        <v>0</v>
      </c>
      <c r="J88" s="23" t="n">
        <f aca="false">J66*$D66*$C$13*INDEX(Assumptions!$B$44:$B$46,MATCH($C66,Assumptions!$A$44:$A$46,0))+IF(J$45&gt;=$G66,INDEX(Assumptions!$C$44:$C$46,MATCH($C66,Assumptions!$A$44:$A$46,0)),0)+IF($C66="Assured",J66*$D66*$C$13*$C$26*$C$27*$C$28,0)</f>
        <v>0</v>
      </c>
      <c r="K88" s="23" t="n">
        <f aca="false">K66*$D66*$C$13*INDEX(Assumptions!$B$44:$B$46,MATCH($C66,Assumptions!$A$44:$A$46,0))+IF(K$45&gt;=$G66,INDEX(Assumptions!$C$44:$C$46,MATCH($C66,Assumptions!$A$44:$A$46,0)),0)+IF($C66="Assured",K66*$D66*$C$13*$C$26*$C$27*$C$28,0)</f>
        <v>0</v>
      </c>
      <c r="L88" s="23" t="n">
        <f aca="false">L66*$D66*$C$13*INDEX(Assumptions!$B$44:$B$46,MATCH($C66,Assumptions!$A$44:$A$46,0))+IF(L$45&gt;=$G66,INDEX(Assumptions!$C$44:$C$46,MATCH($C66,Assumptions!$A$44:$A$46,0)),0)+IF($C66="Assured",L66*$D66*$C$13*$C$26*$C$27*$C$28,0)</f>
        <v>0</v>
      </c>
      <c r="M88" s="23" t="n">
        <f aca="false">M66*$D66*$C$13*INDEX(Assumptions!$B$44:$B$46,MATCH($C66,Assumptions!$A$44:$A$46,0))+IF(M$45&gt;=$G66,INDEX(Assumptions!$C$44:$C$46,MATCH($C66,Assumptions!$A$44:$A$46,0)),0)+IF($C66="Assured",M66*$D66*$C$13*$C$26*$C$27*$C$28,0)</f>
        <v>0</v>
      </c>
      <c r="N88" s="23" t="n">
        <f aca="false">N66*$D66*$C$13*INDEX(Assumptions!$B$44:$B$46,MATCH($C66,Assumptions!$A$44:$A$46,0))+IF(N$45&gt;=$G66,INDEX(Assumptions!$C$44:$C$46,MATCH($C66,Assumptions!$A$44:$A$46,0)),0)+IF($C66="Assured",N66*$D66*$C$13*$C$26*$C$27*$C$28,0)</f>
        <v>0</v>
      </c>
      <c r="O88" s="23" t="n">
        <f aca="false">O66*$D66*$C$13*INDEX(Assumptions!$B$44:$B$46,MATCH($C66,Assumptions!$A$44:$A$46,0))+IF(O$45&gt;=$G66,INDEX(Assumptions!$C$44:$C$46,MATCH($C66,Assumptions!$A$44:$A$46,0)),0)+IF($C66="Assured",O66*$D66*$C$13*$C$26*$C$27*$C$28,0)</f>
        <v>0</v>
      </c>
      <c r="P88" s="23" t="n">
        <f aca="false">P66*$D66*$C$13*INDEX(Assumptions!$B$44:$B$46,MATCH($C66,Assumptions!$A$44:$A$46,0))+IF(P$45&gt;=$G66,INDEX(Assumptions!$C$44:$C$46,MATCH($C66,Assumptions!$A$44:$A$46,0)),0)+IF($C66="Assured",P66*$D66*$C$13*$C$26*$C$27*$C$28,0)</f>
        <v>0</v>
      </c>
      <c r="Q88" s="23" t="n">
        <f aca="false">Q66*$D66*$C$13*INDEX(Assumptions!$B$44:$B$46,MATCH($C66,Assumptions!$A$44:$A$46,0))+IF(Q$45&gt;=$G66,INDEX(Assumptions!$C$44:$C$46,MATCH($C66,Assumptions!$A$44:$A$46,0)),0)+IF($C66="Assured",Q66*$D66*$C$13*$C$26*$C$27*$C$28,0)</f>
        <v>0</v>
      </c>
      <c r="R88" s="23" t="n">
        <f aca="false">R66*$D66*$C$13*INDEX(Assumptions!$B$44:$B$46,MATCH($C66,Assumptions!$A$44:$A$46,0))+IF(R$45&gt;=$G66,INDEX(Assumptions!$C$44:$C$46,MATCH($C66,Assumptions!$A$44:$A$46,0)),0)+IF($C66="Assured",R66*$D66*$C$13*$C$26*$C$27*$C$28,0)</f>
        <v>0</v>
      </c>
      <c r="S88" s="23" t="n">
        <f aca="false">S66*$D66*$C$13*INDEX(Assumptions!$B$44:$B$46,MATCH($C66,Assumptions!$A$44:$A$46,0))+IF(S$45&gt;=$G66,INDEX(Assumptions!$C$44:$C$46,MATCH($C66,Assumptions!$A$44:$A$46,0)),0)+IF($C66="Assured",S66*$D66*$C$13*$C$26*$C$27*$C$28,0)</f>
        <v>0</v>
      </c>
      <c r="T88" s="23" t="n">
        <f aca="false">T66*$D66*$C$13*INDEX(Assumptions!$B$44:$B$46,MATCH($C66,Assumptions!$A$44:$A$46,0))+IF(T$45&gt;=$G66,INDEX(Assumptions!$C$44:$C$46,MATCH($C66,Assumptions!$A$44:$A$46,0)),0)+IF($C66="Assured",T66*$D66*$C$13*$C$26*$C$27*$C$28,0)</f>
        <v>0</v>
      </c>
      <c r="U88" s="23" t="n">
        <f aca="false">U66*$D66*$C$13*INDEX(Assumptions!$B$44:$B$46,MATCH($C66,Assumptions!$A$44:$A$46,0))+IF(U$45&gt;=$G66,INDEX(Assumptions!$C$44:$C$46,MATCH($C66,Assumptions!$A$44:$A$46,0)),0)+IF($C66="Assured",U66*$D66*$C$13*$C$26*$C$27*$C$28,0)</f>
        <v>8950.5</v>
      </c>
      <c r="V88" s="23" t="n">
        <f aca="false">V66*$D66*$C$13*INDEX(Assumptions!$B$44:$B$46,MATCH($C66,Assumptions!$A$44:$A$46,0))+IF(V$45&gt;=$G66,INDEX(Assumptions!$C$44:$C$46,MATCH($C66,Assumptions!$A$44:$A$46,0)),0)+IF($C66="Assured",V66*$D66*$C$13*$C$26*$C$27*$C$28,0)</f>
        <v>17901</v>
      </c>
      <c r="W88" s="23" t="n">
        <f aca="false">W66*$D66*$C$13*INDEX(Assumptions!$B$44:$B$46,MATCH($C66,Assumptions!$A$44:$A$46,0))+IF(W$45&gt;=$G66,INDEX(Assumptions!$C$44:$C$46,MATCH($C66,Assumptions!$A$44:$A$46,0)),0)+IF($C66="Assured",W66*$D66*$C$13*$C$26*$C$27*$C$28,0)</f>
        <v>25359.75</v>
      </c>
      <c r="X88" s="23" t="n">
        <f aca="false">X66*$D66*$C$13*INDEX(Assumptions!$B$44:$B$46,MATCH($C66,Assumptions!$A$44:$A$46,0))+IF(X$45&gt;=$G66,INDEX(Assumptions!$C$44:$C$46,MATCH($C66,Assumptions!$A$44:$A$46,0)),0)+IF($C66="Assured",X66*$D66*$C$13*$C$26*$C$27*$C$28,0)</f>
        <v>29835</v>
      </c>
      <c r="Y88" s="23" t="n">
        <f aca="false">Y66*$D66*$C$13*INDEX(Assumptions!$B$44:$B$46,MATCH($C66,Assumptions!$A$44:$A$46,0))+IF(Y$45&gt;=$G66,INDEX(Assumptions!$C$44:$C$46,MATCH($C66,Assumptions!$A$44:$A$46,0)),0)+IF($C66="Assured",Y66*$D66*$C$13*$C$26*$C$27*$C$28,0)</f>
        <v>29835</v>
      </c>
    </row>
    <row r="89" customFormat="false" ht="15" hidden="false" customHeight="false" outlineLevel="0" collapsed="false">
      <c r="A89" s="2" t="n">
        <f aca="false">A67</f>
        <v>20</v>
      </c>
      <c r="B89" s="2" t="str">
        <f aca="false">B67</f>
        <v>B</v>
      </c>
      <c r="C89" s="2" t="str">
        <f aca="false">C67</f>
        <v>Verified</v>
      </c>
      <c r="D89" s="2"/>
      <c r="E89" s="2"/>
      <c r="F89" s="2"/>
      <c r="G89" s="2"/>
      <c r="H89" s="23" t="n">
        <f aca="false">H67*$D67*$C$13*INDEX(Assumptions!$B$44:$B$46,MATCH($C67,Assumptions!$A$44:$A$46,0))+IF(H$45&gt;=$G67,INDEX(Assumptions!$C$44:$C$46,MATCH($C67,Assumptions!$A$44:$A$46,0)),0)+IF($C67="Assured",H67*$D67*$C$13*$C$26*$C$27*$C$28,0)</f>
        <v>0</v>
      </c>
      <c r="I89" s="23" t="n">
        <f aca="false">I67*$D67*$C$13*INDEX(Assumptions!$B$44:$B$46,MATCH($C67,Assumptions!$A$44:$A$46,0))+IF(I$45&gt;=$G67,INDEX(Assumptions!$C$44:$C$46,MATCH($C67,Assumptions!$A$44:$A$46,0)),0)+IF($C67="Assured",I67*$D67*$C$13*$C$26*$C$27*$C$28,0)</f>
        <v>0</v>
      </c>
      <c r="J89" s="23" t="n">
        <f aca="false">J67*$D67*$C$13*INDEX(Assumptions!$B$44:$B$46,MATCH($C67,Assumptions!$A$44:$A$46,0))+IF(J$45&gt;=$G67,INDEX(Assumptions!$C$44:$C$46,MATCH($C67,Assumptions!$A$44:$A$46,0)),0)+IF($C67="Assured",J67*$D67*$C$13*$C$26*$C$27*$C$28,0)</f>
        <v>0</v>
      </c>
      <c r="K89" s="23" t="n">
        <f aca="false">K67*$D67*$C$13*INDEX(Assumptions!$B$44:$B$46,MATCH($C67,Assumptions!$A$44:$A$46,0))+IF(K$45&gt;=$G67,INDEX(Assumptions!$C$44:$C$46,MATCH($C67,Assumptions!$A$44:$A$46,0)),0)+IF($C67="Assured",K67*$D67*$C$13*$C$26*$C$27*$C$28,0)</f>
        <v>0</v>
      </c>
      <c r="L89" s="23" t="n">
        <f aca="false">L67*$D67*$C$13*INDEX(Assumptions!$B$44:$B$46,MATCH($C67,Assumptions!$A$44:$A$46,0))+IF(L$45&gt;=$G67,INDEX(Assumptions!$C$44:$C$46,MATCH($C67,Assumptions!$A$44:$A$46,0)),0)+IF($C67="Assured",L67*$D67*$C$13*$C$26*$C$27*$C$28,0)</f>
        <v>0</v>
      </c>
      <c r="M89" s="23" t="n">
        <f aca="false">M67*$D67*$C$13*INDEX(Assumptions!$B$44:$B$46,MATCH($C67,Assumptions!$A$44:$A$46,0))+IF(M$45&gt;=$G67,INDEX(Assumptions!$C$44:$C$46,MATCH($C67,Assumptions!$A$44:$A$46,0)),0)+IF($C67="Assured",M67*$D67*$C$13*$C$26*$C$27*$C$28,0)</f>
        <v>0</v>
      </c>
      <c r="N89" s="23" t="n">
        <f aca="false">N67*$D67*$C$13*INDEX(Assumptions!$B$44:$B$46,MATCH($C67,Assumptions!$A$44:$A$46,0))+IF(N$45&gt;=$G67,INDEX(Assumptions!$C$44:$C$46,MATCH($C67,Assumptions!$A$44:$A$46,0)),0)+IF($C67="Assured",N67*$D67*$C$13*$C$26*$C$27*$C$28,0)</f>
        <v>0</v>
      </c>
      <c r="O89" s="23" t="n">
        <f aca="false">O67*$D67*$C$13*INDEX(Assumptions!$B$44:$B$46,MATCH($C67,Assumptions!$A$44:$A$46,0))+IF(O$45&gt;=$G67,INDEX(Assumptions!$C$44:$C$46,MATCH($C67,Assumptions!$A$44:$A$46,0)),0)+IF($C67="Assured",O67*$D67*$C$13*$C$26*$C$27*$C$28,0)</f>
        <v>0</v>
      </c>
      <c r="P89" s="23" t="n">
        <f aca="false">P67*$D67*$C$13*INDEX(Assumptions!$B$44:$B$46,MATCH($C67,Assumptions!$A$44:$A$46,0))+IF(P$45&gt;=$G67,INDEX(Assumptions!$C$44:$C$46,MATCH($C67,Assumptions!$A$44:$A$46,0)),0)+IF($C67="Assured",P67*$D67*$C$13*$C$26*$C$27*$C$28,0)</f>
        <v>0</v>
      </c>
      <c r="Q89" s="23" t="n">
        <f aca="false">Q67*$D67*$C$13*INDEX(Assumptions!$B$44:$B$46,MATCH($C67,Assumptions!$A$44:$A$46,0))+IF(Q$45&gt;=$G67,INDEX(Assumptions!$C$44:$C$46,MATCH($C67,Assumptions!$A$44:$A$46,0)),0)+IF($C67="Assured",Q67*$D67*$C$13*$C$26*$C$27*$C$28,0)</f>
        <v>0</v>
      </c>
      <c r="R89" s="23" t="n">
        <f aca="false">R67*$D67*$C$13*INDEX(Assumptions!$B$44:$B$46,MATCH($C67,Assumptions!$A$44:$A$46,0))+IF(R$45&gt;=$G67,INDEX(Assumptions!$C$44:$C$46,MATCH($C67,Assumptions!$A$44:$A$46,0)),0)+IF($C67="Assured",R67*$D67*$C$13*$C$26*$C$27*$C$28,0)</f>
        <v>0</v>
      </c>
      <c r="S89" s="23" t="n">
        <f aca="false">S67*$D67*$C$13*INDEX(Assumptions!$B$44:$B$46,MATCH($C67,Assumptions!$A$44:$A$46,0))+IF(S$45&gt;=$G67,INDEX(Assumptions!$C$44:$C$46,MATCH($C67,Assumptions!$A$44:$A$46,0)),0)+IF($C67="Assured",S67*$D67*$C$13*$C$26*$C$27*$C$28,0)</f>
        <v>0</v>
      </c>
      <c r="T89" s="23" t="n">
        <f aca="false">T67*$D67*$C$13*INDEX(Assumptions!$B$44:$B$46,MATCH($C67,Assumptions!$A$44:$A$46,0))+IF(T$45&gt;=$G67,INDEX(Assumptions!$C$44:$C$46,MATCH($C67,Assumptions!$A$44:$A$46,0)),0)+IF($C67="Assured",T67*$D67*$C$13*$C$26*$C$27*$C$28,0)</f>
        <v>0</v>
      </c>
      <c r="U89" s="23" t="n">
        <f aca="false">U67*$D67*$C$13*INDEX(Assumptions!$B$44:$B$46,MATCH($C67,Assumptions!$A$44:$A$46,0))+IF(U$45&gt;=$G67,INDEX(Assumptions!$C$44:$C$46,MATCH($C67,Assumptions!$A$44:$A$46,0)),0)+IF($C67="Assured",U67*$D67*$C$13*$C$26*$C$27*$C$28,0)</f>
        <v>8950.5</v>
      </c>
      <c r="V89" s="23" t="n">
        <f aca="false">V67*$D67*$C$13*INDEX(Assumptions!$B$44:$B$46,MATCH($C67,Assumptions!$A$44:$A$46,0))+IF(V$45&gt;=$G67,INDEX(Assumptions!$C$44:$C$46,MATCH($C67,Assumptions!$A$44:$A$46,0)),0)+IF($C67="Assured",V67*$D67*$C$13*$C$26*$C$27*$C$28,0)</f>
        <v>17901</v>
      </c>
      <c r="W89" s="23" t="n">
        <f aca="false">W67*$D67*$C$13*INDEX(Assumptions!$B$44:$B$46,MATCH($C67,Assumptions!$A$44:$A$46,0))+IF(W$45&gt;=$G67,INDEX(Assumptions!$C$44:$C$46,MATCH($C67,Assumptions!$A$44:$A$46,0)),0)+IF($C67="Assured",W67*$D67*$C$13*$C$26*$C$27*$C$28,0)</f>
        <v>25359.75</v>
      </c>
      <c r="X89" s="23" t="n">
        <f aca="false">X67*$D67*$C$13*INDEX(Assumptions!$B$44:$B$46,MATCH($C67,Assumptions!$A$44:$A$46,0))+IF(X$45&gt;=$G67,INDEX(Assumptions!$C$44:$C$46,MATCH($C67,Assumptions!$A$44:$A$46,0)),0)+IF($C67="Assured",X67*$D67*$C$13*$C$26*$C$27*$C$28,0)</f>
        <v>29835</v>
      </c>
      <c r="Y89" s="23" t="n">
        <f aca="false">Y67*$D67*$C$13*INDEX(Assumptions!$B$44:$B$46,MATCH($C67,Assumptions!$A$44:$A$46,0))+IF(Y$45&gt;=$G67,INDEX(Assumptions!$C$44:$C$46,MATCH($C67,Assumptions!$A$44:$A$46,0)),0)+IF($C67="Assured",Y67*$D67*$C$13*$C$26*$C$27*$C$28,0)</f>
        <v>29835</v>
      </c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" hidden="false" customHeight="false" outlineLevel="0" collapsed="false">
      <c r="A91" s="37" t="s">
        <v>200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customFormat="false" ht="15" hidden="false" customHeight="false" outlineLevel="0" collapsed="false">
      <c r="A92" s="2" t="n">
        <f aca="false">A48</f>
        <v>1</v>
      </c>
      <c r="B92" s="2" t="str">
        <f aca="false">B48</f>
        <v>Pilot</v>
      </c>
      <c r="C92" s="2" t="str">
        <f aca="false">C48</f>
        <v>Assured</v>
      </c>
      <c r="D92" s="2"/>
      <c r="E92" s="2"/>
      <c r="F92" s="2"/>
      <c r="G92" s="2"/>
      <c r="H92" s="23" t="n">
        <f aca="false">H48*IF(AND($C48="Assured",H$45&gt;=$C$25),$C$24,INDEX(Assumptions!$D$44:$D$46,MATCH($C48,Assumptions!$A$44:$A$46,0)))</f>
        <v>23625</v>
      </c>
      <c r="I92" s="23" t="n">
        <f aca="false">I48*IF(AND($C48="Assured",I$45&gt;=$C$25),$C$24,INDEX(Assumptions!$D$44:$D$46,MATCH($C48,Assumptions!$A$44:$A$46,0)))</f>
        <v>24750</v>
      </c>
      <c r="J92" s="23" t="n">
        <f aca="false">J48*IF(AND($C48="Assured",J$45&gt;=$C$25),$C$24,INDEX(Assumptions!$D$44:$D$46,MATCH($C48,Assumptions!$A$44:$A$46,0)))</f>
        <v>25875</v>
      </c>
      <c r="K92" s="23" t="n">
        <f aca="false">K48*IF(AND($C48="Assured",K$45&gt;=$C$25),$C$24,INDEX(Assumptions!$D$44:$D$46,MATCH($C48,Assumptions!$A$44:$A$46,0)))</f>
        <v>27000</v>
      </c>
      <c r="L92" s="23" t="n">
        <f aca="false">L48*IF(AND($C48="Assured",L$45&gt;=$C$25),$C$24,INDEX(Assumptions!$D$44:$D$46,MATCH($C48,Assumptions!$A$44:$A$46,0)))</f>
        <v>27000</v>
      </c>
      <c r="M92" s="23" t="n">
        <f aca="false">M48*IF(AND($C48="Assured",M$45&gt;=$C$25),$C$24,INDEX(Assumptions!$D$44:$D$46,MATCH($C48,Assumptions!$A$44:$A$46,0)))</f>
        <v>27000</v>
      </c>
      <c r="N92" s="23" t="n">
        <f aca="false">N48*IF(AND($C48="Assured",N$45&gt;=$C$25),$C$24,INDEX(Assumptions!$D$44:$D$46,MATCH($C48,Assumptions!$A$44:$A$46,0)))</f>
        <v>27000</v>
      </c>
      <c r="O92" s="23" t="n">
        <f aca="false">O48*IF(AND($C48="Assured",O$45&gt;=$C$25),$C$24,INDEX(Assumptions!$D$44:$D$46,MATCH($C48,Assumptions!$A$44:$A$46,0)))</f>
        <v>27000</v>
      </c>
      <c r="P92" s="23" t="n">
        <f aca="false">P48*IF(AND($C48="Assured",P$45&gt;=$C$25),$C$24,INDEX(Assumptions!$D$44:$D$46,MATCH($C48,Assumptions!$A$44:$A$46,0)))</f>
        <v>27000</v>
      </c>
      <c r="Q92" s="23" t="n">
        <f aca="false">Q48*IF(AND($C48="Assured",Q$45&gt;=$C$25),$C$24,INDEX(Assumptions!$D$44:$D$46,MATCH($C48,Assumptions!$A$44:$A$46,0)))</f>
        <v>24000</v>
      </c>
      <c r="R92" s="23" t="n">
        <f aca="false">R48*IF(AND($C48="Assured",R$45&gt;=$C$25),$C$24,INDEX(Assumptions!$D$44:$D$46,MATCH($C48,Assumptions!$A$44:$A$46,0)))</f>
        <v>24000</v>
      </c>
      <c r="S92" s="23" t="n">
        <f aca="false">S48*IF(AND($C48="Assured",S$45&gt;=$C$25),$C$24,INDEX(Assumptions!$D$44:$D$46,MATCH($C48,Assumptions!$A$44:$A$46,0)))</f>
        <v>24000</v>
      </c>
      <c r="T92" s="23" t="n">
        <f aca="false">T48*IF(AND($C48="Assured",T$45&gt;=$C$25),$C$24,INDEX(Assumptions!$D$44:$D$46,MATCH($C48,Assumptions!$A$44:$A$46,0)))</f>
        <v>24000</v>
      </c>
      <c r="U92" s="23" t="n">
        <f aca="false">U48*IF(AND($C48="Assured",U$45&gt;=$C$25),$C$24,INDEX(Assumptions!$D$44:$D$46,MATCH($C48,Assumptions!$A$44:$A$46,0)))</f>
        <v>24000</v>
      </c>
      <c r="V92" s="23" t="n">
        <f aca="false">V48*IF(AND($C48="Assured",V$45&gt;=$C$25),$C$24,INDEX(Assumptions!$D$44:$D$46,MATCH($C48,Assumptions!$A$44:$A$46,0)))</f>
        <v>24000</v>
      </c>
      <c r="W92" s="23" t="n">
        <f aca="false">W48*IF(AND($C48="Assured",W$45&gt;=$C$25),$C$24,INDEX(Assumptions!$D$44:$D$46,MATCH($C48,Assumptions!$A$44:$A$46,0)))</f>
        <v>24000</v>
      </c>
      <c r="X92" s="23" t="n">
        <f aca="false">X48*IF(AND($C48="Assured",X$45&gt;=$C$25),$C$24,INDEX(Assumptions!$D$44:$D$46,MATCH($C48,Assumptions!$A$44:$A$46,0)))</f>
        <v>24000</v>
      </c>
      <c r="Y92" s="23" t="n">
        <f aca="false">Y48*IF(AND($C48="Assured",Y$45&gt;=$C$25),$C$24,INDEX(Assumptions!$D$44:$D$46,MATCH($C48,Assumptions!$A$44:$A$46,0)))</f>
        <v>24000</v>
      </c>
    </row>
    <row r="93" customFormat="false" ht="15" hidden="false" customHeight="false" outlineLevel="0" collapsed="false">
      <c r="A93" s="2" t="n">
        <f aca="false">A49</f>
        <v>2</v>
      </c>
      <c r="B93" s="2" t="str">
        <f aca="false">B49</f>
        <v>Pilot</v>
      </c>
      <c r="C93" s="2" t="str">
        <f aca="false">C49</f>
        <v>Assured</v>
      </c>
      <c r="D93" s="2"/>
      <c r="E93" s="2"/>
      <c r="F93" s="2"/>
      <c r="G93" s="2"/>
      <c r="H93" s="23" t="n">
        <f aca="false">H49*IF(AND($C49="Assured",H$45&gt;=$C$25),$C$24,INDEX(Assumptions!$D$44:$D$46,MATCH($C49,Assumptions!$A$44:$A$46,0)))</f>
        <v>23625</v>
      </c>
      <c r="I93" s="23" t="n">
        <f aca="false">I49*IF(AND($C49="Assured",I$45&gt;=$C$25),$C$24,INDEX(Assumptions!$D$44:$D$46,MATCH($C49,Assumptions!$A$44:$A$46,0)))</f>
        <v>24750</v>
      </c>
      <c r="J93" s="23" t="n">
        <f aca="false">J49*IF(AND($C49="Assured",J$45&gt;=$C$25),$C$24,INDEX(Assumptions!$D$44:$D$46,MATCH($C49,Assumptions!$A$44:$A$46,0)))</f>
        <v>25875</v>
      </c>
      <c r="K93" s="23" t="n">
        <f aca="false">K49*IF(AND($C49="Assured",K$45&gt;=$C$25),$C$24,INDEX(Assumptions!$D$44:$D$46,MATCH($C49,Assumptions!$A$44:$A$46,0)))</f>
        <v>27000</v>
      </c>
      <c r="L93" s="23" t="n">
        <f aca="false">L49*IF(AND($C49="Assured",L$45&gt;=$C$25),$C$24,INDEX(Assumptions!$D$44:$D$46,MATCH($C49,Assumptions!$A$44:$A$46,0)))</f>
        <v>27000</v>
      </c>
      <c r="M93" s="23" t="n">
        <f aca="false">M49*IF(AND($C49="Assured",M$45&gt;=$C$25),$C$24,INDEX(Assumptions!$D$44:$D$46,MATCH($C49,Assumptions!$A$44:$A$46,0)))</f>
        <v>27000</v>
      </c>
      <c r="N93" s="23" t="n">
        <f aca="false">N49*IF(AND($C49="Assured",N$45&gt;=$C$25),$C$24,INDEX(Assumptions!$D$44:$D$46,MATCH($C49,Assumptions!$A$44:$A$46,0)))</f>
        <v>27000</v>
      </c>
      <c r="O93" s="23" t="n">
        <f aca="false">O49*IF(AND($C49="Assured",O$45&gt;=$C$25),$C$24,INDEX(Assumptions!$D$44:$D$46,MATCH($C49,Assumptions!$A$44:$A$46,0)))</f>
        <v>27000</v>
      </c>
      <c r="P93" s="23" t="n">
        <f aca="false">P49*IF(AND($C49="Assured",P$45&gt;=$C$25),$C$24,INDEX(Assumptions!$D$44:$D$46,MATCH($C49,Assumptions!$A$44:$A$46,0)))</f>
        <v>27000</v>
      </c>
      <c r="Q93" s="23" t="n">
        <f aca="false">Q49*IF(AND($C49="Assured",Q$45&gt;=$C$25),$C$24,INDEX(Assumptions!$D$44:$D$46,MATCH($C49,Assumptions!$A$44:$A$46,0)))</f>
        <v>24000</v>
      </c>
      <c r="R93" s="23" t="n">
        <f aca="false">R49*IF(AND($C49="Assured",R$45&gt;=$C$25),$C$24,INDEX(Assumptions!$D$44:$D$46,MATCH($C49,Assumptions!$A$44:$A$46,0)))</f>
        <v>24000</v>
      </c>
      <c r="S93" s="23" t="n">
        <f aca="false">S49*IF(AND($C49="Assured",S$45&gt;=$C$25),$C$24,INDEX(Assumptions!$D$44:$D$46,MATCH($C49,Assumptions!$A$44:$A$46,0)))</f>
        <v>24000</v>
      </c>
      <c r="T93" s="23" t="n">
        <f aca="false">T49*IF(AND($C49="Assured",T$45&gt;=$C$25),$C$24,INDEX(Assumptions!$D$44:$D$46,MATCH($C49,Assumptions!$A$44:$A$46,0)))</f>
        <v>24000</v>
      </c>
      <c r="U93" s="23" t="n">
        <f aca="false">U49*IF(AND($C49="Assured",U$45&gt;=$C$25),$C$24,INDEX(Assumptions!$D$44:$D$46,MATCH($C49,Assumptions!$A$44:$A$46,0)))</f>
        <v>24000</v>
      </c>
      <c r="V93" s="23" t="n">
        <f aca="false">V49*IF(AND($C49="Assured",V$45&gt;=$C$25),$C$24,INDEX(Assumptions!$D$44:$D$46,MATCH($C49,Assumptions!$A$44:$A$46,0)))</f>
        <v>24000</v>
      </c>
      <c r="W93" s="23" t="n">
        <f aca="false">W49*IF(AND($C49="Assured",W$45&gt;=$C$25),$C$24,INDEX(Assumptions!$D$44:$D$46,MATCH($C49,Assumptions!$A$44:$A$46,0)))</f>
        <v>24000</v>
      </c>
      <c r="X93" s="23" t="n">
        <f aca="false">X49*IF(AND($C49="Assured",X$45&gt;=$C$25),$C$24,INDEX(Assumptions!$D$44:$D$46,MATCH($C49,Assumptions!$A$44:$A$46,0)))</f>
        <v>24000</v>
      </c>
      <c r="Y93" s="23" t="n">
        <f aca="false">Y49*IF(AND($C49="Assured",Y$45&gt;=$C$25),$C$24,INDEX(Assumptions!$D$44:$D$46,MATCH($C49,Assumptions!$A$44:$A$46,0)))</f>
        <v>24000</v>
      </c>
    </row>
    <row r="94" customFormat="false" ht="15" hidden="false" customHeight="false" outlineLevel="0" collapsed="false">
      <c r="A94" s="2" t="n">
        <f aca="false">A50</f>
        <v>3</v>
      </c>
      <c r="B94" s="2" t="str">
        <f aca="false">B50</f>
        <v>Pilot</v>
      </c>
      <c r="C94" s="2" t="str">
        <f aca="false">C50</f>
        <v>Assured</v>
      </c>
      <c r="D94" s="2"/>
      <c r="E94" s="2"/>
      <c r="F94" s="2"/>
      <c r="G94" s="2"/>
      <c r="H94" s="23" t="n">
        <f aca="false">H50*IF(AND($C50="Assured",H$45&gt;=$C$25),$C$24,INDEX(Assumptions!$D$44:$D$46,MATCH($C50,Assumptions!$A$44:$A$46,0)))</f>
        <v>23625</v>
      </c>
      <c r="I94" s="23" t="n">
        <f aca="false">I50*IF(AND($C50="Assured",I$45&gt;=$C$25),$C$24,INDEX(Assumptions!$D$44:$D$46,MATCH($C50,Assumptions!$A$44:$A$46,0)))</f>
        <v>24750</v>
      </c>
      <c r="J94" s="23" t="n">
        <f aca="false">J50*IF(AND($C50="Assured",J$45&gt;=$C$25),$C$24,INDEX(Assumptions!$D$44:$D$46,MATCH($C50,Assumptions!$A$44:$A$46,0)))</f>
        <v>25875</v>
      </c>
      <c r="K94" s="23" t="n">
        <f aca="false">K50*IF(AND($C50="Assured",K$45&gt;=$C$25),$C$24,INDEX(Assumptions!$D$44:$D$46,MATCH($C50,Assumptions!$A$44:$A$46,0)))</f>
        <v>27000</v>
      </c>
      <c r="L94" s="23" t="n">
        <f aca="false">L50*IF(AND($C50="Assured",L$45&gt;=$C$25),$C$24,INDEX(Assumptions!$D$44:$D$46,MATCH($C50,Assumptions!$A$44:$A$46,0)))</f>
        <v>27000</v>
      </c>
      <c r="M94" s="23" t="n">
        <f aca="false">M50*IF(AND($C50="Assured",M$45&gt;=$C$25),$C$24,INDEX(Assumptions!$D$44:$D$46,MATCH($C50,Assumptions!$A$44:$A$46,0)))</f>
        <v>27000</v>
      </c>
      <c r="N94" s="23" t="n">
        <f aca="false">N50*IF(AND($C50="Assured",N$45&gt;=$C$25),$C$24,INDEX(Assumptions!$D$44:$D$46,MATCH($C50,Assumptions!$A$44:$A$46,0)))</f>
        <v>27000</v>
      </c>
      <c r="O94" s="23" t="n">
        <f aca="false">O50*IF(AND($C50="Assured",O$45&gt;=$C$25),$C$24,INDEX(Assumptions!$D$44:$D$46,MATCH($C50,Assumptions!$A$44:$A$46,0)))</f>
        <v>27000</v>
      </c>
      <c r="P94" s="23" t="n">
        <f aca="false">P50*IF(AND($C50="Assured",P$45&gt;=$C$25),$C$24,INDEX(Assumptions!$D$44:$D$46,MATCH($C50,Assumptions!$A$44:$A$46,0)))</f>
        <v>27000</v>
      </c>
      <c r="Q94" s="23" t="n">
        <f aca="false">Q50*IF(AND($C50="Assured",Q$45&gt;=$C$25),$C$24,INDEX(Assumptions!$D$44:$D$46,MATCH($C50,Assumptions!$A$44:$A$46,0)))</f>
        <v>24000</v>
      </c>
      <c r="R94" s="23" t="n">
        <f aca="false">R50*IF(AND($C50="Assured",R$45&gt;=$C$25),$C$24,INDEX(Assumptions!$D$44:$D$46,MATCH($C50,Assumptions!$A$44:$A$46,0)))</f>
        <v>24000</v>
      </c>
      <c r="S94" s="23" t="n">
        <f aca="false">S50*IF(AND($C50="Assured",S$45&gt;=$C$25),$C$24,INDEX(Assumptions!$D$44:$D$46,MATCH($C50,Assumptions!$A$44:$A$46,0)))</f>
        <v>24000</v>
      </c>
      <c r="T94" s="23" t="n">
        <f aca="false">T50*IF(AND($C50="Assured",T$45&gt;=$C$25),$C$24,INDEX(Assumptions!$D$44:$D$46,MATCH($C50,Assumptions!$A$44:$A$46,0)))</f>
        <v>24000</v>
      </c>
      <c r="U94" s="23" t="n">
        <f aca="false">U50*IF(AND($C50="Assured",U$45&gt;=$C$25),$C$24,INDEX(Assumptions!$D$44:$D$46,MATCH($C50,Assumptions!$A$44:$A$46,0)))</f>
        <v>24000</v>
      </c>
      <c r="V94" s="23" t="n">
        <f aca="false">V50*IF(AND($C50="Assured",V$45&gt;=$C$25),$C$24,INDEX(Assumptions!$D$44:$D$46,MATCH($C50,Assumptions!$A$44:$A$46,0)))</f>
        <v>24000</v>
      </c>
      <c r="W94" s="23" t="n">
        <f aca="false">W50*IF(AND($C50="Assured",W$45&gt;=$C$25),$C$24,INDEX(Assumptions!$D$44:$D$46,MATCH($C50,Assumptions!$A$44:$A$46,0)))</f>
        <v>24000</v>
      </c>
      <c r="X94" s="23" t="n">
        <f aca="false">X50*IF(AND($C50="Assured",X$45&gt;=$C$25),$C$24,INDEX(Assumptions!$D$44:$D$46,MATCH($C50,Assumptions!$A$44:$A$46,0)))</f>
        <v>24000</v>
      </c>
      <c r="Y94" s="23" t="n">
        <f aca="false">Y50*IF(AND($C50="Assured",Y$45&gt;=$C$25),$C$24,INDEX(Assumptions!$D$44:$D$46,MATCH($C50,Assumptions!$A$44:$A$46,0)))</f>
        <v>24000</v>
      </c>
    </row>
    <row r="95" customFormat="false" ht="15" hidden="false" customHeight="false" outlineLevel="0" collapsed="false">
      <c r="A95" s="2" t="n">
        <f aca="false">A51</f>
        <v>4</v>
      </c>
      <c r="B95" s="2" t="str">
        <f aca="false">B51</f>
        <v>Pilot</v>
      </c>
      <c r="C95" s="2" t="str">
        <f aca="false">C51</f>
        <v>Assured</v>
      </c>
      <c r="D95" s="2"/>
      <c r="E95" s="2"/>
      <c r="F95" s="2"/>
      <c r="G95" s="2"/>
      <c r="H95" s="23" t="n">
        <f aca="false">H51*IF(AND($C51="Assured",H$45&gt;=$C$25),$C$24,INDEX(Assumptions!$D$44:$D$46,MATCH($C51,Assumptions!$A$44:$A$46,0)))</f>
        <v>23625</v>
      </c>
      <c r="I95" s="23" t="n">
        <f aca="false">I51*IF(AND($C51="Assured",I$45&gt;=$C$25),$C$24,INDEX(Assumptions!$D$44:$D$46,MATCH($C51,Assumptions!$A$44:$A$46,0)))</f>
        <v>24750</v>
      </c>
      <c r="J95" s="23" t="n">
        <f aca="false">J51*IF(AND($C51="Assured",J$45&gt;=$C$25),$C$24,INDEX(Assumptions!$D$44:$D$46,MATCH($C51,Assumptions!$A$44:$A$46,0)))</f>
        <v>25875</v>
      </c>
      <c r="K95" s="23" t="n">
        <f aca="false">K51*IF(AND($C51="Assured",K$45&gt;=$C$25),$C$24,INDEX(Assumptions!$D$44:$D$46,MATCH($C51,Assumptions!$A$44:$A$46,0)))</f>
        <v>27000</v>
      </c>
      <c r="L95" s="23" t="n">
        <f aca="false">L51*IF(AND($C51="Assured",L$45&gt;=$C$25),$C$24,INDEX(Assumptions!$D$44:$D$46,MATCH($C51,Assumptions!$A$44:$A$46,0)))</f>
        <v>27000</v>
      </c>
      <c r="M95" s="23" t="n">
        <f aca="false">M51*IF(AND($C51="Assured",M$45&gt;=$C$25),$C$24,INDEX(Assumptions!$D$44:$D$46,MATCH($C51,Assumptions!$A$44:$A$46,0)))</f>
        <v>27000</v>
      </c>
      <c r="N95" s="23" t="n">
        <f aca="false">N51*IF(AND($C51="Assured",N$45&gt;=$C$25),$C$24,INDEX(Assumptions!$D$44:$D$46,MATCH($C51,Assumptions!$A$44:$A$46,0)))</f>
        <v>27000</v>
      </c>
      <c r="O95" s="23" t="n">
        <f aca="false">O51*IF(AND($C51="Assured",O$45&gt;=$C$25),$C$24,INDEX(Assumptions!$D$44:$D$46,MATCH($C51,Assumptions!$A$44:$A$46,0)))</f>
        <v>27000</v>
      </c>
      <c r="P95" s="23" t="n">
        <f aca="false">P51*IF(AND($C51="Assured",P$45&gt;=$C$25),$C$24,INDEX(Assumptions!$D$44:$D$46,MATCH($C51,Assumptions!$A$44:$A$46,0)))</f>
        <v>27000</v>
      </c>
      <c r="Q95" s="23" t="n">
        <f aca="false">Q51*IF(AND($C51="Assured",Q$45&gt;=$C$25),$C$24,INDEX(Assumptions!$D$44:$D$46,MATCH($C51,Assumptions!$A$44:$A$46,0)))</f>
        <v>24000</v>
      </c>
      <c r="R95" s="23" t="n">
        <f aca="false">R51*IF(AND($C51="Assured",R$45&gt;=$C$25),$C$24,INDEX(Assumptions!$D$44:$D$46,MATCH($C51,Assumptions!$A$44:$A$46,0)))</f>
        <v>24000</v>
      </c>
      <c r="S95" s="23" t="n">
        <f aca="false">S51*IF(AND($C51="Assured",S$45&gt;=$C$25),$C$24,INDEX(Assumptions!$D$44:$D$46,MATCH($C51,Assumptions!$A$44:$A$46,0)))</f>
        <v>24000</v>
      </c>
      <c r="T95" s="23" t="n">
        <f aca="false">T51*IF(AND($C51="Assured",T$45&gt;=$C$25),$C$24,INDEX(Assumptions!$D$44:$D$46,MATCH($C51,Assumptions!$A$44:$A$46,0)))</f>
        <v>24000</v>
      </c>
      <c r="U95" s="23" t="n">
        <f aca="false">U51*IF(AND($C51="Assured",U$45&gt;=$C$25),$C$24,INDEX(Assumptions!$D$44:$D$46,MATCH($C51,Assumptions!$A$44:$A$46,0)))</f>
        <v>24000</v>
      </c>
      <c r="V95" s="23" t="n">
        <f aca="false">V51*IF(AND($C51="Assured",V$45&gt;=$C$25),$C$24,INDEX(Assumptions!$D$44:$D$46,MATCH($C51,Assumptions!$A$44:$A$46,0)))</f>
        <v>24000</v>
      </c>
      <c r="W95" s="23" t="n">
        <f aca="false">W51*IF(AND($C51="Assured",W$45&gt;=$C$25),$C$24,INDEX(Assumptions!$D$44:$D$46,MATCH($C51,Assumptions!$A$44:$A$46,0)))</f>
        <v>24000</v>
      </c>
      <c r="X95" s="23" t="n">
        <f aca="false">X51*IF(AND($C51="Assured",X$45&gt;=$C$25),$C$24,INDEX(Assumptions!$D$44:$D$46,MATCH($C51,Assumptions!$A$44:$A$46,0)))</f>
        <v>24000</v>
      </c>
      <c r="Y95" s="23" t="n">
        <f aca="false">Y51*IF(AND($C51="Assured",Y$45&gt;=$C$25),$C$24,INDEX(Assumptions!$D$44:$D$46,MATCH($C51,Assumptions!$A$44:$A$46,0)))</f>
        <v>24000</v>
      </c>
    </row>
    <row r="96" customFormat="false" ht="15" hidden="false" customHeight="false" outlineLevel="0" collapsed="false">
      <c r="A96" s="2" t="n">
        <f aca="false">A52</f>
        <v>5</v>
      </c>
      <c r="B96" s="2" t="str">
        <f aca="false">B52</f>
        <v>A</v>
      </c>
      <c r="C96" s="2" t="str">
        <f aca="false">C52</f>
        <v>Assured</v>
      </c>
      <c r="D96" s="2"/>
      <c r="E96" s="2"/>
      <c r="F96" s="2"/>
      <c r="G96" s="2"/>
      <c r="H96" s="23" t="n">
        <f aca="false">H52*IF(AND($C52="Assured",H$45&gt;=$C$25),$C$24,INDEX(Assumptions!$D$44:$D$46,MATCH($C52,Assumptions!$A$44:$A$46,0)))</f>
        <v>0</v>
      </c>
      <c r="I96" s="23" t="n">
        <f aca="false">I52*IF(AND($C52="Assured",I$45&gt;=$C$25),$C$24,INDEX(Assumptions!$D$44:$D$46,MATCH($C52,Assumptions!$A$44:$A$46,0)))</f>
        <v>0</v>
      </c>
      <c r="J96" s="23" t="n">
        <f aca="false">J52*IF(AND($C52="Assured",J$45&gt;=$C$25),$C$24,INDEX(Assumptions!$D$44:$D$46,MATCH($C52,Assumptions!$A$44:$A$46,0)))</f>
        <v>8262</v>
      </c>
      <c r="K96" s="23" t="n">
        <f aca="false">K52*IF(AND($C52="Assured",K$45&gt;=$C$25),$C$24,INDEX(Assumptions!$D$44:$D$46,MATCH($C52,Assumptions!$A$44:$A$46,0)))</f>
        <v>16524</v>
      </c>
      <c r="L96" s="23" t="n">
        <f aca="false">L52*IF(AND($C52="Assured",L$45&gt;=$C$25),$C$24,INDEX(Assumptions!$D$44:$D$46,MATCH($C52,Assumptions!$A$44:$A$46,0)))</f>
        <v>23409</v>
      </c>
      <c r="M96" s="23" t="n">
        <f aca="false">M52*IF(AND($C52="Assured",M$45&gt;=$C$25),$C$24,INDEX(Assumptions!$D$44:$D$46,MATCH($C52,Assumptions!$A$44:$A$46,0)))</f>
        <v>27540</v>
      </c>
      <c r="N96" s="23" t="n">
        <f aca="false">N52*IF(AND($C52="Assured",N$45&gt;=$C$25),$C$24,INDEX(Assumptions!$D$44:$D$46,MATCH($C52,Assumptions!$A$44:$A$46,0)))</f>
        <v>27540</v>
      </c>
      <c r="O96" s="23" t="n">
        <f aca="false">O52*IF(AND($C52="Assured",O$45&gt;=$C$25),$C$24,INDEX(Assumptions!$D$44:$D$46,MATCH($C52,Assumptions!$A$44:$A$46,0)))</f>
        <v>27540</v>
      </c>
      <c r="P96" s="23" t="n">
        <f aca="false">P52*IF(AND($C52="Assured",P$45&gt;=$C$25),$C$24,INDEX(Assumptions!$D$44:$D$46,MATCH($C52,Assumptions!$A$44:$A$46,0)))</f>
        <v>27540</v>
      </c>
      <c r="Q96" s="23" t="n">
        <f aca="false">Q52*IF(AND($C52="Assured",Q$45&gt;=$C$25),$C$24,INDEX(Assumptions!$D$44:$D$46,MATCH($C52,Assumptions!$A$44:$A$46,0)))</f>
        <v>24480</v>
      </c>
      <c r="R96" s="23" t="n">
        <f aca="false">R52*IF(AND($C52="Assured",R$45&gt;=$C$25),$C$24,INDEX(Assumptions!$D$44:$D$46,MATCH($C52,Assumptions!$A$44:$A$46,0)))</f>
        <v>24480</v>
      </c>
      <c r="S96" s="23" t="n">
        <f aca="false">S52*IF(AND($C52="Assured",S$45&gt;=$C$25),$C$24,INDEX(Assumptions!$D$44:$D$46,MATCH($C52,Assumptions!$A$44:$A$46,0)))</f>
        <v>24480</v>
      </c>
      <c r="T96" s="23" t="n">
        <f aca="false">T52*IF(AND($C52="Assured",T$45&gt;=$C$25),$C$24,INDEX(Assumptions!$D$44:$D$46,MATCH($C52,Assumptions!$A$44:$A$46,0)))</f>
        <v>24480</v>
      </c>
      <c r="U96" s="23" t="n">
        <f aca="false">U52*IF(AND($C52="Assured",U$45&gt;=$C$25),$C$24,INDEX(Assumptions!$D$44:$D$46,MATCH($C52,Assumptions!$A$44:$A$46,0)))</f>
        <v>24480</v>
      </c>
      <c r="V96" s="23" t="n">
        <f aca="false">V52*IF(AND($C52="Assured",V$45&gt;=$C$25),$C$24,INDEX(Assumptions!$D$44:$D$46,MATCH($C52,Assumptions!$A$44:$A$46,0)))</f>
        <v>24480</v>
      </c>
      <c r="W96" s="23" t="n">
        <f aca="false">W52*IF(AND($C52="Assured",W$45&gt;=$C$25),$C$24,INDEX(Assumptions!$D$44:$D$46,MATCH($C52,Assumptions!$A$44:$A$46,0)))</f>
        <v>24480</v>
      </c>
      <c r="X96" s="23" t="n">
        <f aca="false">X52*IF(AND($C52="Assured",X$45&gt;=$C$25),$C$24,INDEX(Assumptions!$D$44:$D$46,MATCH($C52,Assumptions!$A$44:$A$46,0)))</f>
        <v>24480</v>
      </c>
      <c r="Y96" s="23" t="n">
        <f aca="false">Y52*IF(AND($C52="Assured",Y$45&gt;=$C$25),$C$24,INDEX(Assumptions!$D$44:$D$46,MATCH($C52,Assumptions!$A$44:$A$46,0)))</f>
        <v>24480</v>
      </c>
    </row>
    <row r="97" customFormat="false" ht="15" hidden="false" customHeight="false" outlineLevel="0" collapsed="false">
      <c r="A97" s="2" t="n">
        <f aca="false">A53</f>
        <v>6</v>
      </c>
      <c r="B97" s="2" t="str">
        <f aca="false">B53</f>
        <v>A</v>
      </c>
      <c r="C97" s="2" t="str">
        <f aca="false">C53</f>
        <v>Assured</v>
      </c>
      <c r="D97" s="2"/>
      <c r="E97" s="2"/>
      <c r="F97" s="2"/>
      <c r="G97" s="2"/>
      <c r="H97" s="23" t="n">
        <f aca="false">H53*IF(AND($C53="Assured",H$45&gt;=$C$25),$C$24,INDEX(Assumptions!$D$44:$D$46,MATCH($C53,Assumptions!$A$44:$A$46,0)))</f>
        <v>0</v>
      </c>
      <c r="I97" s="23" t="n">
        <f aca="false">I53*IF(AND($C53="Assured",I$45&gt;=$C$25),$C$24,INDEX(Assumptions!$D$44:$D$46,MATCH($C53,Assumptions!$A$44:$A$46,0)))</f>
        <v>0</v>
      </c>
      <c r="J97" s="23" t="n">
        <f aca="false">J53*IF(AND($C53="Assured",J$45&gt;=$C$25),$C$24,INDEX(Assumptions!$D$44:$D$46,MATCH($C53,Assumptions!$A$44:$A$46,0)))</f>
        <v>8262</v>
      </c>
      <c r="K97" s="23" t="n">
        <f aca="false">K53*IF(AND($C53="Assured",K$45&gt;=$C$25),$C$24,INDEX(Assumptions!$D$44:$D$46,MATCH($C53,Assumptions!$A$44:$A$46,0)))</f>
        <v>16524</v>
      </c>
      <c r="L97" s="23" t="n">
        <f aca="false">L53*IF(AND($C53="Assured",L$45&gt;=$C$25),$C$24,INDEX(Assumptions!$D$44:$D$46,MATCH($C53,Assumptions!$A$44:$A$46,0)))</f>
        <v>23409</v>
      </c>
      <c r="M97" s="23" t="n">
        <f aca="false">M53*IF(AND($C53="Assured",M$45&gt;=$C$25),$C$24,INDEX(Assumptions!$D$44:$D$46,MATCH($C53,Assumptions!$A$44:$A$46,0)))</f>
        <v>27540</v>
      </c>
      <c r="N97" s="23" t="n">
        <f aca="false">N53*IF(AND($C53="Assured",N$45&gt;=$C$25),$C$24,INDEX(Assumptions!$D$44:$D$46,MATCH($C53,Assumptions!$A$44:$A$46,0)))</f>
        <v>27540</v>
      </c>
      <c r="O97" s="23" t="n">
        <f aca="false">O53*IF(AND($C53="Assured",O$45&gt;=$C$25),$C$24,INDEX(Assumptions!$D$44:$D$46,MATCH($C53,Assumptions!$A$44:$A$46,0)))</f>
        <v>27540</v>
      </c>
      <c r="P97" s="23" t="n">
        <f aca="false">P53*IF(AND($C53="Assured",P$45&gt;=$C$25),$C$24,INDEX(Assumptions!$D$44:$D$46,MATCH($C53,Assumptions!$A$44:$A$46,0)))</f>
        <v>27540</v>
      </c>
      <c r="Q97" s="23" t="n">
        <f aca="false">Q53*IF(AND($C53="Assured",Q$45&gt;=$C$25),$C$24,INDEX(Assumptions!$D$44:$D$46,MATCH($C53,Assumptions!$A$44:$A$46,0)))</f>
        <v>24480</v>
      </c>
      <c r="R97" s="23" t="n">
        <f aca="false">R53*IF(AND($C53="Assured",R$45&gt;=$C$25),$C$24,INDEX(Assumptions!$D$44:$D$46,MATCH($C53,Assumptions!$A$44:$A$46,0)))</f>
        <v>24480</v>
      </c>
      <c r="S97" s="23" t="n">
        <f aca="false">S53*IF(AND($C53="Assured",S$45&gt;=$C$25),$C$24,INDEX(Assumptions!$D$44:$D$46,MATCH($C53,Assumptions!$A$44:$A$46,0)))</f>
        <v>24480</v>
      </c>
      <c r="T97" s="23" t="n">
        <f aca="false">T53*IF(AND($C53="Assured",T$45&gt;=$C$25),$C$24,INDEX(Assumptions!$D$44:$D$46,MATCH($C53,Assumptions!$A$44:$A$46,0)))</f>
        <v>24480</v>
      </c>
      <c r="U97" s="23" t="n">
        <f aca="false">U53*IF(AND($C53="Assured",U$45&gt;=$C$25),$C$24,INDEX(Assumptions!$D$44:$D$46,MATCH($C53,Assumptions!$A$44:$A$46,0)))</f>
        <v>24480</v>
      </c>
      <c r="V97" s="23" t="n">
        <f aca="false">V53*IF(AND($C53="Assured",V$45&gt;=$C$25),$C$24,INDEX(Assumptions!$D$44:$D$46,MATCH($C53,Assumptions!$A$44:$A$46,0)))</f>
        <v>24480</v>
      </c>
      <c r="W97" s="23" t="n">
        <f aca="false">W53*IF(AND($C53="Assured",W$45&gt;=$C$25),$C$24,INDEX(Assumptions!$D$44:$D$46,MATCH($C53,Assumptions!$A$44:$A$46,0)))</f>
        <v>24480</v>
      </c>
      <c r="X97" s="23" t="n">
        <f aca="false">X53*IF(AND($C53="Assured",X$45&gt;=$C$25),$C$24,INDEX(Assumptions!$D$44:$D$46,MATCH($C53,Assumptions!$A$44:$A$46,0)))</f>
        <v>24480</v>
      </c>
      <c r="Y97" s="23" t="n">
        <f aca="false">Y53*IF(AND($C53="Assured",Y$45&gt;=$C$25),$C$24,INDEX(Assumptions!$D$44:$D$46,MATCH($C53,Assumptions!$A$44:$A$46,0)))</f>
        <v>24480</v>
      </c>
    </row>
    <row r="98" customFormat="false" ht="15" hidden="false" customHeight="false" outlineLevel="0" collapsed="false">
      <c r="A98" s="2" t="n">
        <f aca="false">A54</f>
        <v>7</v>
      </c>
      <c r="B98" s="2" t="str">
        <f aca="false">B54</f>
        <v>A</v>
      </c>
      <c r="C98" s="2" t="str">
        <f aca="false">C54</f>
        <v>Assured</v>
      </c>
      <c r="D98" s="2"/>
      <c r="E98" s="2"/>
      <c r="F98" s="2"/>
      <c r="G98" s="2"/>
      <c r="H98" s="23" t="n">
        <f aca="false">H54*IF(AND($C54="Assured",H$45&gt;=$C$25),$C$24,INDEX(Assumptions!$D$44:$D$46,MATCH($C54,Assumptions!$A$44:$A$46,0)))</f>
        <v>0</v>
      </c>
      <c r="I98" s="23" t="n">
        <f aca="false">I54*IF(AND($C54="Assured",I$45&gt;=$C$25),$C$24,INDEX(Assumptions!$D$44:$D$46,MATCH($C54,Assumptions!$A$44:$A$46,0)))</f>
        <v>0</v>
      </c>
      <c r="J98" s="23" t="n">
        <f aca="false">J54*IF(AND($C54="Assured",J$45&gt;=$C$25),$C$24,INDEX(Assumptions!$D$44:$D$46,MATCH($C54,Assumptions!$A$44:$A$46,0)))</f>
        <v>0</v>
      </c>
      <c r="K98" s="23" t="n">
        <f aca="false">K54*IF(AND($C54="Assured",K$45&gt;=$C$25),$C$24,INDEX(Assumptions!$D$44:$D$46,MATCH($C54,Assumptions!$A$44:$A$46,0)))</f>
        <v>8262</v>
      </c>
      <c r="L98" s="23" t="n">
        <f aca="false">L54*IF(AND($C54="Assured",L$45&gt;=$C$25),$C$24,INDEX(Assumptions!$D$44:$D$46,MATCH($C54,Assumptions!$A$44:$A$46,0)))</f>
        <v>16524</v>
      </c>
      <c r="M98" s="23" t="n">
        <f aca="false">M54*IF(AND($C54="Assured",M$45&gt;=$C$25),$C$24,INDEX(Assumptions!$D$44:$D$46,MATCH($C54,Assumptions!$A$44:$A$46,0)))</f>
        <v>23409</v>
      </c>
      <c r="N98" s="23" t="n">
        <f aca="false">N54*IF(AND($C54="Assured",N$45&gt;=$C$25),$C$24,INDEX(Assumptions!$D$44:$D$46,MATCH($C54,Assumptions!$A$44:$A$46,0)))</f>
        <v>27540</v>
      </c>
      <c r="O98" s="23" t="n">
        <f aca="false">O54*IF(AND($C54="Assured",O$45&gt;=$C$25),$C$24,INDEX(Assumptions!$D$44:$D$46,MATCH($C54,Assumptions!$A$44:$A$46,0)))</f>
        <v>27540</v>
      </c>
      <c r="P98" s="23" t="n">
        <f aca="false">P54*IF(AND($C54="Assured",P$45&gt;=$C$25),$C$24,INDEX(Assumptions!$D$44:$D$46,MATCH($C54,Assumptions!$A$44:$A$46,0)))</f>
        <v>27540</v>
      </c>
      <c r="Q98" s="23" t="n">
        <f aca="false">Q54*IF(AND($C54="Assured",Q$45&gt;=$C$25),$C$24,INDEX(Assumptions!$D$44:$D$46,MATCH($C54,Assumptions!$A$44:$A$46,0)))</f>
        <v>24480</v>
      </c>
      <c r="R98" s="23" t="n">
        <f aca="false">R54*IF(AND($C54="Assured",R$45&gt;=$C$25),$C$24,INDEX(Assumptions!$D$44:$D$46,MATCH($C54,Assumptions!$A$44:$A$46,0)))</f>
        <v>24480</v>
      </c>
      <c r="S98" s="23" t="n">
        <f aca="false">S54*IF(AND($C54="Assured",S$45&gt;=$C$25),$C$24,INDEX(Assumptions!$D$44:$D$46,MATCH($C54,Assumptions!$A$44:$A$46,0)))</f>
        <v>24480</v>
      </c>
      <c r="T98" s="23" t="n">
        <f aca="false">T54*IF(AND($C54="Assured",T$45&gt;=$C$25),$C$24,INDEX(Assumptions!$D$44:$D$46,MATCH($C54,Assumptions!$A$44:$A$46,0)))</f>
        <v>24480</v>
      </c>
      <c r="U98" s="23" t="n">
        <f aca="false">U54*IF(AND($C54="Assured",U$45&gt;=$C$25),$C$24,INDEX(Assumptions!$D$44:$D$46,MATCH($C54,Assumptions!$A$44:$A$46,0)))</f>
        <v>24480</v>
      </c>
      <c r="V98" s="23" t="n">
        <f aca="false">V54*IF(AND($C54="Assured",V$45&gt;=$C$25),$C$24,INDEX(Assumptions!$D$44:$D$46,MATCH($C54,Assumptions!$A$44:$A$46,0)))</f>
        <v>24480</v>
      </c>
      <c r="W98" s="23" t="n">
        <f aca="false">W54*IF(AND($C54="Assured",W$45&gt;=$C$25),$C$24,INDEX(Assumptions!$D$44:$D$46,MATCH($C54,Assumptions!$A$44:$A$46,0)))</f>
        <v>24480</v>
      </c>
      <c r="X98" s="23" t="n">
        <f aca="false">X54*IF(AND($C54="Assured",X$45&gt;=$C$25),$C$24,INDEX(Assumptions!$D$44:$D$46,MATCH($C54,Assumptions!$A$44:$A$46,0)))</f>
        <v>24480</v>
      </c>
      <c r="Y98" s="23" t="n">
        <f aca="false">Y54*IF(AND($C54="Assured",Y$45&gt;=$C$25),$C$24,INDEX(Assumptions!$D$44:$D$46,MATCH($C54,Assumptions!$A$44:$A$46,0)))</f>
        <v>24480</v>
      </c>
    </row>
    <row r="99" customFormat="false" ht="15" hidden="false" customHeight="false" outlineLevel="0" collapsed="false">
      <c r="A99" s="2" t="n">
        <f aca="false">A55</f>
        <v>8</v>
      </c>
      <c r="B99" s="2" t="str">
        <f aca="false">B55</f>
        <v>A</v>
      </c>
      <c r="C99" s="2" t="str">
        <f aca="false">C55</f>
        <v>Assured</v>
      </c>
      <c r="D99" s="2"/>
      <c r="E99" s="2"/>
      <c r="F99" s="2"/>
      <c r="G99" s="2"/>
      <c r="H99" s="23" t="n">
        <f aca="false">H55*IF(AND($C55="Assured",H$45&gt;=$C$25),$C$24,INDEX(Assumptions!$D$44:$D$46,MATCH($C55,Assumptions!$A$44:$A$46,0)))</f>
        <v>0</v>
      </c>
      <c r="I99" s="23" t="n">
        <f aca="false">I55*IF(AND($C55="Assured",I$45&gt;=$C$25),$C$24,INDEX(Assumptions!$D$44:$D$46,MATCH($C55,Assumptions!$A$44:$A$46,0)))</f>
        <v>0</v>
      </c>
      <c r="J99" s="23" t="n">
        <f aca="false">J55*IF(AND($C55="Assured",J$45&gt;=$C$25),$C$24,INDEX(Assumptions!$D$44:$D$46,MATCH($C55,Assumptions!$A$44:$A$46,0)))</f>
        <v>0</v>
      </c>
      <c r="K99" s="23" t="n">
        <f aca="false">K55*IF(AND($C55="Assured",K$45&gt;=$C$25),$C$24,INDEX(Assumptions!$D$44:$D$46,MATCH($C55,Assumptions!$A$44:$A$46,0)))</f>
        <v>8262</v>
      </c>
      <c r="L99" s="23" t="n">
        <f aca="false">L55*IF(AND($C55="Assured",L$45&gt;=$C$25),$C$24,INDEX(Assumptions!$D$44:$D$46,MATCH($C55,Assumptions!$A$44:$A$46,0)))</f>
        <v>16524</v>
      </c>
      <c r="M99" s="23" t="n">
        <f aca="false">M55*IF(AND($C55="Assured",M$45&gt;=$C$25),$C$24,INDEX(Assumptions!$D$44:$D$46,MATCH($C55,Assumptions!$A$44:$A$46,0)))</f>
        <v>23409</v>
      </c>
      <c r="N99" s="23" t="n">
        <f aca="false">N55*IF(AND($C55="Assured",N$45&gt;=$C$25),$C$24,INDEX(Assumptions!$D$44:$D$46,MATCH($C55,Assumptions!$A$44:$A$46,0)))</f>
        <v>27540</v>
      </c>
      <c r="O99" s="23" t="n">
        <f aca="false">O55*IF(AND($C55="Assured",O$45&gt;=$C$25),$C$24,INDEX(Assumptions!$D$44:$D$46,MATCH($C55,Assumptions!$A$44:$A$46,0)))</f>
        <v>27540</v>
      </c>
      <c r="P99" s="23" t="n">
        <f aca="false">P55*IF(AND($C55="Assured",P$45&gt;=$C$25),$C$24,INDEX(Assumptions!$D$44:$D$46,MATCH($C55,Assumptions!$A$44:$A$46,0)))</f>
        <v>27540</v>
      </c>
      <c r="Q99" s="23" t="n">
        <f aca="false">Q55*IF(AND($C55="Assured",Q$45&gt;=$C$25),$C$24,INDEX(Assumptions!$D$44:$D$46,MATCH($C55,Assumptions!$A$44:$A$46,0)))</f>
        <v>24480</v>
      </c>
      <c r="R99" s="23" t="n">
        <f aca="false">R55*IF(AND($C55="Assured",R$45&gt;=$C$25),$C$24,INDEX(Assumptions!$D$44:$D$46,MATCH($C55,Assumptions!$A$44:$A$46,0)))</f>
        <v>24480</v>
      </c>
      <c r="S99" s="23" t="n">
        <f aca="false">S55*IF(AND($C55="Assured",S$45&gt;=$C$25),$C$24,INDEX(Assumptions!$D$44:$D$46,MATCH($C55,Assumptions!$A$44:$A$46,0)))</f>
        <v>24480</v>
      </c>
      <c r="T99" s="23" t="n">
        <f aca="false">T55*IF(AND($C55="Assured",T$45&gt;=$C$25),$C$24,INDEX(Assumptions!$D$44:$D$46,MATCH($C55,Assumptions!$A$44:$A$46,0)))</f>
        <v>24480</v>
      </c>
      <c r="U99" s="23" t="n">
        <f aca="false">U55*IF(AND($C55="Assured",U$45&gt;=$C$25),$C$24,INDEX(Assumptions!$D$44:$D$46,MATCH($C55,Assumptions!$A$44:$A$46,0)))</f>
        <v>24480</v>
      </c>
      <c r="V99" s="23" t="n">
        <f aca="false">V55*IF(AND($C55="Assured",V$45&gt;=$C$25),$C$24,INDEX(Assumptions!$D$44:$D$46,MATCH($C55,Assumptions!$A$44:$A$46,0)))</f>
        <v>24480</v>
      </c>
      <c r="W99" s="23" t="n">
        <f aca="false">W55*IF(AND($C55="Assured",W$45&gt;=$C$25),$C$24,INDEX(Assumptions!$D$44:$D$46,MATCH($C55,Assumptions!$A$44:$A$46,0)))</f>
        <v>24480</v>
      </c>
      <c r="X99" s="23" t="n">
        <f aca="false">X55*IF(AND($C55="Assured",X$45&gt;=$C$25),$C$24,INDEX(Assumptions!$D$44:$D$46,MATCH($C55,Assumptions!$A$44:$A$46,0)))</f>
        <v>24480</v>
      </c>
      <c r="Y99" s="23" t="n">
        <f aca="false">Y55*IF(AND($C55="Assured",Y$45&gt;=$C$25),$C$24,INDEX(Assumptions!$D$44:$D$46,MATCH($C55,Assumptions!$A$44:$A$46,0)))</f>
        <v>24480</v>
      </c>
    </row>
    <row r="100" customFormat="false" ht="15" hidden="false" customHeight="false" outlineLevel="0" collapsed="false">
      <c r="A100" s="2" t="n">
        <f aca="false">A56</f>
        <v>9</v>
      </c>
      <c r="B100" s="2" t="str">
        <f aca="false">B56</f>
        <v>A</v>
      </c>
      <c r="C100" s="2" t="str">
        <f aca="false">C56</f>
        <v>Assured</v>
      </c>
      <c r="D100" s="2"/>
      <c r="E100" s="2"/>
      <c r="F100" s="2"/>
      <c r="G100" s="2"/>
      <c r="H100" s="23" t="n">
        <f aca="false">H56*IF(AND($C56="Assured",H$45&gt;=$C$25),$C$24,INDEX(Assumptions!$D$44:$D$46,MATCH($C56,Assumptions!$A$44:$A$46,0)))</f>
        <v>0</v>
      </c>
      <c r="I100" s="23" t="n">
        <f aca="false">I56*IF(AND($C56="Assured",I$45&gt;=$C$25),$C$24,INDEX(Assumptions!$D$44:$D$46,MATCH($C56,Assumptions!$A$44:$A$46,0)))</f>
        <v>0</v>
      </c>
      <c r="J100" s="23" t="n">
        <f aca="false">J56*IF(AND($C56="Assured",J$45&gt;=$C$25),$C$24,INDEX(Assumptions!$D$44:$D$46,MATCH($C56,Assumptions!$A$44:$A$46,0)))</f>
        <v>0</v>
      </c>
      <c r="K100" s="23" t="n">
        <f aca="false">K56*IF(AND($C56="Assured",K$45&gt;=$C$25),$C$24,INDEX(Assumptions!$D$44:$D$46,MATCH($C56,Assumptions!$A$44:$A$46,0)))</f>
        <v>0</v>
      </c>
      <c r="L100" s="23" t="n">
        <f aca="false">L56*IF(AND($C56="Assured",L$45&gt;=$C$25),$C$24,INDEX(Assumptions!$D$44:$D$46,MATCH($C56,Assumptions!$A$44:$A$46,0)))</f>
        <v>8262</v>
      </c>
      <c r="M100" s="23" t="n">
        <f aca="false">M56*IF(AND($C56="Assured",M$45&gt;=$C$25),$C$24,INDEX(Assumptions!$D$44:$D$46,MATCH($C56,Assumptions!$A$44:$A$46,0)))</f>
        <v>16524</v>
      </c>
      <c r="N100" s="23" t="n">
        <f aca="false">N56*IF(AND($C56="Assured",N$45&gt;=$C$25),$C$24,INDEX(Assumptions!$D$44:$D$46,MATCH($C56,Assumptions!$A$44:$A$46,0)))</f>
        <v>23409</v>
      </c>
      <c r="O100" s="23" t="n">
        <f aca="false">O56*IF(AND($C56="Assured",O$45&gt;=$C$25),$C$24,INDEX(Assumptions!$D$44:$D$46,MATCH($C56,Assumptions!$A$44:$A$46,0)))</f>
        <v>27540</v>
      </c>
      <c r="P100" s="23" t="n">
        <f aca="false">P56*IF(AND($C56="Assured",P$45&gt;=$C$25),$C$24,INDEX(Assumptions!$D$44:$D$46,MATCH($C56,Assumptions!$A$44:$A$46,0)))</f>
        <v>27540</v>
      </c>
      <c r="Q100" s="23" t="n">
        <f aca="false">Q56*IF(AND($C56="Assured",Q$45&gt;=$C$25),$C$24,INDEX(Assumptions!$D$44:$D$46,MATCH($C56,Assumptions!$A$44:$A$46,0)))</f>
        <v>24480</v>
      </c>
      <c r="R100" s="23" t="n">
        <f aca="false">R56*IF(AND($C56="Assured",R$45&gt;=$C$25),$C$24,INDEX(Assumptions!$D$44:$D$46,MATCH($C56,Assumptions!$A$44:$A$46,0)))</f>
        <v>24480</v>
      </c>
      <c r="S100" s="23" t="n">
        <f aca="false">S56*IF(AND($C56="Assured",S$45&gt;=$C$25),$C$24,INDEX(Assumptions!$D$44:$D$46,MATCH($C56,Assumptions!$A$44:$A$46,0)))</f>
        <v>24480</v>
      </c>
      <c r="T100" s="23" t="n">
        <f aca="false">T56*IF(AND($C56="Assured",T$45&gt;=$C$25),$C$24,INDEX(Assumptions!$D$44:$D$46,MATCH($C56,Assumptions!$A$44:$A$46,0)))</f>
        <v>24480</v>
      </c>
      <c r="U100" s="23" t="n">
        <f aca="false">U56*IF(AND($C56="Assured",U$45&gt;=$C$25),$C$24,INDEX(Assumptions!$D$44:$D$46,MATCH($C56,Assumptions!$A$44:$A$46,0)))</f>
        <v>24480</v>
      </c>
      <c r="V100" s="23" t="n">
        <f aca="false">V56*IF(AND($C56="Assured",V$45&gt;=$C$25),$C$24,INDEX(Assumptions!$D$44:$D$46,MATCH($C56,Assumptions!$A$44:$A$46,0)))</f>
        <v>24480</v>
      </c>
      <c r="W100" s="23" t="n">
        <f aca="false">W56*IF(AND($C56="Assured",W$45&gt;=$C$25),$C$24,INDEX(Assumptions!$D$44:$D$46,MATCH($C56,Assumptions!$A$44:$A$46,0)))</f>
        <v>24480</v>
      </c>
      <c r="X100" s="23" t="n">
        <f aca="false">X56*IF(AND($C56="Assured",X$45&gt;=$C$25),$C$24,INDEX(Assumptions!$D$44:$D$46,MATCH($C56,Assumptions!$A$44:$A$46,0)))</f>
        <v>24480</v>
      </c>
      <c r="Y100" s="23" t="n">
        <f aca="false">Y56*IF(AND($C56="Assured",Y$45&gt;=$C$25),$C$24,INDEX(Assumptions!$D$44:$D$46,MATCH($C56,Assumptions!$A$44:$A$46,0)))</f>
        <v>24480</v>
      </c>
    </row>
    <row r="101" customFormat="false" ht="15" hidden="false" customHeight="false" outlineLevel="0" collapsed="false">
      <c r="A101" s="2" t="n">
        <f aca="false">A57</f>
        <v>10</v>
      </c>
      <c r="B101" s="2" t="str">
        <f aca="false">B57</f>
        <v>C</v>
      </c>
      <c r="C101" s="2" t="str">
        <f aca="false">C57</f>
        <v>Assured</v>
      </c>
      <c r="D101" s="2"/>
      <c r="E101" s="2"/>
      <c r="F101" s="2"/>
      <c r="G101" s="2"/>
      <c r="H101" s="23" t="n">
        <f aca="false">H57*IF(AND($C57="Assured",H$45&gt;=$C$25),$C$24,INDEX(Assumptions!$D$44:$D$46,MATCH($C57,Assumptions!$A$44:$A$46,0)))</f>
        <v>0</v>
      </c>
      <c r="I101" s="23" t="n">
        <f aca="false">I57*IF(AND($C57="Assured",I$45&gt;=$C$25),$C$24,INDEX(Assumptions!$D$44:$D$46,MATCH($C57,Assumptions!$A$44:$A$46,0)))</f>
        <v>0</v>
      </c>
      <c r="J101" s="23" t="n">
        <f aca="false">J57*IF(AND($C57="Assured",J$45&gt;=$C$25),$C$24,INDEX(Assumptions!$D$44:$D$46,MATCH($C57,Assumptions!$A$44:$A$46,0)))</f>
        <v>0</v>
      </c>
      <c r="K101" s="23" t="n">
        <f aca="false">K57*IF(AND($C57="Assured",K$45&gt;=$C$25),$C$24,INDEX(Assumptions!$D$44:$D$46,MATCH($C57,Assumptions!$A$44:$A$46,0)))</f>
        <v>0</v>
      </c>
      <c r="L101" s="23" t="n">
        <f aca="false">L57*IF(AND($C57="Assured",L$45&gt;=$C$25),$C$24,INDEX(Assumptions!$D$44:$D$46,MATCH($C57,Assumptions!$A$44:$A$46,0)))</f>
        <v>0</v>
      </c>
      <c r="M101" s="23" t="n">
        <f aca="false">M57*IF(AND($C57="Assured",M$45&gt;=$C$25),$C$24,INDEX(Assumptions!$D$44:$D$46,MATCH($C57,Assumptions!$A$44:$A$46,0)))</f>
        <v>8950.5</v>
      </c>
      <c r="N101" s="23" t="n">
        <f aca="false">N57*IF(AND($C57="Assured",N$45&gt;=$C$25),$C$24,INDEX(Assumptions!$D$44:$D$46,MATCH($C57,Assumptions!$A$44:$A$46,0)))</f>
        <v>17901</v>
      </c>
      <c r="O101" s="23" t="n">
        <f aca="false">O57*IF(AND($C57="Assured",O$45&gt;=$C$25),$C$24,INDEX(Assumptions!$D$44:$D$46,MATCH($C57,Assumptions!$A$44:$A$46,0)))</f>
        <v>25359.75</v>
      </c>
      <c r="P101" s="23" t="n">
        <f aca="false">P57*IF(AND($C57="Assured",P$45&gt;=$C$25),$C$24,INDEX(Assumptions!$D$44:$D$46,MATCH($C57,Assumptions!$A$44:$A$46,0)))</f>
        <v>29835</v>
      </c>
      <c r="Q101" s="23" t="n">
        <f aca="false">Q57*IF(AND($C57="Assured",Q$45&gt;=$C$25),$C$24,INDEX(Assumptions!$D$44:$D$46,MATCH($C57,Assumptions!$A$44:$A$46,0)))</f>
        <v>26520</v>
      </c>
      <c r="R101" s="23" t="n">
        <f aca="false">R57*IF(AND($C57="Assured",R$45&gt;=$C$25),$C$24,INDEX(Assumptions!$D$44:$D$46,MATCH($C57,Assumptions!$A$44:$A$46,0)))</f>
        <v>26520</v>
      </c>
      <c r="S101" s="23" t="n">
        <f aca="false">S57*IF(AND($C57="Assured",S$45&gt;=$C$25),$C$24,INDEX(Assumptions!$D$44:$D$46,MATCH($C57,Assumptions!$A$44:$A$46,0)))</f>
        <v>26520</v>
      </c>
      <c r="T101" s="23" t="n">
        <f aca="false">T57*IF(AND($C57="Assured",T$45&gt;=$C$25),$C$24,INDEX(Assumptions!$D$44:$D$46,MATCH($C57,Assumptions!$A$44:$A$46,0)))</f>
        <v>26520</v>
      </c>
      <c r="U101" s="23" t="n">
        <f aca="false">U57*IF(AND($C57="Assured",U$45&gt;=$C$25),$C$24,INDEX(Assumptions!$D$44:$D$46,MATCH($C57,Assumptions!$A$44:$A$46,0)))</f>
        <v>26520</v>
      </c>
      <c r="V101" s="23" t="n">
        <f aca="false">V57*IF(AND($C57="Assured",V$45&gt;=$C$25),$C$24,INDEX(Assumptions!$D$44:$D$46,MATCH($C57,Assumptions!$A$44:$A$46,0)))</f>
        <v>26520</v>
      </c>
      <c r="W101" s="23" t="n">
        <f aca="false">W57*IF(AND($C57="Assured",W$45&gt;=$C$25),$C$24,INDEX(Assumptions!$D$44:$D$46,MATCH($C57,Assumptions!$A$44:$A$46,0)))</f>
        <v>26520</v>
      </c>
      <c r="X101" s="23" t="n">
        <f aca="false">X57*IF(AND($C57="Assured",X$45&gt;=$C$25),$C$24,INDEX(Assumptions!$D$44:$D$46,MATCH($C57,Assumptions!$A$44:$A$46,0)))</f>
        <v>26520</v>
      </c>
      <c r="Y101" s="23" t="n">
        <f aca="false">Y57*IF(AND($C57="Assured",Y$45&gt;=$C$25),$C$24,INDEX(Assumptions!$D$44:$D$46,MATCH($C57,Assumptions!$A$44:$A$46,0)))</f>
        <v>26520</v>
      </c>
    </row>
    <row r="102" customFormat="false" ht="15" hidden="false" customHeight="false" outlineLevel="0" collapsed="false">
      <c r="A102" s="2" t="n">
        <f aca="false">A58</f>
        <v>11</v>
      </c>
      <c r="B102" s="2" t="str">
        <f aca="false">B58</f>
        <v>C</v>
      </c>
      <c r="C102" s="2" t="str">
        <f aca="false">C58</f>
        <v>Assured</v>
      </c>
      <c r="D102" s="2"/>
      <c r="E102" s="2"/>
      <c r="F102" s="2"/>
      <c r="G102" s="2"/>
      <c r="H102" s="23" t="n">
        <f aca="false">H58*IF(AND($C58="Assured",H$45&gt;=$C$25),$C$24,INDEX(Assumptions!$D$44:$D$46,MATCH($C58,Assumptions!$A$44:$A$46,0)))</f>
        <v>0</v>
      </c>
      <c r="I102" s="23" t="n">
        <f aca="false">I58*IF(AND($C58="Assured",I$45&gt;=$C$25),$C$24,INDEX(Assumptions!$D$44:$D$46,MATCH($C58,Assumptions!$A$44:$A$46,0)))</f>
        <v>0</v>
      </c>
      <c r="J102" s="23" t="n">
        <f aca="false">J58*IF(AND($C58="Assured",J$45&gt;=$C$25),$C$24,INDEX(Assumptions!$D$44:$D$46,MATCH($C58,Assumptions!$A$44:$A$46,0)))</f>
        <v>0</v>
      </c>
      <c r="K102" s="23" t="n">
        <f aca="false">K58*IF(AND($C58="Assured",K$45&gt;=$C$25),$C$24,INDEX(Assumptions!$D$44:$D$46,MATCH($C58,Assumptions!$A$44:$A$46,0)))</f>
        <v>0</v>
      </c>
      <c r="L102" s="23" t="n">
        <f aca="false">L58*IF(AND($C58="Assured",L$45&gt;=$C$25),$C$24,INDEX(Assumptions!$D$44:$D$46,MATCH($C58,Assumptions!$A$44:$A$46,0)))</f>
        <v>0</v>
      </c>
      <c r="M102" s="23" t="n">
        <f aca="false">M58*IF(AND($C58="Assured",M$45&gt;=$C$25),$C$24,INDEX(Assumptions!$D$44:$D$46,MATCH($C58,Assumptions!$A$44:$A$46,0)))</f>
        <v>0</v>
      </c>
      <c r="N102" s="23" t="n">
        <f aca="false">N58*IF(AND($C58="Assured",N$45&gt;=$C$25),$C$24,INDEX(Assumptions!$D$44:$D$46,MATCH($C58,Assumptions!$A$44:$A$46,0)))</f>
        <v>8950.5</v>
      </c>
      <c r="O102" s="23" t="n">
        <f aca="false">O58*IF(AND($C58="Assured",O$45&gt;=$C$25),$C$24,INDEX(Assumptions!$D$44:$D$46,MATCH($C58,Assumptions!$A$44:$A$46,0)))</f>
        <v>17901</v>
      </c>
      <c r="P102" s="23" t="n">
        <f aca="false">P58*IF(AND($C58="Assured",P$45&gt;=$C$25),$C$24,INDEX(Assumptions!$D$44:$D$46,MATCH($C58,Assumptions!$A$44:$A$46,0)))</f>
        <v>25359.75</v>
      </c>
      <c r="Q102" s="23" t="n">
        <f aca="false">Q58*IF(AND($C58="Assured",Q$45&gt;=$C$25),$C$24,INDEX(Assumptions!$D$44:$D$46,MATCH($C58,Assumptions!$A$44:$A$46,0)))</f>
        <v>26520</v>
      </c>
      <c r="R102" s="23" t="n">
        <f aca="false">R58*IF(AND($C58="Assured",R$45&gt;=$C$25),$C$24,INDEX(Assumptions!$D$44:$D$46,MATCH($C58,Assumptions!$A$44:$A$46,0)))</f>
        <v>26520</v>
      </c>
      <c r="S102" s="23" t="n">
        <f aca="false">S58*IF(AND($C58="Assured",S$45&gt;=$C$25),$C$24,INDEX(Assumptions!$D$44:$D$46,MATCH($C58,Assumptions!$A$44:$A$46,0)))</f>
        <v>26520</v>
      </c>
      <c r="T102" s="23" t="n">
        <f aca="false">T58*IF(AND($C58="Assured",T$45&gt;=$C$25),$C$24,INDEX(Assumptions!$D$44:$D$46,MATCH($C58,Assumptions!$A$44:$A$46,0)))</f>
        <v>26520</v>
      </c>
      <c r="U102" s="23" t="n">
        <f aca="false">U58*IF(AND($C58="Assured",U$45&gt;=$C$25),$C$24,INDEX(Assumptions!$D$44:$D$46,MATCH($C58,Assumptions!$A$44:$A$46,0)))</f>
        <v>26520</v>
      </c>
      <c r="V102" s="23" t="n">
        <f aca="false">V58*IF(AND($C58="Assured",V$45&gt;=$C$25),$C$24,INDEX(Assumptions!$D$44:$D$46,MATCH($C58,Assumptions!$A$44:$A$46,0)))</f>
        <v>26520</v>
      </c>
      <c r="W102" s="23" t="n">
        <f aca="false">W58*IF(AND($C58="Assured",W$45&gt;=$C$25),$C$24,INDEX(Assumptions!$D$44:$D$46,MATCH($C58,Assumptions!$A$44:$A$46,0)))</f>
        <v>26520</v>
      </c>
      <c r="X102" s="23" t="n">
        <f aca="false">X58*IF(AND($C58="Assured",X$45&gt;=$C$25),$C$24,INDEX(Assumptions!$D$44:$D$46,MATCH($C58,Assumptions!$A$44:$A$46,0)))</f>
        <v>26520</v>
      </c>
      <c r="Y102" s="23" t="n">
        <f aca="false">Y58*IF(AND($C58="Assured",Y$45&gt;=$C$25),$C$24,INDEX(Assumptions!$D$44:$D$46,MATCH($C58,Assumptions!$A$44:$A$46,0)))</f>
        <v>26520</v>
      </c>
    </row>
    <row r="103" customFormat="false" ht="15" hidden="false" customHeight="false" outlineLevel="0" collapsed="false">
      <c r="A103" s="2" t="n">
        <f aca="false">A59</f>
        <v>12</v>
      </c>
      <c r="B103" s="2" t="str">
        <f aca="false">B59</f>
        <v>C</v>
      </c>
      <c r="C103" s="2" t="str">
        <f aca="false">C59</f>
        <v>Assured</v>
      </c>
      <c r="D103" s="2"/>
      <c r="E103" s="2"/>
      <c r="F103" s="2"/>
      <c r="G103" s="2"/>
      <c r="H103" s="23" t="n">
        <f aca="false">H59*IF(AND($C59="Assured",H$45&gt;=$C$25),$C$24,INDEX(Assumptions!$D$44:$D$46,MATCH($C59,Assumptions!$A$44:$A$46,0)))</f>
        <v>0</v>
      </c>
      <c r="I103" s="23" t="n">
        <f aca="false">I59*IF(AND($C59="Assured",I$45&gt;=$C$25),$C$24,INDEX(Assumptions!$D$44:$D$46,MATCH($C59,Assumptions!$A$44:$A$46,0)))</f>
        <v>0</v>
      </c>
      <c r="J103" s="23" t="n">
        <f aca="false">J59*IF(AND($C59="Assured",J$45&gt;=$C$25),$C$24,INDEX(Assumptions!$D$44:$D$46,MATCH($C59,Assumptions!$A$44:$A$46,0)))</f>
        <v>0</v>
      </c>
      <c r="K103" s="23" t="n">
        <f aca="false">K59*IF(AND($C59="Assured",K$45&gt;=$C$25),$C$24,INDEX(Assumptions!$D$44:$D$46,MATCH($C59,Assumptions!$A$44:$A$46,0)))</f>
        <v>0</v>
      </c>
      <c r="L103" s="23" t="n">
        <f aca="false">L59*IF(AND($C59="Assured",L$45&gt;=$C$25),$C$24,INDEX(Assumptions!$D$44:$D$46,MATCH($C59,Assumptions!$A$44:$A$46,0)))</f>
        <v>0</v>
      </c>
      <c r="M103" s="23" t="n">
        <f aca="false">M59*IF(AND($C59="Assured",M$45&gt;=$C$25),$C$24,INDEX(Assumptions!$D$44:$D$46,MATCH($C59,Assumptions!$A$44:$A$46,0)))</f>
        <v>0</v>
      </c>
      <c r="N103" s="23" t="n">
        <f aca="false">N59*IF(AND($C59="Assured",N$45&gt;=$C$25),$C$24,INDEX(Assumptions!$D$44:$D$46,MATCH($C59,Assumptions!$A$44:$A$46,0)))</f>
        <v>8950.5</v>
      </c>
      <c r="O103" s="23" t="n">
        <f aca="false">O59*IF(AND($C59="Assured",O$45&gt;=$C$25),$C$24,INDEX(Assumptions!$D$44:$D$46,MATCH($C59,Assumptions!$A$44:$A$46,0)))</f>
        <v>17901</v>
      </c>
      <c r="P103" s="23" t="n">
        <f aca="false">P59*IF(AND($C59="Assured",P$45&gt;=$C$25),$C$24,INDEX(Assumptions!$D$44:$D$46,MATCH($C59,Assumptions!$A$44:$A$46,0)))</f>
        <v>25359.75</v>
      </c>
      <c r="Q103" s="23" t="n">
        <f aca="false">Q59*IF(AND($C59="Assured",Q$45&gt;=$C$25),$C$24,INDEX(Assumptions!$D$44:$D$46,MATCH($C59,Assumptions!$A$44:$A$46,0)))</f>
        <v>26520</v>
      </c>
      <c r="R103" s="23" t="n">
        <f aca="false">R59*IF(AND($C59="Assured",R$45&gt;=$C$25),$C$24,INDEX(Assumptions!$D$44:$D$46,MATCH($C59,Assumptions!$A$44:$A$46,0)))</f>
        <v>26520</v>
      </c>
      <c r="S103" s="23" t="n">
        <f aca="false">S59*IF(AND($C59="Assured",S$45&gt;=$C$25),$C$24,INDEX(Assumptions!$D$44:$D$46,MATCH($C59,Assumptions!$A$44:$A$46,0)))</f>
        <v>26520</v>
      </c>
      <c r="T103" s="23" t="n">
        <f aca="false">T59*IF(AND($C59="Assured",T$45&gt;=$C$25),$C$24,INDEX(Assumptions!$D$44:$D$46,MATCH($C59,Assumptions!$A$44:$A$46,0)))</f>
        <v>26520</v>
      </c>
      <c r="U103" s="23" t="n">
        <f aca="false">U59*IF(AND($C59="Assured",U$45&gt;=$C$25),$C$24,INDEX(Assumptions!$D$44:$D$46,MATCH($C59,Assumptions!$A$44:$A$46,0)))</f>
        <v>26520</v>
      </c>
      <c r="V103" s="23" t="n">
        <f aca="false">V59*IF(AND($C59="Assured",V$45&gt;=$C$25),$C$24,INDEX(Assumptions!$D$44:$D$46,MATCH($C59,Assumptions!$A$44:$A$46,0)))</f>
        <v>26520</v>
      </c>
      <c r="W103" s="23" t="n">
        <f aca="false">W59*IF(AND($C59="Assured",W$45&gt;=$C$25),$C$24,INDEX(Assumptions!$D$44:$D$46,MATCH($C59,Assumptions!$A$44:$A$46,0)))</f>
        <v>26520</v>
      </c>
      <c r="X103" s="23" t="n">
        <f aca="false">X59*IF(AND($C59="Assured",X$45&gt;=$C$25),$C$24,INDEX(Assumptions!$D$44:$D$46,MATCH($C59,Assumptions!$A$44:$A$46,0)))</f>
        <v>26520</v>
      </c>
      <c r="Y103" s="23" t="n">
        <f aca="false">Y59*IF(AND($C59="Assured",Y$45&gt;=$C$25),$C$24,INDEX(Assumptions!$D$44:$D$46,MATCH($C59,Assumptions!$A$44:$A$46,0)))</f>
        <v>26520</v>
      </c>
    </row>
    <row r="104" customFormat="false" ht="15" hidden="false" customHeight="false" outlineLevel="0" collapsed="false">
      <c r="A104" s="2" t="n">
        <f aca="false">A60</f>
        <v>13</v>
      </c>
      <c r="B104" s="2" t="str">
        <f aca="false">B60</f>
        <v>C</v>
      </c>
      <c r="C104" s="2" t="str">
        <f aca="false">C60</f>
        <v>Assured</v>
      </c>
      <c r="D104" s="2"/>
      <c r="E104" s="2"/>
      <c r="F104" s="2"/>
      <c r="G104" s="2"/>
      <c r="H104" s="23" t="n">
        <f aca="false">H60*IF(AND($C60="Assured",H$45&gt;=$C$25),$C$24,INDEX(Assumptions!$D$44:$D$46,MATCH($C60,Assumptions!$A$44:$A$46,0)))</f>
        <v>0</v>
      </c>
      <c r="I104" s="23" t="n">
        <f aca="false">I60*IF(AND($C60="Assured",I$45&gt;=$C$25),$C$24,INDEX(Assumptions!$D$44:$D$46,MATCH($C60,Assumptions!$A$44:$A$46,0)))</f>
        <v>0</v>
      </c>
      <c r="J104" s="23" t="n">
        <f aca="false">J60*IF(AND($C60="Assured",J$45&gt;=$C$25),$C$24,INDEX(Assumptions!$D$44:$D$46,MATCH($C60,Assumptions!$A$44:$A$46,0)))</f>
        <v>0</v>
      </c>
      <c r="K104" s="23" t="n">
        <f aca="false">K60*IF(AND($C60="Assured",K$45&gt;=$C$25),$C$24,INDEX(Assumptions!$D$44:$D$46,MATCH($C60,Assumptions!$A$44:$A$46,0)))</f>
        <v>0</v>
      </c>
      <c r="L104" s="23" t="n">
        <f aca="false">L60*IF(AND($C60="Assured",L$45&gt;=$C$25),$C$24,INDEX(Assumptions!$D$44:$D$46,MATCH($C60,Assumptions!$A$44:$A$46,0)))</f>
        <v>0</v>
      </c>
      <c r="M104" s="23" t="n">
        <f aca="false">M60*IF(AND($C60="Assured",M$45&gt;=$C$25),$C$24,INDEX(Assumptions!$D$44:$D$46,MATCH($C60,Assumptions!$A$44:$A$46,0)))</f>
        <v>0</v>
      </c>
      <c r="N104" s="23" t="n">
        <f aca="false">N60*IF(AND($C60="Assured",N$45&gt;=$C$25),$C$24,INDEX(Assumptions!$D$44:$D$46,MATCH($C60,Assumptions!$A$44:$A$46,0)))</f>
        <v>0</v>
      </c>
      <c r="O104" s="23" t="n">
        <f aca="false">O60*IF(AND($C60="Assured",O$45&gt;=$C$25),$C$24,INDEX(Assumptions!$D$44:$D$46,MATCH($C60,Assumptions!$A$44:$A$46,0)))</f>
        <v>8950.5</v>
      </c>
      <c r="P104" s="23" t="n">
        <f aca="false">P60*IF(AND($C60="Assured",P$45&gt;=$C$25),$C$24,INDEX(Assumptions!$D$44:$D$46,MATCH($C60,Assumptions!$A$44:$A$46,0)))</f>
        <v>17901</v>
      </c>
      <c r="Q104" s="23" t="n">
        <f aca="false">Q60*IF(AND($C60="Assured",Q$45&gt;=$C$25),$C$24,INDEX(Assumptions!$D$44:$D$46,MATCH($C60,Assumptions!$A$44:$A$46,0)))</f>
        <v>22542</v>
      </c>
      <c r="R104" s="23" t="n">
        <f aca="false">R60*IF(AND($C60="Assured",R$45&gt;=$C$25),$C$24,INDEX(Assumptions!$D$44:$D$46,MATCH($C60,Assumptions!$A$44:$A$46,0)))</f>
        <v>26520</v>
      </c>
      <c r="S104" s="23" t="n">
        <f aca="false">S60*IF(AND($C60="Assured",S$45&gt;=$C$25),$C$24,INDEX(Assumptions!$D$44:$D$46,MATCH($C60,Assumptions!$A$44:$A$46,0)))</f>
        <v>26520</v>
      </c>
      <c r="T104" s="23" t="n">
        <f aca="false">T60*IF(AND($C60="Assured",T$45&gt;=$C$25),$C$24,INDEX(Assumptions!$D$44:$D$46,MATCH($C60,Assumptions!$A$44:$A$46,0)))</f>
        <v>26520</v>
      </c>
      <c r="U104" s="23" t="n">
        <f aca="false">U60*IF(AND($C60="Assured",U$45&gt;=$C$25),$C$24,INDEX(Assumptions!$D$44:$D$46,MATCH($C60,Assumptions!$A$44:$A$46,0)))</f>
        <v>26520</v>
      </c>
      <c r="V104" s="23" t="n">
        <f aca="false">V60*IF(AND($C60="Assured",V$45&gt;=$C$25),$C$24,INDEX(Assumptions!$D$44:$D$46,MATCH($C60,Assumptions!$A$44:$A$46,0)))</f>
        <v>26520</v>
      </c>
      <c r="W104" s="23" t="n">
        <f aca="false">W60*IF(AND($C60="Assured",W$45&gt;=$C$25),$C$24,INDEX(Assumptions!$D$44:$D$46,MATCH($C60,Assumptions!$A$44:$A$46,0)))</f>
        <v>26520</v>
      </c>
      <c r="X104" s="23" t="n">
        <f aca="false">X60*IF(AND($C60="Assured",X$45&gt;=$C$25),$C$24,INDEX(Assumptions!$D$44:$D$46,MATCH($C60,Assumptions!$A$44:$A$46,0)))</f>
        <v>26520</v>
      </c>
      <c r="Y104" s="23" t="n">
        <f aca="false">Y60*IF(AND($C60="Assured",Y$45&gt;=$C$25),$C$24,INDEX(Assumptions!$D$44:$D$46,MATCH($C60,Assumptions!$A$44:$A$46,0)))</f>
        <v>26520</v>
      </c>
    </row>
    <row r="105" customFormat="false" ht="15" hidden="false" customHeight="false" outlineLevel="0" collapsed="false">
      <c r="A105" s="2" t="n">
        <f aca="false">A61</f>
        <v>14</v>
      </c>
      <c r="B105" s="2" t="str">
        <f aca="false">B61</f>
        <v>B</v>
      </c>
      <c r="C105" s="2" t="str">
        <f aca="false">C61</f>
        <v>Connect</v>
      </c>
      <c r="D105" s="2"/>
      <c r="E105" s="2"/>
      <c r="F105" s="2"/>
      <c r="G105" s="2"/>
      <c r="H105" s="23" t="n">
        <f aca="false">H61*IF(AND($C61="Assured",H$45&gt;=$C$25),$C$24,INDEX(Assumptions!$D$44:$D$46,MATCH($C61,Assumptions!$A$44:$A$46,0)))</f>
        <v>0</v>
      </c>
      <c r="I105" s="23" t="n">
        <f aca="false">I61*IF(AND($C61="Assured",I$45&gt;=$C$25),$C$24,INDEX(Assumptions!$D$44:$D$46,MATCH($C61,Assumptions!$A$44:$A$46,0)))</f>
        <v>0</v>
      </c>
      <c r="J105" s="23" t="n">
        <f aca="false">J61*IF(AND($C61="Assured",J$45&gt;=$C$25),$C$24,INDEX(Assumptions!$D$44:$D$46,MATCH($C61,Assumptions!$A$44:$A$46,0)))</f>
        <v>0</v>
      </c>
      <c r="K105" s="23" t="n">
        <f aca="false">K61*IF(AND($C61="Assured",K$45&gt;=$C$25),$C$24,INDEX(Assumptions!$D$44:$D$46,MATCH($C61,Assumptions!$A$44:$A$46,0)))</f>
        <v>0</v>
      </c>
      <c r="L105" s="23" t="n">
        <f aca="false">L61*IF(AND($C61="Assured",L$45&gt;=$C$25),$C$24,INDEX(Assumptions!$D$44:$D$46,MATCH($C61,Assumptions!$A$44:$A$46,0)))</f>
        <v>0</v>
      </c>
      <c r="M105" s="23" t="n">
        <f aca="false">M61*IF(AND($C61="Assured",M$45&gt;=$C$25),$C$24,INDEX(Assumptions!$D$44:$D$46,MATCH($C61,Assumptions!$A$44:$A$46,0)))</f>
        <v>0</v>
      </c>
      <c r="N105" s="23" t="n">
        <f aca="false">N61*IF(AND($C61="Assured",N$45&gt;=$C$25),$C$24,INDEX(Assumptions!$D$44:$D$46,MATCH($C61,Assumptions!$A$44:$A$46,0)))</f>
        <v>0</v>
      </c>
      <c r="O105" s="23" t="n">
        <f aca="false">O61*IF(AND($C61="Assured",O$45&gt;=$C$25),$C$24,INDEX(Assumptions!$D$44:$D$46,MATCH($C61,Assumptions!$A$44:$A$46,0)))</f>
        <v>0</v>
      </c>
      <c r="P105" s="23" t="n">
        <f aca="false">P61*IF(AND($C61="Assured",P$45&gt;=$C$25),$C$24,INDEX(Assumptions!$D$44:$D$46,MATCH($C61,Assumptions!$A$44:$A$46,0)))</f>
        <v>3060</v>
      </c>
      <c r="Q105" s="23" t="n">
        <f aca="false">Q61*IF(AND($C61="Assured",Q$45&gt;=$C$25),$C$24,INDEX(Assumptions!$D$44:$D$46,MATCH($C61,Assumptions!$A$44:$A$46,0)))</f>
        <v>6120</v>
      </c>
      <c r="R105" s="23" t="n">
        <f aca="false">R61*IF(AND($C61="Assured",R$45&gt;=$C$25),$C$24,INDEX(Assumptions!$D$44:$D$46,MATCH($C61,Assumptions!$A$44:$A$46,0)))</f>
        <v>8670</v>
      </c>
      <c r="S105" s="23" t="n">
        <f aca="false">S61*IF(AND($C61="Assured",S$45&gt;=$C$25),$C$24,INDEX(Assumptions!$D$44:$D$46,MATCH($C61,Assumptions!$A$44:$A$46,0)))</f>
        <v>10200</v>
      </c>
      <c r="T105" s="23" t="n">
        <f aca="false">T61*IF(AND($C61="Assured",T$45&gt;=$C$25),$C$24,INDEX(Assumptions!$D$44:$D$46,MATCH($C61,Assumptions!$A$44:$A$46,0)))</f>
        <v>10200</v>
      </c>
      <c r="U105" s="23" t="n">
        <f aca="false">U61*IF(AND($C61="Assured",U$45&gt;=$C$25),$C$24,INDEX(Assumptions!$D$44:$D$46,MATCH($C61,Assumptions!$A$44:$A$46,0)))</f>
        <v>10200</v>
      </c>
      <c r="V105" s="23" t="n">
        <f aca="false">V61*IF(AND($C61="Assured",V$45&gt;=$C$25),$C$24,INDEX(Assumptions!$D$44:$D$46,MATCH($C61,Assumptions!$A$44:$A$46,0)))</f>
        <v>10200</v>
      </c>
      <c r="W105" s="23" t="n">
        <f aca="false">W61*IF(AND($C61="Assured",W$45&gt;=$C$25),$C$24,INDEX(Assumptions!$D$44:$D$46,MATCH($C61,Assumptions!$A$44:$A$46,0)))</f>
        <v>10200</v>
      </c>
      <c r="X105" s="23" t="n">
        <f aca="false">X61*IF(AND($C61="Assured",X$45&gt;=$C$25),$C$24,INDEX(Assumptions!$D$44:$D$46,MATCH($C61,Assumptions!$A$44:$A$46,0)))</f>
        <v>10200</v>
      </c>
      <c r="Y105" s="23" t="n">
        <f aca="false">Y61*IF(AND($C61="Assured",Y$45&gt;=$C$25),$C$24,INDEX(Assumptions!$D$44:$D$46,MATCH($C61,Assumptions!$A$44:$A$46,0)))</f>
        <v>10200</v>
      </c>
    </row>
    <row r="106" customFormat="false" ht="15" hidden="false" customHeight="false" outlineLevel="0" collapsed="false">
      <c r="A106" s="2" t="n">
        <f aca="false">A62</f>
        <v>15</v>
      </c>
      <c r="B106" s="2" t="str">
        <f aca="false">B62</f>
        <v>B</v>
      </c>
      <c r="C106" s="2" t="str">
        <f aca="false">C62</f>
        <v>Connect</v>
      </c>
      <c r="D106" s="2"/>
      <c r="E106" s="2"/>
      <c r="F106" s="2"/>
      <c r="G106" s="2"/>
      <c r="H106" s="23" t="n">
        <f aca="false">H62*IF(AND($C62="Assured",H$45&gt;=$C$25),$C$24,INDEX(Assumptions!$D$44:$D$46,MATCH($C62,Assumptions!$A$44:$A$46,0)))</f>
        <v>0</v>
      </c>
      <c r="I106" s="23" t="n">
        <f aca="false">I62*IF(AND($C62="Assured",I$45&gt;=$C$25),$C$24,INDEX(Assumptions!$D$44:$D$46,MATCH($C62,Assumptions!$A$44:$A$46,0)))</f>
        <v>0</v>
      </c>
      <c r="J106" s="23" t="n">
        <f aca="false">J62*IF(AND($C62="Assured",J$45&gt;=$C$25),$C$24,INDEX(Assumptions!$D$44:$D$46,MATCH($C62,Assumptions!$A$44:$A$46,0)))</f>
        <v>0</v>
      </c>
      <c r="K106" s="23" t="n">
        <f aca="false">K62*IF(AND($C62="Assured",K$45&gt;=$C$25),$C$24,INDEX(Assumptions!$D$44:$D$46,MATCH($C62,Assumptions!$A$44:$A$46,0)))</f>
        <v>0</v>
      </c>
      <c r="L106" s="23" t="n">
        <f aca="false">L62*IF(AND($C62="Assured",L$45&gt;=$C$25),$C$24,INDEX(Assumptions!$D$44:$D$46,MATCH($C62,Assumptions!$A$44:$A$46,0)))</f>
        <v>0</v>
      </c>
      <c r="M106" s="23" t="n">
        <f aca="false">M62*IF(AND($C62="Assured",M$45&gt;=$C$25),$C$24,INDEX(Assumptions!$D$44:$D$46,MATCH($C62,Assumptions!$A$44:$A$46,0)))</f>
        <v>0</v>
      </c>
      <c r="N106" s="23" t="n">
        <f aca="false">N62*IF(AND($C62="Assured",N$45&gt;=$C$25),$C$24,INDEX(Assumptions!$D$44:$D$46,MATCH($C62,Assumptions!$A$44:$A$46,0)))</f>
        <v>0</v>
      </c>
      <c r="O106" s="23" t="n">
        <f aca="false">O62*IF(AND($C62="Assured",O$45&gt;=$C$25),$C$24,INDEX(Assumptions!$D$44:$D$46,MATCH($C62,Assumptions!$A$44:$A$46,0)))</f>
        <v>0</v>
      </c>
      <c r="P106" s="23" t="n">
        <f aca="false">P62*IF(AND($C62="Assured",P$45&gt;=$C$25),$C$24,INDEX(Assumptions!$D$44:$D$46,MATCH($C62,Assumptions!$A$44:$A$46,0)))</f>
        <v>0</v>
      </c>
      <c r="Q106" s="23" t="n">
        <f aca="false">Q62*IF(AND($C62="Assured",Q$45&gt;=$C$25),$C$24,INDEX(Assumptions!$D$44:$D$46,MATCH($C62,Assumptions!$A$44:$A$46,0)))</f>
        <v>3060</v>
      </c>
      <c r="R106" s="23" t="n">
        <f aca="false">R62*IF(AND($C62="Assured",R$45&gt;=$C$25),$C$24,INDEX(Assumptions!$D$44:$D$46,MATCH($C62,Assumptions!$A$44:$A$46,0)))</f>
        <v>6120</v>
      </c>
      <c r="S106" s="23" t="n">
        <f aca="false">S62*IF(AND($C62="Assured",S$45&gt;=$C$25),$C$24,INDEX(Assumptions!$D$44:$D$46,MATCH($C62,Assumptions!$A$44:$A$46,0)))</f>
        <v>8670</v>
      </c>
      <c r="T106" s="23" t="n">
        <f aca="false">T62*IF(AND($C62="Assured",T$45&gt;=$C$25),$C$24,INDEX(Assumptions!$D$44:$D$46,MATCH($C62,Assumptions!$A$44:$A$46,0)))</f>
        <v>10200</v>
      </c>
      <c r="U106" s="23" t="n">
        <f aca="false">U62*IF(AND($C62="Assured",U$45&gt;=$C$25),$C$24,INDEX(Assumptions!$D$44:$D$46,MATCH($C62,Assumptions!$A$44:$A$46,0)))</f>
        <v>10200</v>
      </c>
      <c r="V106" s="23" t="n">
        <f aca="false">V62*IF(AND($C62="Assured",V$45&gt;=$C$25),$C$24,INDEX(Assumptions!$D$44:$D$46,MATCH($C62,Assumptions!$A$44:$A$46,0)))</f>
        <v>10200</v>
      </c>
      <c r="W106" s="23" t="n">
        <f aca="false">W62*IF(AND($C62="Assured",W$45&gt;=$C$25),$C$24,INDEX(Assumptions!$D$44:$D$46,MATCH($C62,Assumptions!$A$44:$A$46,0)))</f>
        <v>10200</v>
      </c>
      <c r="X106" s="23" t="n">
        <f aca="false">X62*IF(AND($C62="Assured",X$45&gt;=$C$25),$C$24,INDEX(Assumptions!$D$44:$D$46,MATCH($C62,Assumptions!$A$44:$A$46,0)))</f>
        <v>10200</v>
      </c>
      <c r="Y106" s="23" t="n">
        <f aca="false">Y62*IF(AND($C62="Assured",Y$45&gt;=$C$25),$C$24,INDEX(Assumptions!$D$44:$D$46,MATCH($C62,Assumptions!$A$44:$A$46,0)))</f>
        <v>10200</v>
      </c>
    </row>
    <row r="107" customFormat="false" ht="15" hidden="false" customHeight="false" outlineLevel="0" collapsed="false">
      <c r="A107" s="2" t="n">
        <f aca="false">A63</f>
        <v>16</v>
      </c>
      <c r="B107" s="2" t="str">
        <f aca="false">B63</f>
        <v>B</v>
      </c>
      <c r="C107" s="2" t="str">
        <f aca="false">C63</f>
        <v>Connect</v>
      </c>
      <c r="D107" s="2"/>
      <c r="E107" s="2"/>
      <c r="F107" s="2"/>
      <c r="G107" s="2"/>
      <c r="H107" s="23" t="n">
        <f aca="false">H63*IF(AND($C63="Assured",H$45&gt;=$C$25),$C$24,INDEX(Assumptions!$D$44:$D$46,MATCH($C63,Assumptions!$A$44:$A$46,0)))</f>
        <v>0</v>
      </c>
      <c r="I107" s="23" t="n">
        <f aca="false">I63*IF(AND($C63="Assured",I$45&gt;=$C$25),$C$24,INDEX(Assumptions!$D$44:$D$46,MATCH($C63,Assumptions!$A$44:$A$46,0)))</f>
        <v>0</v>
      </c>
      <c r="J107" s="23" t="n">
        <f aca="false">J63*IF(AND($C63="Assured",J$45&gt;=$C$25),$C$24,INDEX(Assumptions!$D$44:$D$46,MATCH($C63,Assumptions!$A$44:$A$46,0)))</f>
        <v>0</v>
      </c>
      <c r="K107" s="23" t="n">
        <f aca="false">K63*IF(AND($C63="Assured",K$45&gt;=$C$25),$C$24,INDEX(Assumptions!$D$44:$D$46,MATCH($C63,Assumptions!$A$44:$A$46,0)))</f>
        <v>0</v>
      </c>
      <c r="L107" s="23" t="n">
        <f aca="false">L63*IF(AND($C63="Assured",L$45&gt;=$C$25),$C$24,INDEX(Assumptions!$D$44:$D$46,MATCH($C63,Assumptions!$A$44:$A$46,0)))</f>
        <v>0</v>
      </c>
      <c r="M107" s="23" t="n">
        <f aca="false">M63*IF(AND($C63="Assured",M$45&gt;=$C$25),$C$24,INDEX(Assumptions!$D$44:$D$46,MATCH($C63,Assumptions!$A$44:$A$46,0)))</f>
        <v>0</v>
      </c>
      <c r="N107" s="23" t="n">
        <f aca="false">N63*IF(AND($C63="Assured",N$45&gt;=$C$25),$C$24,INDEX(Assumptions!$D$44:$D$46,MATCH($C63,Assumptions!$A$44:$A$46,0)))</f>
        <v>0</v>
      </c>
      <c r="O107" s="23" t="n">
        <f aca="false">O63*IF(AND($C63="Assured",O$45&gt;=$C$25),$C$24,INDEX(Assumptions!$D$44:$D$46,MATCH($C63,Assumptions!$A$44:$A$46,0)))</f>
        <v>0</v>
      </c>
      <c r="P107" s="23" t="n">
        <f aca="false">P63*IF(AND($C63="Assured",P$45&gt;=$C$25),$C$24,INDEX(Assumptions!$D$44:$D$46,MATCH($C63,Assumptions!$A$44:$A$46,0)))</f>
        <v>0</v>
      </c>
      <c r="Q107" s="23" t="n">
        <f aca="false">Q63*IF(AND($C63="Assured",Q$45&gt;=$C$25),$C$24,INDEX(Assumptions!$D$44:$D$46,MATCH($C63,Assumptions!$A$44:$A$46,0)))</f>
        <v>0</v>
      </c>
      <c r="R107" s="23" t="n">
        <f aca="false">R63*IF(AND($C63="Assured",R$45&gt;=$C$25),$C$24,INDEX(Assumptions!$D$44:$D$46,MATCH($C63,Assumptions!$A$44:$A$46,0)))</f>
        <v>3060</v>
      </c>
      <c r="S107" s="23" t="n">
        <f aca="false">S63*IF(AND($C63="Assured",S$45&gt;=$C$25),$C$24,INDEX(Assumptions!$D$44:$D$46,MATCH($C63,Assumptions!$A$44:$A$46,0)))</f>
        <v>6120</v>
      </c>
      <c r="T107" s="23" t="n">
        <f aca="false">T63*IF(AND($C63="Assured",T$45&gt;=$C$25),$C$24,INDEX(Assumptions!$D$44:$D$46,MATCH($C63,Assumptions!$A$44:$A$46,0)))</f>
        <v>8670</v>
      </c>
      <c r="U107" s="23" t="n">
        <f aca="false">U63*IF(AND($C63="Assured",U$45&gt;=$C$25),$C$24,INDEX(Assumptions!$D$44:$D$46,MATCH($C63,Assumptions!$A$44:$A$46,0)))</f>
        <v>10200</v>
      </c>
      <c r="V107" s="23" t="n">
        <f aca="false">V63*IF(AND($C63="Assured",V$45&gt;=$C$25),$C$24,INDEX(Assumptions!$D$44:$D$46,MATCH($C63,Assumptions!$A$44:$A$46,0)))</f>
        <v>10200</v>
      </c>
      <c r="W107" s="23" t="n">
        <f aca="false">W63*IF(AND($C63="Assured",W$45&gt;=$C$25),$C$24,INDEX(Assumptions!$D$44:$D$46,MATCH($C63,Assumptions!$A$44:$A$46,0)))</f>
        <v>10200</v>
      </c>
      <c r="X107" s="23" t="n">
        <f aca="false">X63*IF(AND($C63="Assured",X$45&gt;=$C$25),$C$24,INDEX(Assumptions!$D$44:$D$46,MATCH($C63,Assumptions!$A$44:$A$46,0)))</f>
        <v>10200</v>
      </c>
      <c r="Y107" s="23" t="n">
        <f aca="false">Y63*IF(AND($C63="Assured",Y$45&gt;=$C$25),$C$24,INDEX(Assumptions!$D$44:$D$46,MATCH($C63,Assumptions!$A$44:$A$46,0)))</f>
        <v>10200</v>
      </c>
    </row>
    <row r="108" customFormat="false" ht="15" hidden="false" customHeight="false" outlineLevel="0" collapsed="false">
      <c r="A108" s="2" t="n">
        <f aca="false">A64</f>
        <v>17</v>
      </c>
      <c r="B108" s="2" t="str">
        <f aca="false">B64</f>
        <v>B</v>
      </c>
      <c r="C108" s="2" t="str">
        <f aca="false">C64</f>
        <v>Verified</v>
      </c>
      <c r="D108" s="2"/>
      <c r="E108" s="2"/>
      <c r="F108" s="2"/>
      <c r="G108" s="2"/>
      <c r="H108" s="23" t="n">
        <f aca="false">H64*IF(AND($C64="Assured",H$45&gt;=$C$25),$C$24,INDEX(Assumptions!$D$44:$D$46,MATCH($C64,Assumptions!$A$44:$A$46,0)))</f>
        <v>0</v>
      </c>
      <c r="I108" s="23" t="n">
        <f aca="false">I64*IF(AND($C64="Assured",I$45&gt;=$C$25),$C$24,INDEX(Assumptions!$D$44:$D$46,MATCH($C64,Assumptions!$A$44:$A$46,0)))</f>
        <v>0</v>
      </c>
      <c r="J108" s="23" t="n">
        <f aca="false">J64*IF(AND($C64="Assured",J$45&gt;=$C$25),$C$24,INDEX(Assumptions!$D$44:$D$46,MATCH($C64,Assumptions!$A$44:$A$46,0)))</f>
        <v>0</v>
      </c>
      <c r="K108" s="23" t="n">
        <f aca="false">K64*IF(AND($C64="Assured",K$45&gt;=$C$25),$C$24,INDEX(Assumptions!$D$44:$D$46,MATCH($C64,Assumptions!$A$44:$A$46,0)))</f>
        <v>0</v>
      </c>
      <c r="L108" s="23" t="n">
        <f aca="false">L64*IF(AND($C64="Assured",L$45&gt;=$C$25),$C$24,INDEX(Assumptions!$D$44:$D$46,MATCH($C64,Assumptions!$A$44:$A$46,0)))</f>
        <v>0</v>
      </c>
      <c r="M108" s="23" t="n">
        <f aca="false">M64*IF(AND($C64="Assured",M$45&gt;=$C$25),$C$24,INDEX(Assumptions!$D$44:$D$46,MATCH($C64,Assumptions!$A$44:$A$46,0)))</f>
        <v>0</v>
      </c>
      <c r="N108" s="23" t="n">
        <f aca="false">N64*IF(AND($C64="Assured",N$45&gt;=$C$25),$C$24,INDEX(Assumptions!$D$44:$D$46,MATCH($C64,Assumptions!$A$44:$A$46,0)))</f>
        <v>0</v>
      </c>
      <c r="O108" s="23" t="n">
        <f aca="false">O64*IF(AND($C64="Assured",O$45&gt;=$C$25),$C$24,INDEX(Assumptions!$D$44:$D$46,MATCH($C64,Assumptions!$A$44:$A$46,0)))</f>
        <v>0</v>
      </c>
      <c r="P108" s="23" t="n">
        <f aca="false">P64*IF(AND($C64="Assured",P$45&gt;=$C$25),$C$24,INDEX(Assumptions!$D$44:$D$46,MATCH($C64,Assumptions!$A$44:$A$46,0)))</f>
        <v>0</v>
      </c>
      <c r="Q108" s="23" t="n">
        <f aca="false">Q64*IF(AND($C64="Assured",Q$45&gt;=$C$25),$C$24,INDEX(Assumptions!$D$44:$D$46,MATCH($C64,Assumptions!$A$44:$A$46,0)))</f>
        <v>0</v>
      </c>
      <c r="R108" s="23" t="n">
        <f aca="false">R64*IF(AND($C64="Assured",R$45&gt;=$C$25),$C$24,INDEX(Assumptions!$D$44:$D$46,MATCH($C64,Assumptions!$A$44:$A$46,0)))</f>
        <v>0</v>
      </c>
      <c r="S108" s="23" t="n">
        <f aca="false">S64*IF(AND($C64="Assured",S$45&gt;=$C$25),$C$24,INDEX(Assumptions!$D$44:$D$46,MATCH($C64,Assumptions!$A$44:$A$46,0)))</f>
        <v>4590</v>
      </c>
      <c r="T108" s="23" t="n">
        <f aca="false">T64*IF(AND($C64="Assured",T$45&gt;=$C$25),$C$24,INDEX(Assumptions!$D$44:$D$46,MATCH($C64,Assumptions!$A$44:$A$46,0)))</f>
        <v>9180</v>
      </c>
      <c r="U108" s="23" t="n">
        <f aca="false">U64*IF(AND($C64="Assured",U$45&gt;=$C$25),$C$24,INDEX(Assumptions!$D$44:$D$46,MATCH($C64,Assumptions!$A$44:$A$46,0)))</f>
        <v>13005</v>
      </c>
      <c r="V108" s="23" t="n">
        <f aca="false">V64*IF(AND($C64="Assured",V$45&gt;=$C$25),$C$24,INDEX(Assumptions!$D$44:$D$46,MATCH($C64,Assumptions!$A$44:$A$46,0)))</f>
        <v>15300</v>
      </c>
      <c r="W108" s="23" t="n">
        <f aca="false">W64*IF(AND($C64="Assured",W$45&gt;=$C$25),$C$24,INDEX(Assumptions!$D$44:$D$46,MATCH($C64,Assumptions!$A$44:$A$46,0)))</f>
        <v>15300</v>
      </c>
      <c r="X108" s="23" t="n">
        <f aca="false">X64*IF(AND($C64="Assured",X$45&gt;=$C$25),$C$24,INDEX(Assumptions!$D$44:$D$46,MATCH($C64,Assumptions!$A$44:$A$46,0)))</f>
        <v>15300</v>
      </c>
      <c r="Y108" s="23" t="n">
        <f aca="false">Y64*IF(AND($C64="Assured",Y$45&gt;=$C$25),$C$24,INDEX(Assumptions!$D$44:$D$46,MATCH($C64,Assumptions!$A$44:$A$46,0)))</f>
        <v>15300</v>
      </c>
    </row>
    <row r="109" customFormat="false" ht="15" hidden="false" customHeight="false" outlineLevel="0" collapsed="false">
      <c r="A109" s="2" t="n">
        <f aca="false">A65</f>
        <v>18</v>
      </c>
      <c r="B109" s="2" t="str">
        <f aca="false">B65</f>
        <v>B</v>
      </c>
      <c r="C109" s="2" t="str">
        <f aca="false">C65</f>
        <v>Verified</v>
      </c>
      <c r="D109" s="2"/>
      <c r="E109" s="2"/>
      <c r="F109" s="2"/>
      <c r="G109" s="2"/>
      <c r="H109" s="23" t="n">
        <f aca="false">H65*IF(AND($C65="Assured",H$45&gt;=$C$25),$C$24,INDEX(Assumptions!$D$44:$D$46,MATCH($C65,Assumptions!$A$44:$A$46,0)))</f>
        <v>0</v>
      </c>
      <c r="I109" s="23" t="n">
        <f aca="false">I65*IF(AND($C65="Assured",I$45&gt;=$C$25),$C$24,INDEX(Assumptions!$D$44:$D$46,MATCH($C65,Assumptions!$A$44:$A$46,0)))</f>
        <v>0</v>
      </c>
      <c r="J109" s="23" t="n">
        <f aca="false">J65*IF(AND($C65="Assured",J$45&gt;=$C$25),$C$24,INDEX(Assumptions!$D$44:$D$46,MATCH($C65,Assumptions!$A$44:$A$46,0)))</f>
        <v>0</v>
      </c>
      <c r="K109" s="23" t="n">
        <f aca="false">K65*IF(AND($C65="Assured",K$45&gt;=$C$25),$C$24,INDEX(Assumptions!$D$44:$D$46,MATCH($C65,Assumptions!$A$44:$A$46,0)))</f>
        <v>0</v>
      </c>
      <c r="L109" s="23" t="n">
        <f aca="false">L65*IF(AND($C65="Assured",L$45&gt;=$C$25),$C$24,INDEX(Assumptions!$D$44:$D$46,MATCH($C65,Assumptions!$A$44:$A$46,0)))</f>
        <v>0</v>
      </c>
      <c r="M109" s="23" t="n">
        <f aca="false">M65*IF(AND($C65="Assured",M$45&gt;=$C$25),$C$24,INDEX(Assumptions!$D$44:$D$46,MATCH($C65,Assumptions!$A$44:$A$46,0)))</f>
        <v>0</v>
      </c>
      <c r="N109" s="23" t="n">
        <f aca="false">N65*IF(AND($C65="Assured",N$45&gt;=$C$25),$C$24,INDEX(Assumptions!$D$44:$D$46,MATCH($C65,Assumptions!$A$44:$A$46,0)))</f>
        <v>0</v>
      </c>
      <c r="O109" s="23" t="n">
        <f aca="false">O65*IF(AND($C65="Assured",O$45&gt;=$C$25),$C$24,INDEX(Assumptions!$D$44:$D$46,MATCH($C65,Assumptions!$A$44:$A$46,0)))</f>
        <v>0</v>
      </c>
      <c r="P109" s="23" t="n">
        <f aca="false">P65*IF(AND($C65="Assured",P$45&gt;=$C$25),$C$24,INDEX(Assumptions!$D$44:$D$46,MATCH($C65,Assumptions!$A$44:$A$46,0)))</f>
        <v>0</v>
      </c>
      <c r="Q109" s="23" t="n">
        <f aca="false">Q65*IF(AND($C65="Assured",Q$45&gt;=$C$25),$C$24,INDEX(Assumptions!$D$44:$D$46,MATCH($C65,Assumptions!$A$44:$A$46,0)))</f>
        <v>0</v>
      </c>
      <c r="R109" s="23" t="n">
        <f aca="false">R65*IF(AND($C65="Assured",R$45&gt;=$C$25),$C$24,INDEX(Assumptions!$D$44:$D$46,MATCH($C65,Assumptions!$A$44:$A$46,0)))</f>
        <v>0</v>
      </c>
      <c r="S109" s="23" t="n">
        <f aca="false">S65*IF(AND($C65="Assured",S$45&gt;=$C$25),$C$24,INDEX(Assumptions!$D$44:$D$46,MATCH($C65,Assumptions!$A$44:$A$46,0)))</f>
        <v>0</v>
      </c>
      <c r="T109" s="23" t="n">
        <f aca="false">T65*IF(AND($C65="Assured",T$45&gt;=$C$25),$C$24,INDEX(Assumptions!$D$44:$D$46,MATCH($C65,Assumptions!$A$44:$A$46,0)))</f>
        <v>4590</v>
      </c>
      <c r="U109" s="23" t="n">
        <f aca="false">U65*IF(AND($C65="Assured",U$45&gt;=$C$25),$C$24,INDEX(Assumptions!$D$44:$D$46,MATCH($C65,Assumptions!$A$44:$A$46,0)))</f>
        <v>9180</v>
      </c>
      <c r="V109" s="23" t="n">
        <f aca="false">V65*IF(AND($C65="Assured",V$45&gt;=$C$25),$C$24,INDEX(Assumptions!$D$44:$D$46,MATCH($C65,Assumptions!$A$44:$A$46,0)))</f>
        <v>13005</v>
      </c>
      <c r="W109" s="23" t="n">
        <f aca="false">W65*IF(AND($C65="Assured",W$45&gt;=$C$25),$C$24,INDEX(Assumptions!$D$44:$D$46,MATCH($C65,Assumptions!$A$44:$A$46,0)))</f>
        <v>15300</v>
      </c>
      <c r="X109" s="23" t="n">
        <f aca="false">X65*IF(AND($C65="Assured",X$45&gt;=$C$25),$C$24,INDEX(Assumptions!$D$44:$D$46,MATCH($C65,Assumptions!$A$44:$A$46,0)))</f>
        <v>15300</v>
      </c>
      <c r="Y109" s="23" t="n">
        <f aca="false">Y65*IF(AND($C65="Assured",Y$45&gt;=$C$25),$C$24,INDEX(Assumptions!$D$44:$D$46,MATCH($C65,Assumptions!$A$44:$A$46,0)))</f>
        <v>15300</v>
      </c>
    </row>
    <row r="110" customFormat="false" ht="15" hidden="false" customHeight="false" outlineLevel="0" collapsed="false">
      <c r="A110" s="2" t="n">
        <f aca="false">A66</f>
        <v>19</v>
      </c>
      <c r="B110" s="2" t="str">
        <f aca="false">B66</f>
        <v>B</v>
      </c>
      <c r="C110" s="2" t="str">
        <f aca="false">C66</f>
        <v>Verified</v>
      </c>
      <c r="D110" s="2"/>
      <c r="E110" s="2"/>
      <c r="F110" s="2"/>
      <c r="G110" s="2"/>
      <c r="H110" s="23" t="n">
        <f aca="false">H66*IF(AND($C66="Assured",H$45&gt;=$C$25),$C$24,INDEX(Assumptions!$D$44:$D$46,MATCH($C66,Assumptions!$A$44:$A$46,0)))</f>
        <v>0</v>
      </c>
      <c r="I110" s="23" t="n">
        <f aca="false">I66*IF(AND($C66="Assured",I$45&gt;=$C$25),$C$24,INDEX(Assumptions!$D$44:$D$46,MATCH($C66,Assumptions!$A$44:$A$46,0)))</f>
        <v>0</v>
      </c>
      <c r="J110" s="23" t="n">
        <f aca="false">J66*IF(AND($C66="Assured",J$45&gt;=$C$25),$C$24,INDEX(Assumptions!$D$44:$D$46,MATCH($C66,Assumptions!$A$44:$A$46,0)))</f>
        <v>0</v>
      </c>
      <c r="K110" s="23" t="n">
        <f aca="false">K66*IF(AND($C66="Assured",K$45&gt;=$C$25),$C$24,INDEX(Assumptions!$D$44:$D$46,MATCH($C66,Assumptions!$A$44:$A$46,0)))</f>
        <v>0</v>
      </c>
      <c r="L110" s="23" t="n">
        <f aca="false">L66*IF(AND($C66="Assured",L$45&gt;=$C$25),$C$24,INDEX(Assumptions!$D$44:$D$46,MATCH($C66,Assumptions!$A$44:$A$46,0)))</f>
        <v>0</v>
      </c>
      <c r="M110" s="23" t="n">
        <f aca="false">M66*IF(AND($C66="Assured",M$45&gt;=$C$25),$C$24,INDEX(Assumptions!$D$44:$D$46,MATCH($C66,Assumptions!$A$44:$A$46,0)))</f>
        <v>0</v>
      </c>
      <c r="N110" s="23" t="n">
        <f aca="false">N66*IF(AND($C66="Assured",N$45&gt;=$C$25),$C$24,INDEX(Assumptions!$D$44:$D$46,MATCH($C66,Assumptions!$A$44:$A$46,0)))</f>
        <v>0</v>
      </c>
      <c r="O110" s="23" t="n">
        <f aca="false">O66*IF(AND($C66="Assured",O$45&gt;=$C$25),$C$24,INDEX(Assumptions!$D$44:$D$46,MATCH($C66,Assumptions!$A$44:$A$46,0)))</f>
        <v>0</v>
      </c>
      <c r="P110" s="23" t="n">
        <f aca="false">P66*IF(AND($C66="Assured",P$45&gt;=$C$25),$C$24,INDEX(Assumptions!$D$44:$D$46,MATCH($C66,Assumptions!$A$44:$A$46,0)))</f>
        <v>0</v>
      </c>
      <c r="Q110" s="23" t="n">
        <f aca="false">Q66*IF(AND($C66="Assured",Q$45&gt;=$C$25),$C$24,INDEX(Assumptions!$D$44:$D$46,MATCH($C66,Assumptions!$A$44:$A$46,0)))</f>
        <v>0</v>
      </c>
      <c r="R110" s="23" t="n">
        <f aca="false">R66*IF(AND($C66="Assured",R$45&gt;=$C$25),$C$24,INDEX(Assumptions!$D$44:$D$46,MATCH($C66,Assumptions!$A$44:$A$46,0)))</f>
        <v>0</v>
      </c>
      <c r="S110" s="23" t="n">
        <f aca="false">S66*IF(AND($C66="Assured",S$45&gt;=$C$25),$C$24,INDEX(Assumptions!$D$44:$D$46,MATCH($C66,Assumptions!$A$44:$A$46,0)))</f>
        <v>0</v>
      </c>
      <c r="T110" s="23" t="n">
        <f aca="false">T66*IF(AND($C66="Assured",T$45&gt;=$C$25),$C$24,INDEX(Assumptions!$D$44:$D$46,MATCH($C66,Assumptions!$A$44:$A$46,0)))</f>
        <v>0</v>
      </c>
      <c r="U110" s="23" t="n">
        <f aca="false">U66*IF(AND($C66="Assured",U$45&gt;=$C$25),$C$24,INDEX(Assumptions!$D$44:$D$46,MATCH($C66,Assumptions!$A$44:$A$46,0)))</f>
        <v>4590</v>
      </c>
      <c r="V110" s="23" t="n">
        <f aca="false">V66*IF(AND($C66="Assured",V$45&gt;=$C$25),$C$24,INDEX(Assumptions!$D$44:$D$46,MATCH($C66,Assumptions!$A$44:$A$46,0)))</f>
        <v>9180</v>
      </c>
      <c r="W110" s="23" t="n">
        <f aca="false">W66*IF(AND($C66="Assured",W$45&gt;=$C$25),$C$24,INDEX(Assumptions!$D$44:$D$46,MATCH($C66,Assumptions!$A$44:$A$46,0)))</f>
        <v>13005</v>
      </c>
      <c r="X110" s="23" t="n">
        <f aca="false">X66*IF(AND($C66="Assured",X$45&gt;=$C$25),$C$24,INDEX(Assumptions!$D$44:$D$46,MATCH($C66,Assumptions!$A$44:$A$46,0)))</f>
        <v>15300</v>
      </c>
      <c r="Y110" s="23" t="n">
        <f aca="false">Y66*IF(AND($C66="Assured",Y$45&gt;=$C$25),$C$24,INDEX(Assumptions!$D$44:$D$46,MATCH($C66,Assumptions!$A$44:$A$46,0)))</f>
        <v>15300</v>
      </c>
    </row>
    <row r="111" customFormat="false" ht="15" hidden="false" customHeight="false" outlineLevel="0" collapsed="false">
      <c r="A111" s="2" t="n">
        <f aca="false">A67</f>
        <v>20</v>
      </c>
      <c r="B111" s="2" t="str">
        <f aca="false">B67</f>
        <v>B</v>
      </c>
      <c r="C111" s="2" t="str">
        <f aca="false">C67</f>
        <v>Verified</v>
      </c>
      <c r="D111" s="2"/>
      <c r="E111" s="2"/>
      <c r="F111" s="2"/>
      <c r="G111" s="2"/>
      <c r="H111" s="23" t="n">
        <f aca="false">H67*IF(AND($C67="Assured",H$45&gt;=$C$25),$C$24,INDEX(Assumptions!$D$44:$D$46,MATCH($C67,Assumptions!$A$44:$A$46,0)))</f>
        <v>0</v>
      </c>
      <c r="I111" s="23" t="n">
        <f aca="false">I67*IF(AND($C67="Assured",I$45&gt;=$C$25),$C$24,INDEX(Assumptions!$D$44:$D$46,MATCH($C67,Assumptions!$A$44:$A$46,0)))</f>
        <v>0</v>
      </c>
      <c r="J111" s="23" t="n">
        <f aca="false">J67*IF(AND($C67="Assured",J$45&gt;=$C$25),$C$24,INDEX(Assumptions!$D$44:$D$46,MATCH($C67,Assumptions!$A$44:$A$46,0)))</f>
        <v>0</v>
      </c>
      <c r="K111" s="23" t="n">
        <f aca="false">K67*IF(AND($C67="Assured",K$45&gt;=$C$25),$C$24,INDEX(Assumptions!$D$44:$D$46,MATCH($C67,Assumptions!$A$44:$A$46,0)))</f>
        <v>0</v>
      </c>
      <c r="L111" s="23" t="n">
        <f aca="false">L67*IF(AND($C67="Assured",L$45&gt;=$C$25),$C$24,INDEX(Assumptions!$D$44:$D$46,MATCH($C67,Assumptions!$A$44:$A$46,0)))</f>
        <v>0</v>
      </c>
      <c r="M111" s="23" t="n">
        <f aca="false">M67*IF(AND($C67="Assured",M$45&gt;=$C$25),$C$24,INDEX(Assumptions!$D$44:$D$46,MATCH($C67,Assumptions!$A$44:$A$46,0)))</f>
        <v>0</v>
      </c>
      <c r="N111" s="23" t="n">
        <f aca="false">N67*IF(AND($C67="Assured",N$45&gt;=$C$25),$C$24,INDEX(Assumptions!$D$44:$D$46,MATCH($C67,Assumptions!$A$44:$A$46,0)))</f>
        <v>0</v>
      </c>
      <c r="O111" s="23" t="n">
        <f aca="false">O67*IF(AND($C67="Assured",O$45&gt;=$C$25),$C$24,INDEX(Assumptions!$D$44:$D$46,MATCH($C67,Assumptions!$A$44:$A$46,0)))</f>
        <v>0</v>
      </c>
      <c r="P111" s="23" t="n">
        <f aca="false">P67*IF(AND($C67="Assured",P$45&gt;=$C$25),$C$24,INDEX(Assumptions!$D$44:$D$46,MATCH($C67,Assumptions!$A$44:$A$46,0)))</f>
        <v>0</v>
      </c>
      <c r="Q111" s="23" t="n">
        <f aca="false">Q67*IF(AND($C67="Assured",Q$45&gt;=$C$25),$C$24,INDEX(Assumptions!$D$44:$D$46,MATCH($C67,Assumptions!$A$44:$A$46,0)))</f>
        <v>0</v>
      </c>
      <c r="R111" s="23" t="n">
        <f aca="false">R67*IF(AND($C67="Assured",R$45&gt;=$C$25),$C$24,INDEX(Assumptions!$D$44:$D$46,MATCH($C67,Assumptions!$A$44:$A$46,0)))</f>
        <v>0</v>
      </c>
      <c r="S111" s="23" t="n">
        <f aca="false">S67*IF(AND($C67="Assured",S$45&gt;=$C$25),$C$24,INDEX(Assumptions!$D$44:$D$46,MATCH($C67,Assumptions!$A$44:$A$46,0)))</f>
        <v>0</v>
      </c>
      <c r="T111" s="23" t="n">
        <f aca="false">T67*IF(AND($C67="Assured",T$45&gt;=$C$25),$C$24,INDEX(Assumptions!$D$44:$D$46,MATCH($C67,Assumptions!$A$44:$A$46,0)))</f>
        <v>0</v>
      </c>
      <c r="U111" s="23" t="n">
        <f aca="false">U67*IF(AND($C67="Assured",U$45&gt;=$C$25),$C$24,INDEX(Assumptions!$D$44:$D$46,MATCH($C67,Assumptions!$A$44:$A$46,0)))</f>
        <v>4590</v>
      </c>
      <c r="V111" s="23" t="n">
        <f aca="false">V67*IF(AND($C67="Assured",V$45&gt;=$C$25),$C$24,INDEX(Assumptions!$D$44:$D$46,MATCH($C67,Assumptions!$A$44:$A$46,0)))</f>
        <v>9180</v>
      </c>
      <c r="W111" s="23" t="n">
        <f aca="false">W67*IF(AND($C67="Assured",W$45&gt;=$C$25),$C$24,INDEX(Assumptions!$D$44:$D$46,MATCH($C67,Assumptions!$A$44:$A$46,0)))</f>
        <v>13005</v>
      </c>
      <c r="X111" s="23" t="n">
        <f aca="false">X67*IF(AND($C67="Assured",X$45&gt;=$C$25),$C$24,INDEX(Assumptions!$D$44:$D$46,MATCH($C67,Assumptions!$A$44:$A$46,0)))</f>
        <v>15300</v>
      </c>
      <c r="Y111" s="23" t="n">
        <f aca="false">Y67*IF(AND($C67="Assured",Y$45&gt;=$C$25),$C$24,INDEX(Assumptions!$D$44:$D$46,MATCH($C67,Assumptions!$A$44:$A$46,0)))</f>
        <v>15300</v>
      </c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" hidden="false" customHeight="false" outlineLevel="0" collapsed="false">
      <c r="A113" s="37" t="s">
        <v>201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customFormat="false" ht="15" hidden="false" customHeight="false" outlineLevel="0" collapsed="false">
      <c r="A114" s="2" t="n">
        <f aca="false">A48</f>
        <v>1</v>
      </c>
      <c r="B114" s="2" t="str">
        <f aca="false">B48</f>
        <v>Pilot</v>
      </c>
      <c r="C114" s="2" t="str">
        <f aca="false">C48</f>
        <v>Assured</v>
      </c>
      <c r="D114" s="2"/>
      <c r="E114" s="2"/>
      <c r="F114" s="2"/>
      <c r="G114" s="2"/>
      <c r="H114" s="23" t="n">
        <f aca="false">IF($F48=1,IF(H$45=1,INDEX(Assumptions!$E$44:$E$46,MATCH($C48,Assumptions!$A$44:$A$46,0))*$C$34,0),IF(H$45=MAX($G48-1,1),INDEX(Assumptions!$E$44:$E$46,MATCH($C48,Assumptions!$A$44:$A$46,0)),0))*IF(AND($C48="Verified",$C$39=1),0,1)</f>
        <v>60000</v>
      </c>
      <c r="I114" s="23" t="n">
        <f aca="false">IF($F48=1,IF(I$45=1,INDEX(Assumptions!$E$44:$E$46,MATCH($C48,Assumptions!$A$44:$A$46,0))*$C$34,0),IF(I$45=MAX($G48-1,1),INDEX(Assumptions!$E$44:$E$46,MATCH($C48,Assumptions!$A$44:$A$46,0)),0))*IF(AND($C48="Verified",$C$39=1),0,1)</f>
        <v>0</v>
      </c>
      <c r="J114" s="23" t="n">
        <f aca="false">IF($F48=1,IF(J$45=1,INDEX(Assumptions!$E$44:$E$46,MATCH($C48,Assumptions!$A$44:$A$46,0))*$C$34,0),IF(J$45=MAX($G48-1,1),INDEX(Assumptions!$E$44:$E$46,MATCH($C48,Assumptions!$A$44:$A$46,0)),0))*IF(AND($C48="Verified",$C$39=1),0,1)</f>
        <v>0</v>
      </c>
      <c r="K114" s="23" t="n">
        <f aca="false">IF($F48=1,IF(K$45=1,INDEX(Assumptions!$E$44:$E$46,MATCH($C48,Assumptions!$A$44:$A$46,0))*$C$34,0),IF(K$45=MAX($G48-1,1),INDEX(Assumptions!$E$44:$E$46,MATCH($C48,Assumptions!$A$44:$A$46,0)),0))*IF(AND($C48="Verified",$C$39=1),0,1)</f>
        <v>0</v>
      </c>
      <c r="L114" s="23" t="n">
        <f aca="false">IF($F48=1,IF(L$45=1,INDEX(Assumptions!$E$44:$E$46,MATCH($C48,Assumptions!$A$44:$A$46,0))*$C$34,0),IF(L$45=MAX($G48-1,1),INDEX(Assumptions!$E$44:$E$46,MATCH($C48,Assumptions!$A$44:$A$46,0)),0))*IF(AND($C48="Verified",$C$39=1),0,1)</f>
        <v>0</v>
      </c>
      <c r="M114" s="23" t="n">
        <f aca="false">IF($F48=1,IF(M$45=1,INDEX(Assumptions!$E$44:$E$46,MATCH($C48,Assumptions!$A$44:$A$46,0))*$C$34,0),IF(M$45=MAX($G48-1,1),INDEX(Assumptions!$E$44:$E$46,MATCH($C48,Assumptions!$A$44:$A$46,0)),0))*IF(AND($C48="Verified",$C$39=1),0,1)</f>
        <v>0</v>
      </c>
      <c r="N114" s="23" t="n">
        <f aca="false">IF($F48=1,IF(N$45=1,INDEX(Assumptions!$E$44:$E$46,MATCH($C48,Assumptions!$A$44:$A$46,0))*$C$34,0),IF(N$45=MAX($G48-1,1),INDEX(Assumptions!$E$44:$E$46,MATCH($C48,Assumptions!$A$44:$A$46,0)),0))*IF(AND($C48="Verified",$C$39=1),0,1)</f>
        <v>0</v>
      </c>
      <c r="O114" s="23" t="n">
        <f aca="false">IF($F48=1,IF(O$45=1,INDEX(Assumptions!$E$44:$E$46,MATCH($C48,Assumptions!$A$44:$A$46,0))*$C$34,0),IF(O$45=MAX($G48-1,1),INDEX(Assumptions!$E$44:$E$46,MATCH($C48,Assumptions!$A$44:$A$46,0)),0))*IF(AND($C48="Verified",$C$39=1),0,1)</f>
        <v>0</v>
      </c>
      <c r="P114" s="23" t="n">
        <f aca="false">IF($F48=1,IF(P$45=1,INDEX(Assumptions!$E$44:$E$46,MATCH($C48,Assumptions!$A$44:$A$46,0))*$C$34,0),IF(P$45=MAX($G48-1,1),INDEX(Assumptions!$E$44:$E$46,MATCH($C48,Assumptions!$A$44:$A$46,0)),0))*IF(AND($C48="Verified",$C$39=1),0,1)</f>
        <v>0</v>
      </c>
      <c r="Q114" s="23" t="n">
        <f aca="false">IF($F48=1,IF(Q$45=1,INDEX(Assumptions!$E$44:$E$46,MATCH($C48,Assumptions!$A$44:$A$46,0))*$C$34,0),IF(Q$45=MAX($G48-1,1),INDEX(Assumptions!$E$44:$E$46,MATCH($C48,Assumptions!$A$44:$A$46,0)),0))*IF(AND($C48="Verified",$C$39=1),0,1)</f>
        <v>0</v>
      </c>
      <c r="R114" s="23" t="n">
        <f aca="false">IF($F48=1,IF(R$45=1,INDEX(Assumptions!$E$44:$E$46,MATCH($C48,Assumptions!$A$44:$A$46,0))*$C$34,0),IF(R$45=MAX($G48-1,1),INDEX(Assumptions!$E$44:$E$46,MATCH($C48,Assumptions!$A$44:$A$46,0)),0))*IF(AND($C48="Verified",$C$39=1),0,1)</f>
        <v>0</v>
      </c>
      <c r="S114" s="23" t="n">
        <f aca="false">IF($F48=1,IF(S$45=1,INDEX(Assumptions!$E$44:$E$46,MATCH($C48,Assumptions!$A$44:$A$46,0))*$C$34,0),IF(S$45=MAX($G48-1,1),INDEX(Assumptions!$E$44:$E$46,MATCH($C48,Assumptions!$A$44:$A$46,0)),0))*IF(AND($C48="Verified",$C$39=1),0,1)</f>
        <v>0</v>
      </c>
      <c r="T114" s="23" t="n">
        <f aca="false">IF($F48=1,IF(T$45=1,INDEX(Assumptions!$E$44:$E$46,MATCH($C48,Assumptions!$A$44:$A$46,0))*$C$34,0),IF(T$45=MAX($G48-1,1),INDEX(Assumptions!$E$44:$E$46,MATCH($C48,Assumptions!$A$44:$A$46,0)),0))*IF(AND($C48="Verified",$C$39=1),0,1)</f>
        <v>0</v>
      </c>
      <c r="U114" s="23" t="n">
        <f aca="false">IF($F48=1,IF(U$45=1,INDEX(Assumptions!$E$44:$E$46,MATCH($C48,Assumptions!$A$44:$A$46,0))*$C$34,0),IF(U$45=MAX($G48-1,1),INDEX(Assumptions!$E$44:$E$46,MATCH($C48,Assumptions!$A$44:$A$46,0)),0))*IF(AND($C48="Verified",$C$39=1),0,1)</f>
        <v>0</v>
      </c>
      <c r="V114" s="23" t="n">
        <f aca="false">IF($F48=1,IF(V$45=1,INDEX(Assumptions!$E$44:$E$46,MATCH($C48,Assumptions!$A$44:$A$46,0))*$C$34,0),IF(V$45=MAX($G48-1,1),INDEX(Assumptions!$E$44:$E$46,MATCH($C48,Assumptions!$A$44:$A$46,0)),0))*IF(AND($C48="Verified",$C$39=1),0,1)</f>
        <v>0</v>
      </c>
      <c r="W114" s="23" t="n">
        <f aca="false">IF($F48=1,IF(W$45=1,INDEX(Assumptions!$E$44:$E$46,MATCH($C48,Assumptions!$A$44:$A$46,0))*$C$34,0),IF(W$45=MAX($G48-1,1),INDEX(Assumptions!$E$44:$E$46,MATCH($C48,Assumptions!$A$44:$A$46,0)),0))*IF(AND($C48="Verified",$C$39=1),0,1)</f>
        <v>0</v>
      </c>
      <c r="X114" s="23" t="n">
        <f aca="false">IF($F48=1,IF(X$45=1,INDEX(Assumptions!$E$44:$E$46,MATCH($C48,Assumptions!$A$44:$A$46,0))*$C$34,0),IF(X$45=MAX($G48-1,1),INDEX(Assumptions!$E$44:$E$46,MATCH($C48,Assumptions!$A$44:$A$46,0)),0))*IF(AND($C48="Verified",$C$39=1),0,1)</f>
        <v>0</v>
      </c>
      <c r="Y114" s="23" t="n">
        <f aca="false">IF($F48=1,IF(Y$45=1,INDEX(Assumptions!$E$44:$E$46,MATCH($C48,Assumptions!$A$44:$A$46,0))*$C$34,0),IF(Y$45=MAX($G48-1,1),INDEX(Assumptions!$E$44:$E$46,MATCH($C48,Assumptions!$A$44:$A$46,0)),0))*IF(AND($C48="Verified",$C$39=1),0,1)</f>
        <v>0</v>
      </c>
    </row>
    <row r="115" customFormat="false" ht="15" hidden="false" customHeight="false" outlineLevel="0" collapsed="false">
      <c r="A115" s="2" t="n">
        <f aca="false">A49</f>
        <v>2</v>
      </c>
      <c r="B115" s="2" t="str">
        <f aca="false">B49</f>
        <v>Pilot</v>
      </c>
      <c r="C115" s="2" t="str">
        <f aca="false">C49</f>
        <v>Assured</v>
      </c>
      <c r="D115" s="2"/>
      <c r="E115" s="2"/>
      <c r="F115" s="2"/>
      <c r="G115" s="2"/>
      <c r="H115" s="23" t="n">
        <f aca="false">IF($F49=1,IF(H$45=1,INDEX(Assumptions!$E$44:$E$46,MATCH($C49,Assumptions!$A$44:$A$46,0))*$C$34,0),IF(H$45=MAX($G49-1,1),INDEX(Assumptions!$E$44:$E$46,MATCH($C49,Assumptions!$A$44:$A$46,0)),0))*IF(AND($C49="Verified",$C$39=1),0,1)</f>
        <v>60000</v>
      </c>
      <c r="I115" s="23" t="n">
        <f aca="false">IF($F49=1,IF(I$45=1,INDEX(Assumptions!$E$44:$E$46,MATCH($C49,Assumptions!$A$44:$A$46,0))*$C$34,0),IF(I$45=MAX($G49-1,1),INDEX(Assumptions!$E$44:$E$46,MATCH($C49,Assumptions!$A$44:$A$46,0)),0))*IF(AND($C49="Verified",$C$39=1),0,1)</f>
        <v>0</v>
      </c>
      <c r="J115" s="23" t="n">
        <f aca="false">IF($F49=1,IF(J$45=1,INDEX(Assumptions!$E$44:$E$46,MATCH($C49,Assumptions!$A$44:$A$46,0))*$C$34,0),IF(J$45=MAX($G49-1,1),INDEX(Assumptions!$E$44:$E$46,MATCH($C49,Assumptions!$A$44:$A$46,0)),0))*IF(AND($C49="Verified",$C$39=1),0,1)</f>
        <v>0</v>
      </c>
      <c r="K115" s="23" t="n">
        <f aca="false">IF($F49=1,IF(K$45=1,INDEX(Assumptions!$E$44:$E$46,MATCH($C49,Assumptions!$A$44:$A$46,0))*$C$34,0),IF(K$45=MAX($G49-1,1),INDEX(Assumptions!$E$44:$E$46,MATCH($C49,Assumptions!$A$44:$A$46,0)),0))*IF(AND($C49="Verified",$C$39=1),0,1)</f>
        <v>0</v>
      </c>
      <c r="L115" s="23" t="n">
        <f aca="false">IF($F49=1,IF(L$45=1,INDEX(Assumptions!$E$44:$E$46,MATCH($C49,Assumptions!$A$44:$A$46,0))*$C$34,0),IF(L$45=MAX($G49-1,1),INDEX(Assumptions!$E$44:$E$46,MATCH($C49,Assumptions!$A$44:$A$46,0)),0))*IF(AND($C49="Verified",$C$39=1),0,1)</f>
        <v>0</v>
      </c>
      <c r="M115" s="23" t="n">
        <f aca="false">IF($F49=1,IF(M$45=1,INDEX(Assumptions!$E$44:$E$46,MATCH($C49,Assumptions!$A$44:$A$46,0))*$C$34,0),IF(M$45=MAX($G49-1,1),INDEX(Assumptions!$E$44:$E$46,MATCH($C49,Assumptions!$A$44:$A$46,0)),0))*IF(AND($C49="Verified",$C$39=1),0,1)</f>
        <v>0</v>
      </c>
      <c r="N115" s="23" t="n">
        <f aca="false">IF($F49=1,IF(N$45=1,INDEX(Assumptions!$E$44:$E$46,MATCH($C49,Assumptions!$A$44:$A$46,0))*$C$34,0),IF(N$45=MAX($G49-1,1),INDEX(Assumptions!$E$44:$E$46,MATCH($C49,Assumptions!$A$44:$A$46,0)),0))*IF(AND($C49="Verified",$C$39=1),0,1)</f>
        <v>0</v>
      </c>
      <c r="O115" s="23" t="n">
        <f aca="false">IF($F49=1,IF(O$45=1,INDEX(Assumptions!$E$44:$E$46,MATCH($C49,Assumptions!$A$44:$A$46,0))*$C$34,0),IF(O$45=MAX($G49-1,1),INDEX(Assumptions!$E$44:$E$46,MATCH($C49,Assumptions!$A$44:$A$46,0)),0))*IF(AND($C49="Verified",$C$39=1),0,1)</f>
        <v>0</v>
      </c>
      <c r="P115" s="23" t="n">
        <f aca="false">IF($F49=1,IF(P$45=1,INDEX(Assumptions!$E$44:$E$46,MATCH($C49,Assumptions!$A$44:$A$46,0))*$C$34,0),IF(P$45=MAX($G49-1,1),INDEX(Assumptions!$E$44:$E$46,MATCH($C49,Assumptions!$A$44:$A$46,0)),0))*IF(AND($C49="Verified",$C$39=1),0,1)</f>
        <v>0</v>
      </c>
      <c r="Q115" s="23" t="n">
        <f aca="false">IF($F49=1,IF(Q$45=1,INDEX(Assumptions!$E$44:$E$46,MATCH($C49,Assumptions!$A$44:$A$46,0))*$C$34,0),IF(Q$45=MAX($G49-1,1),INDEX(Assumptions!$E$44:$E$46,MATCH($C49,Assumptions!$A$44:$A$46,0)),0))*IF(AND($C49="Verified",$C$39=1),0,1)</f>
        <v>0</v>
      </c>
      <c r="R115" s="23" t="n">
        <f aca="false">IF($F49=1,IF(R$45=1,INDEX(Assumptions!$E$44:$E$46,MATCH($C49,Assumptions!$A$44:$A$46,0))*$C$34,0),IF(R$45=MAX($G49-1,1),INDEX(Assumptions!$E$44:$E$46,MATCH($C49,Assumptions!$A$44:$A$46,0)),0))*IF(AND($C49="Verified",$C$39=1),0,1)</f>
        <v>0</v>
      </c>
      <c r="S115" s="23" t="n">
        <f aca="false">IF($F49=1,IF(S$45=1,INDEX(Assumptions!$E$44:$E$46,MATCH($C49,Assumptions!$A$44:$A$46,0))*$C$34,0),IF(S$45=MAX($G49-1,1),INDEX(Assumptions!$E$44:$E$46,MATCH($C49,Assumptions!$A$44:$A$46,0)),0))*IF(AND($C49="Verified",$C$39=1),0,1)</f>
        <v>0</v>
      </c>
      <c r="T115" s="23" t="n">
        <f aca="false">IF($F49=1,IF(T$45=1,INDEX(Assumptions!$E$44:$E$46,MATCH($C49,Assumptions!$A$44:$A$46,0))*$C$34,0),IF(T$45=MAX($G49-1,1),INDEX(Assumptions!$E$44:$E$46,MATCH($C49,Assumptions!$A$44:$A$46,0)),0))*IF(AND($C49="Verified",$C$39=1),0,1)</f>
        <v>0</v>
      </c>
      <c r="U115" s="23" t="n">
        <f aca="false">IF($F49=1,IF(U$45=1,INDEX(Assumptions!$E$44:$E$46,MATCH($C49,Assumptions!$A$44:$A$46,0))*$C$34,0),IF(U$45=MAX($G49-1,1),INDEX(Assumptions!$E$44:$E$46,MATCH($C49,Assumptions!$A$44:$A$46,0)),0))*IF(AND($C49="Verified",$C$39=1),0,1)</f>
        <v>0</v>
      </c>
      <c r="V115" s="23" t="n">
        <f aca="false">IF($F49=1,IF(V$45=1,INDEX(Assumptions!$E$44:$E$46,MATCH($C49,Assumptions!$A$44:$A$46,0))*$C$34,0),IF(V$45=MAX($G49-1,1),INDEX(Assumptions!$E$44:$E$46,MATCH($C49,Assumptions!$A$44:$A$46,0)),0))*IF(AND($C49="Verified",$C$39=1),0,1)</f>
        <v>0</v>
      </c>
      <c r="W115" s="23" t="n">
        <f aca="false">IF($F49=1,IF(W$45=1,INDEX(Assumptions!$E$44:$E$46,MATCH($C49,Assumptions!$A$44:$A$46,0))*$C$34,0),IF(W$45=MAX($G49-1,1),INDEX(Assumptions!$E$44:$E$46,MATCH($C49,Assumptions!$A$44:$A$46,0)),0))*IF(AND($C49="Verified",$C$39=1),0,1)</f>
        <v>0</v>
      </c>
      <c r="X115" s="23" t="n">
        <f aca="false">IF($F49=1,IF(X$45=1,INDEX(Assumptions!$E$44:$E$46,MATCH($C49,Assumptions!$A$44:$A$46,0))*$C$34,0),IF(X$45=MAX($G49-1,1),INDEX(Assumptions!$E$44:$E$46,MATCH($C49,Assumptions!$A$44:$A$46,0)),0))*IF(AND($C49="Verified",$C$39=1),0,1)</f>
        <v>0</v>
      </c>
      <c r="Y115" s="23" t="n">
        <f aca="false">IF($F49=1,IF(Y$45=1,INDEX(Assumptions!$E$44:$E$46,MATCH($C49,Assumptions!$A$44:$A$46,0))*$C$34,0),IF(Y$45=MAX($G49-1,1),INDEX(Assumptions!$E$44:$E$46,MATCH($C49,Assumptions!$A$44:$A$46,0)),0))*IF(AND($C49="Verified",$C$39=1),0,1)</f>
        <v>0</v>
      </c>
    </row>
    <row r="116" customFormat="false" ht="15" hidden="false" customHeight="false" outlineLevel="0" collapsed="false">
      <c r="A116" s="2" t="n">
        <f aca="false">A50</f>
        <v>3</v>
      </c>
      <c r="B116" s="2" t="str">
        <f aca="false">B50</f>
        <v>Pilot</v>
      </c>
      <c r="C116" s="2" t="str">
        <f aca="false">C50</f>
        <v>Assured</v>
      </c>
      <c r="D116" s="2"/>
      <c r="E116" s="2"/>
      <c r="F116" s="2"/>
      <c r="G116" s="2"/>
      <c r="H116" s="23" t="n">
        <f aca="false">IF($F50=1,IF(H$45=1,INDEX(Assumptions!$E$44:$E$46,MATCH($C50,Assumptions!$A$44:$A$46,0))*$C$34,0),IF(H$45=MAX($G50-1,1),INDEX(Assumptions!$E$44:$E$46,MATCH($C50,Assumptions!$A$44:$A$46,0)),0))*IF(AND($C50="Verified",$C$39=1),0,1)</f>
        <v>60000</v>
      </c>
      <c r="I116" s="23" t="n">
        <f aca="false">IF($F50=1,IF(I$45=1,INDEX(Assumptions!$E$44:$E$46,MATCH($C50,Assumptions!$A$44:$A$46,0))*$C$34,0),IF(I$45=MAX($G50-1,1),INDEX(Assumptions!$E$44:$E$46,MATCH($C50,Assumptions!$A$44:$A$46,0)),0))*IF(AND($C50="Verified",$C$39=1),0,1)</f>
        <v>0</v>
      </c>
      <c r="J116" s="23" t="n">
        <f aca="false">IF($F50=1,IF(J$45=1,INDEX(Assumptions!$E$44:$E$46,MATCH($C50,Assumptions!$A$44:$A$46,0))*$C$34,0),IF(J$45=MAX($G50-1,1),INDEX(Assumptions!$E$44:$E$46,MATCH($C50,Assumptions!$A$44:$A$46,0)),0))*IF(AND($C50="Verified",$C$39=1),0,1)</f>
        <v>0</v>
      </c>
      <c r="K116" s="23" t="n">
        <f aca="false">IF($F50=1,IF(K$45=1,INDEX(Assumptions!$E$44:$E$46,MATCH($C50,Assumptions!$A$44:$A$46,0))*$C$34,0),IF(K$45=MAX($G50-1,1),INDEX(Assumptions!$E$44:$E$46,MATCH($C50,Assumptions!$A$44:$A$46,0)),0))*IF(AND($C50="Verified",$C$39=1),0,1)</f>
        <v>0</v>
      </c>
      <c r="L116" s="23" t="n">
        <f aca="false">IF($F50=1,IF(L$45=1,INDEX(Assumptions!$E$44:$E$46,MATCH($C50,Assumptions!$A$44:$A$46,0))*$C$34,0),IF(L$45=MAX($G50-1,1),INDEX(Assumptions!$E$44:$E$46,MATCH($C50,Assumptions!$A$44:$A$46,0)),0))*IF(AND($C50="Verified",$C$39=1),0,1)</f>
        <v>0</v>
      </c>
      <c r="M116" s="23" t="n">
        <f aca="false">IF($F50=1,IF(M$45=1,INDEX(Assumptions!$E$44:$E$46,MATCH($C50,Assumptions!$A$44:$A$46,0))*$C$34,0),IF(M$45=MAX($G50-1,1),INDEX(Assumptions!$E$44:$E$46,MATCH($C50,Assumptions!$A$44:$A$46,0)),0))*IF(AND($C50="Verified",$C$39=1),0,1)</f>
        <v>0</v>
      </c>
      <c r="N116" s="23" t="n">
        <f aca="false">IF($F50=1,IF(N$45=1,INDEX(Assumptions!$E$44:$E$46,MATCH($C50,Assumptions!$A$44:$A$46,0))*$C$34,0),IF(N$45=MAX($G50-1,1),INDEX(Assumptions!$E$44:$E$46,MATCH($C50,Assumptions!$A$44:$A$46,0)),0))*IF(AND($C50="Verified",$C$39=1),0,1)</f>
        <v>0</v>
      </c>
      <c r="O116" s="23" t="n">
        <f aca="false">IF($F50=1,IF(O$45=1,INDEX(Assumptions!$E$44:$E$46,MATCH($C50,Assumptions!$A$44:$A$46,0))*$C$34,0),IF(O$45=MAX($G50-1,1),INDEX(Assumptions!$E$44:$E$46,MATCH($C50,Assumptions!$A$44:$A$46,0)),0))*IF(AND($C50="Verified",$C$39=1),0,1)</f>
        <v>0</v>
      </c>
      <c r="P116" s="23" t="n">
        <f aca="false">IF($F50=1,IF(P$45=1,INDEX(Assumptions!$E$44:$E$46,MATCH($C50,Assumptions!$A$44:$A$46,0))*$C$34,0),IF(P$45=MAX($G50-1,1),INDEX(Assumptions!$E$44:$E$46,MATCH($C50,Assumptions!$A$44:$A$46,0)),0))*IF(AND($C50="Verified",$C$39=1),0,1)</f>
        <v>0</v>
      </c>
      <c r="Q116" s="23" t="n">
        <f aca="false">IF($F50=1,IF(Q$45=1,INDEX(Assumptions!$E$44:$E$46,MATCH($C50,Assumptions!$A$44:$A$46,0))*$C$34,0),IF(Q$45=MAX($G50-1,1),INDEX(Assumptions!$E$44:$E$46,MATCH($C50,Assumptions!$A$44:$A$46,0)),0))*IF(AND($C50="Verified",$C$39=1),0,1)</f>
        <v>0</v>
      </c>
      <c r="R116" s="23" t="n">
        <f aca="false">IF($F50=1,IF(R$45=1,INDEX(Assumptions!$E$44:$E$46,MATCH($C50,Assumptions!$A$44:$A$46,0))*$C$34,0),IF(R$45=MAX($G50-1,1),INDEX(Assumptions!$E$44:$E$46,MATCH($C50,Assumptions!$A$44:$A$46,0)),0))*IF(AND($C50="Verified",$C$39=1),0,1)</f>
        <v>0</v>
      </c>
      <c r="S116" s="23" t="n">
        <f aca="false">IF($F50=1,IF(S$45=1,INDEX(Assumptions!$E$44:$E$46,MATCH($C50,Assumptions!$A$44:$A$46,0))*$C$34,0),IF(S$45=MAX($G50-1,1),INDEX(Assumptions!$E$44:$E$46,MATCH($C50,Assumptions!$A$44:$A$46,0)),0))*IF(AND($C50="Verified",$C$39=1),0,1)</f>
        <v>0</v>
      </c>
      <c r="T116" s="23" t="n">
        <f aca="false">IF($F50=1,IF(T$45=1,INDEX(Assumptions!$E$44:$E$46,MATCH($C50,Assumptions!$A$44:$A$46,0))*$C$34,0),IF(T$45=MAX($G50-1,1),INDEX(Assumptions!$E$44:$E$46,MATCH($C50,Assumptions!$A$44:$A$46,0)),0))*IF(AND($C50="Verified",$C$39=1),0,1)</f>
        <v>0</v>
      </c>
      <c r="U116" s="23" t="n">
        <f aca="false">IF($F50=1,IF(U$45=1,INDEX(Assumptions!$E$44:$E$46,MATCH($C50,Assumptions!$A$44:$A$46,0))*$C$34,0),IF(U$45=MAX($G50-1,1),INDEX(Assumptions!$E$44:$E$46,MATCH($C50,Assumptions!$A$44:$A$46,0)),0))*IF(AND($C50="Verified",$C$39=1),0,1)</f>
        <v>0</v>
      </c>
      <c r="V116" s="23" t="n">
        <f aca="false">IF($F50=1,IF(V$45=1,INDEX(Assumptions!$E$44:$E$46,MATCH($C50,Assumptions!$A$44:$A$46,0))*$C$34,0),IF(V$45=MAX($G50-1,1),INDEX(Assumptions!$E$44:$E$46,MATCH($C50,Assumptions!$A$44:$A$46,0)),0))*IF(AND($C50="Verified",$C$39=1),0,1)</f>
        <v>0</v>
      </c>
      <c r="W116" s="23" t="n">
        <f aca="false">IF($F50=1,IF(W$45=1,INDEX(Assumptions!$E$44:$E$46,MATCH($C50,Assumptions!$A$44:$A$46,0))*$C$34,0),IF(W$45=MAX($G50-1,1),INDEX(Assumptions!$E$44:$E$46,MATCH($C50,Assumptions!$A$44:$A$46,0)),0))*IF(AND($C50="Verified",$C$39=1),0,1)</f>
        <v>0</v>
      </c>
      <c r="X116" s="23" t="n">
        <f aca="false">IF($F50=1,IF(X$45=1,INDEX(Assumptions!$E$44:$E$46,MATCH($C50,Assumptions!$A$44:$A$46,0))*$C$34,0),IF(X$45=MAX($G50-1,1),INDEX(Assumptions!$E$44:$E$46,MATCH($C50,Assumptions!$A$44:$A$46,0)),0))*IF(AND($C50="Verified",$C$39=1),0,1)</f>
        <v>0</v>
      </c>
      <c r="Y116" s="23" t="n">
        <f aca="false">IF($F50=1,IF(Y$45=1,INDEX(Assumptions!$E$44:$E$46,MATCH($C50,Assumptions!$A$44:$A$46,0))*$C$34,0),IF(Y$45=MAX($G50-1,1),INDEX(Assumptions!$E$44:$E$46,MATCH($C50,Assumptions!$A$44:$A$46,0)),0))*IF(AND($C50="Verified",$C$39=1),0,1)</f>
        <v>0</v>
      </c>
    </row>
    <row r="117" customFormat="false" ht="15" hidden="false" customHeight="false" outlineLevel="0" collapsed="false">
      <c r="A117" s="2" t="n">
        <f aca="false">A51</f>
        <v>4</v>
      </c>
      <c r="B117" s="2" t="str">
        <f aca="false">B51</f>
        <v>Pilot</v>
      </c>
      <c r="C117" s="2" t="str">
        <f aca="false">C51</f>
        <v>Assured</v>
      </c>
      <c r="D117" s="2"/>
      <c r="E117" s="2"/>
      <c r="F117" s="2"/>
      <c r="G117" s="2"/>
      <c r="H117" s="23" t="n">
        <f aca="false">IF($F51=1,IF(H$45=1,INDEX(Assumptions!$E$44:$E$46,MATCH($C51,Assumptions!$A$44:$A$46,0))*$C$34,0),IF(H$45=MAX($G51-1,1),INDEX(Assumptions!$E$44:$E$46,MATCH($C51,Assumptions!$A$44:$A$46,0)),0))*IF(AND($C51="Verified",$C$39=1),0,1)</f>
        <v>60000</v>
      </c>
      <c r="I117" s="23" t="n">
        <f aca="false">IF($F51=1,IF(I$45=1,INDEX(Assumptions!$E$44:$E$46,MATCH($C51,Assumptions!$A$44:$A$46,0))*$C$34,0),IF(I$45=MAX($G51-1,1),INDEX(Assumptions!$E$44:$E$46,MATCH($C51,Assumptions!$A$44:$A$46,0)),0))*IF(AND($C51="Verified",$C$39=1),0,1)</f>
        <v>0</v>
      </c>
      <c r="J117" s="23" t="n">
        <f aca="false">IF($F51=1,IF(J$45=1,INDEX(Assumptions!$E$44:$E$46,MATCH($C51,Assumptions!$A$44:$A$46,0))*$C$34,0),IF(J$45=MAX($G51-1,1),INDEX(Assumptions!$E$44:$E$46,MATCH($C51,Assumptions!$A$44:$A$46,0)),0))*IF(AND($C51="Verified",$C$39=1),0,1)</f>
        <v>0</v>
      </c>
      <c r="K117" s="23" t="n">
        <f aca="false">IF($F51=1,IF(K$45=1,INDEX(Assumptions!$E$44:$E$46,MATCH($C51,Assumptions!$A$44:$A$46,0))*$C$34,0),IF(K$45=MAX($G51-1,1),INDEX(Assumptions!$E$44:$E$46,MATCH($C51,Assumptions!$A$44:$A$46,0)),0))*IF(AND($C51="Verified",$C$39=1),0,1)</f>
        <v>0</v>
      </c>
      <c r="L117" s="23" t="n">
        <f aca="false">IF($F51=1,IF(L$45=1,INDEX(Assumptions!$E$44:$E$46,MATCH($C51,Assumptions!$A$44:$A$46,0))*$C$34,0),IF(L$45=MAX($G51-1,1),INDEX(Assumptions!$E$44:$E$46,MATCH($C51,Assumptions!$A$44:$A$46,0)),0))*IF(AND($C51="Verified",$C$39=1),0,1)</f>
        <v>0</v>
      </c>
      <c r="M117" s="23" t="n">
        <f aca="false">IF($F51=1,IF(M$45=1,INDEX(Assumptions!$E$44:$E$46,MATCH($C51,Assumptions!$A$44:$A$46,0))*$C$34,0),IF(M$45=MAX($G51-1,1),INDEX(Assumptions!$E$44:$E$46,MATCH($C51,Assumptions!$A$44:$A$46,0)),0))*IF(AND($C51="Verified",$C$39=1),0,1)</f>
        <v>0</v>
      </c>
      <c r="N117" s="23" t="n">
        <f aca="false">IF($F51=1,IF(N$45=1,INDEX(Assumptions!$E$44:$E$46,MATCH($C51,Assumptions!$A$44:$A$46,0))*$C$34,0),IF(N$45=MAX($G51-1,1),INDEX(Assumptions!$E$44:$E$46,MATCH($C51,Assumptions!$A$44:$A$46,0)),0))*IF(AND($C51="Verified",$C$39=1),0,1)</f>
        <v>0</v>
      </c>
      <c r="O117" s="23" t="n">
        <f aca="false">IF($F51=1,IF(O$45=1,INDEX(Assumptions!$E$44:$E$46,MATCH($C51,Assumptions!$A$44:$A$46,0))*$C$34,0),IF(O$45=MAX($G51-1,1),INDEX(Assumptions!$E$44:$E$46,MATCH($C51,Assumptions!$A$44:$A$46,0)),0))*IF(AND($C51="Verified",$C$39=1),0,1)</f>
        <v>0</v>
      </c>
      <c r="P117" s="23" t="n">
        <f aca="false">IF($F51=1,IF(P$45=1,INDEX(Assumptions!$E$44:$E$46,MATCH($C51,Assumptions!$A$44:$A$46,0))*$C$34,0),IF(P$45=MAX($G51-1,1),INDEX(Assumptions!$E$44:$E$46,MATCH($C51,Assumptions!$A$44:$A$46,0)),0))*IF(AND($C51="Verified",$C$39=1),0,1)</f>
        <v>0</v>
      </c>
      <c r="Q117" s="23" t="n">
        <f aca="false">IF($F51=1,IF(Q$45=1,INDEX(Assumptions!$E$44:$E$46,MATCH($C51,Assumptions!$A$44:$A$46,0))*$C$34,0),IF(Q$45=MAX($G51-1,1),INDEX(Assumptions!$E$44:$E$46,MATCH($C51,Assumptions!$A$44:$A$46,0)),0))*IF(AND($C51="Verified",$C$39=1),0,1)</f>
        <v>0</v>
      </c>
      <c r="R117" s="23" t="n">
        <f aca="false">IF($F51=1,IF(R$45=1,INDEX(Assumptions!$E$44:$E$46,MATCH($C51,Assumptions!$A$44:$A$46,0))*$C$34,0),IF(R$45=MAX($G51-1,1),INDEX(Assumptions!$E$44:$E$46,MATCH($C51,Assumptions!$A$44:$A$46,0)),0))*IF(AND($C51="Verified",$C$39=1),0,1)</f>
        <v>0</v>
      </c>
      <c r="S117" s="23" t="n">
        <f aca="false">IF($F51=1,IF(S$45=1,INDEX(Assumptions!$E$44:$E$46,MATCH($C51,Assumptions!$A$44:$A$46,0))*$C$34,0),IF(S$45=MAX($G51-1,1),INDEX(Assumptions!$E$44:$E$46,MATCH($C51,Assumptions!$A$44:$A$46,0)),0))*IF(AND($C51="Verified",$C$39=1),0,1)</f>
        <v>0</v>
      </c>
      <c r="T117" s="23" t="n">
        <f aca="false">IF($F51=1,IF(T$45=1,INDEX(Assumptions!$E$44:$E$46,MATCH($C51,Assumptions!$A$44:$A$46,0))*$C$34,0),IF(T$45=MAX($G51-1,1),INDEX(Assumptions!$E$44:$E$46,MATCH($C51,Assumptions!$A$44:$A$46,0)),0))*IF(AND($C51="Verified",$C$39=1),0,1)</f>
        <v>0</v>
      </c>
      <c r="U117" s="23" t="n">
        <f aca="false">IF($F51=1,IF(U$45=1,INDEX(Assumptions!$E$44:$E$46,MATCH($C51,Assumptions!$A$44:$A$46,0))*$C$34,0),IF(U$45=MAX($G51-1,1),INDEX(Assumptions!$E$44:$E$46,MATCH($C51,Assumptions!$A$44:$A$46,0)),0))*IF(AND($C51="Verified",$C$39=1),0,1)</f>
        <v>0</v>
      </c>
      <c r="V117" s="23" t="n">
        <f aca="false">IF($F51=1,IF(V$45=1,INDEX(Assumptions!$E$44:$E$46,MATCH($C51,Assumptions!$A$44:$A$46,0))*$C$34,0),IF(V$45=MAX($G51-1,1),INDEX(Assumptions!$E$44:$E$46,MATCH($C51,Assumptions!$A$44:$A$46,0)),0))*IF(AND($C51="Verified",$C$39=1),0,1)</f>
        <v>0</v>
      </c>
      <c r="W117" s="23" t="n">
        <f aca="false">IF($F51=1,IF(W$45=1,INDEX(Assumptions!$E$44:$E$46,MATCH($C51,Assumptions!$A$44:$A$46,0))*$C$34,0),IF(W$45=MAX($G51-1,1),INDEX(Assumptions!$E$44:$E$46,MATCH($C51,Assumptions!$A$44:$A$46,0)),0))*IF(AND($C51="Verified",$C$39=1),0,1)</f>
        <v>0</v>
      </c>
      <c r="X117" s="23" t="n">
        <f aca="false">IF($F51=1,IF(X$45=1,INDEX(Assumptions!$E$44:$E$46,MATCH($C51,Assumptions!$A$44:$A$46,0))*$C$34,0),IF(X$45=MAX($G51-1,1),INDEX(Assumptions!$E$44:$E$46,MATCH($C51,Assumptions!$A$44:$A$46,0)),0))*IF(AND($C51="Verified",$C$39=1),0,1)</f>
        <v>0</v>
      </c>
      <c r="Y117" s="23" t="n">
        <f aca="false">IF($F51=1,IF(Y$45=1,INDEX(Assumptions!$E$44:$E$46,MATCH($C51,Assumptions!$A$44:$A$46,0))*$C$34,0),IF(Y$45=MAX($G51-1,1),INDEX(Assumptions!$E$44:$E$46,MATCH($C51,Assumptions!$A$44:$A$46,0)),0))*IF(AND($C51="Verified",$C$39=1),0,1)</f>
        <v>0</v>
      </c>
    </row>
    <row r="118" customFormat="false" ht="15" hidden="false" customHeight="false" outlineLevel="0" collapsed="false">
      <c r="A118" s="2" t="n">
        <f aca="false">A52</f>
        <v>5</v>
      </c>
      <c r="B118" s="2" t="str">
        <f aca="false">B52</f>
        <v>A</v>
      </c>
      <c r="C118" s="2" t="str">
        <f aca="false">C52</f>
        <v>Assured</v>
      </c>
      <c r="D118" s="2"/>
      <c r="E118" s="2"/>
      <c r="F118" s="2"/>
      <c r="G118" s="2"/>
      <c r="H118" s="23" t="n">
        <f aca="false">IF($F52=1,IF(H$45=1,INDEX(Assumptions!$E$44:$E$46,MATCH($C52,Assumptions!$A$44:$A$46,0))*$C$34,0),IF(H$45=MAX($G52-1,1),INDEX(Assumptions!$E$44:$E$46,MATCH($C52,Assumptions!$A$44:$A$46,0)),0))*IF(AND($C52="Verified",$C$39=1),0,1)</f>
        <v>0</v>
      </c>
      <c r="I118" s="23" t="n">
        <f aca="false">IF($F52=1,IF(I$45=1,INDEX(Assumptions!$E$44:$E$46,MATCH($C52,Assumptions!$A$44:$A$46,0))*$C$34,0),IF(I$45=MAX($G52-1,1),INDEX(Assumptions!$E$44:$E$46,MATCH($C52,Assumptions!$A$44:$A$46,0)),0))*IF(AND($C52="Verified",$C$39=1),0,1)</f>
        <v>120000</v>
      </c>
      <c r="J118" s="23" t="n">
        <f aca="false">IF($F52=1,IF(J$45=1,INDEX(Assumptions!$E$44:$E$46,MATCH($C52,Assumptions!$A$44:$A$46,0))*$C$34,0),IF(J$45=MAX($G52-1,1),INDEX(Assumptions!$E$44:$E$46,MATCH($C52,Assumptions!$A$44:$A$46,0)),0))*IF(AND($C52="Verified",$C$39=1),0,1)</f>
        <v>0</v>
      </c>
      <c r="K118" s="23" t="n">
        <f aca="false">IF($F52=1,IF(K$45=1,INDEX(Assumptions!$E$44:$E$46,MATCH($C52,Assumptions!$A$44:$A$46,0))*$C$34,0),IF(K$45=MAX($G52-1,1),INDEX(Assumptions!$E$44:$E$46,MATCH($C52,Assumptions!$A$44:$A$46,0)),0))*IF(AND($C52="Verified",$C$39=1),0,1)</f>
        <v>0</v>
      </c>
      <c r="L118" s="23" t="n">
        <f aca="false">IF($F52=1,IF(L$45=1,INDEX(Assumptions!$E$44:$E$46,MATCH($C52,Assumptions!$A$44:$A$46,0))*$C$34,0),IF(L$45=MAX($G52-1,1),INDEX(Assumptions!$E$44:$E$46,MATCH($C52,Assumptions!$A$44:$A$46,0)),0))*IF(AND($C52="Verified",$C$39=1),0,1)</f>
        <v>0</v>
      </c>
      <c r="M118" s="23" t="n">
        <f aca="false">IF($F52=1,IF(M$45=1,INDEX(Assumptions!$E$44:$E$46,MATCH($C52,Assumptions!$A$44:$A$46,0))*$C$34,0),IF(M$45=MAX($G52-1,1),INDEX(Assumptions!$E$44:$E$46,MATCH($C52,Assumptions!$A$44:$A$46,0)),0))*IF(AND($C52="Verified",$C$39=1),0,1)</f>
        <v>0</v>
      </c>
      <c r="N118" s="23" t="n">
        <f aca="false">IF($F52=1,IF(N$45=1,INDEX(Assumptions!$E$44:$E$46,MATCH($C52,Assumptions!$A$44:$A$46,0))*$C$34,0),IF(N$45=MAX($G52-1,1),INDEX(Assumptions!$E$44:$E$46,MATCH($C52,Assumptions!$A$44:$A$46,0)),0))*IF(AND($C52="Verified",$C$39=1),0,1)</f>
        <v>0</v>
      </c>
      <c r="O118" s="23" t="n">
        <f aca="false">IF($F52=1,IF(O$45=1,INDEX(Assumptions!$E$44:$E$46,MATCH($C52,Assumptions!$A$44:$A$46,0))*$C$34,0),IF(O$45=MAX($G52-1,1),INDEX(Assumptions!$E$44:$E$46,MATCH($C52,Assumptions!$A$44:$A$46,0)),0))*IF(AND($C52="Verified",$C$39=1),0,1)</f>
        <v>0</v>
      </c>
      <c r="P118" s="23" t="n">
        <f aca="false">IF($F52=1,IF(P$45=1,INDEX(Assumptions!$E$44:$E$46,MATCH($C52,Assumptions!$A$44:$A$46,0))*$C$34,0),IF(P$45=MAX($G52-1,1),INDEX(Assumptions!$E$44:$E$46,MATCH($C52,Assumptions!$A$44:$A$46,0)),0))*IF(AND($C52="Verified",$C$39=1),0,1)</f>
        <v>0</v>
      </c>
      <c r="Q118" s="23" t="n">
        <f aca="false">IF($F52=1,IF(Q$45=1,INDEX(Assumptions!$E$44:$E$46,MATCH($C52,Assumptions!$A$44:$A$46,0))*$C$34,0),IF(Q$45=MAX($G52-1,1),INDEX(Assumptions!$E$44:$E$46,MATCH($C52,Assumptions!$A$44:$A$46,0)),0))*IF(AND($C52="Verified",$C$39=1),0,1)</f>
        <v>0</v>
      </c>
      <c r="R118" s="23" t="n">
        <f aca="false">IF($F52=1,IF(R$45=1,INDEX(Assumptions!$E$44:$E$46,MATCH($C52,Assumptions!$A$44:$A$46,0))*$C$34,0),IF(R$45=MAX($G52-1,1),INDEX(Assumptions!$E$44:$E$46,MATCH($C52,Assumptions!$A$44:$A$46,0)),0))*IF(AND($C52="Verified",$C$39=1),0,1)</f>
        <v>0</v>
      </c>
      <c r="S118" s="23" t="n">
        <f aca="false">IF($F52=1,IF(S$45=1,INDEX(Assumptions!$E$44:$E$46,MATCH($C52,Assumptions!$A$44:$A$46,0))*$C$34,0),IF(S$45=MAX($G52-1,1),INDEX(Assumptions!$E$44:$E$46,MATCH($C52,Assumptions!$A$44:$A$46,0)),0))*IF(AND($C52="Verified",$C$39=1),0,1)</f>
        <v>0</v>
      </c>
      <c r="T118" s="23" t="n">
        <f aca="false">IF($F52=1,IF(T$45=1,INDEX(Assumptions!$E$44:$E$46,MATCH($C52,Assumptions!$A$44:$A$46,0))*$C$34,0),IF(T$45=MAX($G52-1,1),INDEX(Assumptions!$E$44:$E$46,MATCH($C52,Assumptions!$A$44:$A$46,0)),0))*IF(AND($C52="Verified",$C$39=1),0,1)</f>
        <v>0</v>
      </c>
      <c r="U118" s="23" t="n">
        <f aca="false">IF($F52=1,IF(U$45=1,INDEX(Assumptions!$E$44:$E$46,MATCH($C52,Assumptions!$A$44:$A$46,0))*$C$34,0),IF(U$45=MAX($G52-1,1),INDEX(Assumptions!$E$44:$E$46,MATCH($C52,Assumptions!$A$44:$A$46,0)),0))*IF(AND($C52="Verified",$C$39=1),0,1)</f>
        <v>0</v>
      </c>
      <c r="V118" s="23" t="n">
        <f aca="false">IF($F52=1,IF(V$45=1,INDEX(Assumptions!$E$44:$E$46,MATCH($C52,Assumptions!$A$44:$A$46,0))*$C$34,0),IF(V$45=MAX($G52-1,1),INDEX(Assumptions!$E$44:$E$46,MATCH($C52,Assumptions!$A$44:$A$46,0)),0))*IF(AND($C52="Verified",$C$39=1),0,1)</f>
        <v>0</v>
      </c>
      <c r="W118" s="23" t="n">
        <f aca="false">IF($F52=1,IF(W$45=1,INDEX(Assumptions!$E$44:$E$46,MATCH($C52,Assumptions!$A$44:$A$46,0))*$C$34,0),IF(W$45=MAX($G52-1,1),INDEX(Assumptions!$E$44:$E$46,MATCH($C52,Assumptions!$A$44:$A$46,0)),0))*IF(AND($C52="Verified",$C$39=1),0,1)</f>
        <v>0</v>
      </c>
      <c r="X118" s="23" t="n">
        <f aca="false">IF($F52=1,IF(X$45=1,INDEX(Assumptions!$E$44:$E$46,MATCH($C52,Assumptions!$A$44:$A$46,0))*$C$34,0),IF(X$45=MAX($G52-1,1),INDEX(Assumptions!$E$44:$E$46,MATCH($C52,Assumptions!$A$44:$A$46,0)),0))*IF(AND($C52="Verified",$C$39=1),0,1)</f>
        <v>0</v>
      </c>
      <c r="Y118" s="23" t="n">
        <f aca="false">IF($F52=1,IF(Y$45=1,INDEX(Assumptions!$E$44:$E$46,MATCH($C52,Assumptions!$A$44:$A$46,0))*$C$34,0),IF(Y$45=MAX($G52-1,1),INDEX(Assumptions!$E$44:$E$46,MATCH($C52,Assumptions!$A$44:$A$46,0)),0))*IF(AND($C52="Verified",$C$39=1),0,1)</f>
        <v>0</v>
      </c>
    </row>
    <row r="119" customFormat="false" ht="15" hidden="false" customHeight="false" outlineLevel="0" collapsed="false">
      <c r="A119" s="2" t="n">
        <f aca="false">A53</f>
        <v>6</v>
      </c>
      <c r="B119" s="2" t="str">
        <f aca="false">B53</f>
        <v>A</v>
      </c>
      <c r="C119" s="2" t="str">
        <f aca="false">C53</f>
        <v>Assured</v>
      </c>
      <c r="D119" s="2"/>
      <c r="E119" s="2"/>
      <c r="F119" s="2"/>
      <c r="G119" s="2"/>
      <c r="H119" s="23" t="n">
        <f aca="false">IF($F53=1,IF(H$45=1,INDEX(Assumptions!$E$44:$E$46,MATCH($C53,Assumptions!$A$44:$A$46,0))*$C$34,0),IF(H$45=MAX($G53-1,1),INDEX(Assumptions!$E$44:$E$46,MATCH($C53,Assumptions!$A$44:$A$46,0)),0))*IF(AND($C53="Verified",$C$39=1),0,1)</f>
        <v>0</v>
      </c>
      <c r="I119" s="23" t="n">
        <f aca="false">IF($F53=1,IF(I$45=1,INDEX(Assumptions!$E$44:$E$46,MATCH($C53,Assumptions!$A$44:$A$46,0))*$C$34,0),IF(I$45=MAX($G53-1,1),INDEX(Assumptions!$E$44:$E$46,MATCH($C53,Assumptions!$A$44:$A$46,0)),0))*IF(AND($C53="Verified",$C$39=1),0,1)</f>
        <v>120000</v>
      </c>
      <c r="J119" s="23" t="n">
        <f aca="false">IF($F53=1,IF(J$45=1,INDEX(Assumptions!$E$44:$E$46,MATCH($C53,Assumptions!$A$44:$A$46,0))*$C$34,0),IF(J$45=MAX($G53-1,1),INDEX(Assumptions!$E$44:$E$46,MATCH($C53,Assumptions!$A$44:$A$46,0)),0))*IF(AND($C53="Verified",$C$39=1),0,1)</f>
        <v>0</v>
      </c>
      <c r="K119" s="23" t="n">
        <f aca="false">IF($F53=1,IF(K$45=1,INDEX(Assumptions!$E$44:$E$46,MATCH($C53,Assumptions!$A$44:$A$46,0))*$C$34,0),IF(K$45=MAX($G53-1,1),INDEX(Assumptions!$E$44:$E$46,MATCH($C53,Assumptions!$A$44:$A$46,0)),0))*IF(AND($C53="Verified",$C$39=1),0,1)</f>
        <v>0</v>
      </c>
      <c r="L119" s="23" t="n">
        <f aca="false">IF($F53=1,IF(L$45=1,INDEX(Assumptions!$E$44:$E$46,MATCH($C53,Assumptions!$A$44:$A$46,0))*$C$34,0),IF(L$45=MAX($G53-1,1),INDEX(Assumptions!$E$44:$E$46,MATCH($C53,Assumptions!$A$44:$A$46,0)),0))*IF(AND($C53="Verified",$C$39=1),0,1)</f>
        <v>0</v>
      </c>
      <c r="M119" s="23" t="n">
        <f aca="false">IF($F53=1,IF(M$45=1,INDEX(Assumptions!$E$44:$E$46,MATCH($C53,Assumptions!$A$44:$A$46,0))*$C$34,0),IF(M$45=MAX($G53-1,1),INDEX(Assumptions!$E$44:$E$46,MATCH($C53,Assumptions!$A$44:$A$46,0)),0))*IF(AND($C53="Verified",$C$39=1),0,1)</f>
        <v>0</v>
      </c>
      <c r="N119" s="23" t="n">
        <f aca="false">IF($F53=1,IF(N$45=1,INDEX(Assumptions!$E$44:$E$46,MATCH($C53,Assumptions!$A$44:$A$46,0))*$C$34,0),IF(N$45=MAX($G53-1,1),INDEX(Assumptions!$E$44:$E$46,MATCH($C53,Assumptions!$A$44:$A$46,0)),0))*IF(AND($C53="Verified",$C$39=1),0,1)</f>
        <v>0</v>
      </c>
      <c r="O119" s="23" t="n">
        <f aca="false">IF($F53=1,IF(O$45=1,INDEX(Assumptions!$E$44:$E$46,MATCH($C53,Assumptions!$A$44:$A$46,0))*$C$34,0),IF(O$45=MAX($G53-1,1),INDEX(Assumptions!$E$44:$E$46,MATCH($C53,Assumptions!$A$44:$A$46,0)),0))*IF(AND($C53="Verified",$C$39=1),0,1)</f>
        <v>0</v>
      </c>
      <c r="P119" s="23" t="n">
        <f aca="false">IF($F53=1,IF(P$45=1,INDEX(Assumptions!$E$44:$E$46,MATCH($C53,Assumptions!$A$44:$A$46,0))*$C$34,0),IF(P$45=MAX($G53-1,1),INDEX(Assumptions!$E$44:$E$46,MATCH($C53,Assumptions!$A$44:$A$46,0)),0))*IF(AND($C53="Verified",$C$39=1),0,1)</f>
        <v>0</v>
      </c>
      <c r="Q119" s="23" t="n">
        <f aca="false">IF($F53=1,IF(Q$45=1,INDEX(Assumptions!$E$44:$E$46,MATCH($C53,Assumptions!$A$44:$A$46,0))*$C$34,0),IF(Q$45=MAX($G53-1,1),INDEX(Assumptions!$E$44:$E$46,MATCH($C53,Assumptions!$A$44:$A$46,0)),0))*IF(AND($C53="Verified",$C$39=1),0,1)</f>
        <v>0</v>
      </c>
      <c r="R119" s="23" t="n">
        <f aca="false">IF($F53=1,IF(R$45=1,INDEX(Assumptions!$E$44:$E$46,MATCH($C53,Assumptions!$A$44:$A$46,0))*$C$34,0),IF(R$45=MAX($G53-1,1),INDEX(Assumptions!$E$44:$E$46,MATCH($C53,Assumptions!$A$44:$A$46,0)),0))*IF(AND($C53="Verified",$C$39=1),0,1)</f>
        <v>0</v>
      </c>
      <c r="S119" s="23" t="n">
        <f aca="false">IF($F53=1,IF(S$45=1,INDEX(Assumptions!$E$44:$E$46,MATCH($C53,Assumptions!$A$44:$A$46,0))*$C$34,0),IF(S$45=MAX($G53-1,1),INDEX(Assumptions!$E$44:$E$46,MATCH($C53,Assumptions!$A$44:$A$46,0)),0))*IF(AND($C53="Verified",$C$39=1),0,1)</f>
        <v>0</v>
      </c>
      <c r="T119" s="23" t="n">
        <f aca="false">IF($F53=1,IF(T$45=1,INDEX(Assumptions!$E$44:$E$46,MATCH($C53,Assumptions!$A$44:$A$46,0))*$C$34,0),IF(T$45=MAX($G53-1,1),INDEX(Assumptions!$E$44:$E$46,MATCH($C53,Assumptions!$A$44:$A$46,0)),0))*IF(AND($C53="Verified",$C$39=1),0,1)</f>
        <v>0</v>
      </c>
      <c r="U119" s="23" t="n">
        <f aca="false">IF($F53=1,IF(U$45=1,INDEX(Assumptions!$E$44:$E$46,MATCH($C53,Assumptions!$A$44:$A$46,0))*$C$34,0),IF(U$45=MAX($G53-1,1),INDEX(Assumptions!$E$44:$E$46,MATCH($C53,Assumptions!$A$44:$A$46,0)),0))*IF(AND($C53="Verified",$C$39=1),0,1)</f>
        <v>0</v>
      </c>
      <c r="V119" s="23" t="n">
        <f aca="false">IF($F53=1,IF(V$45=1,INDEX(Assumptions!$E$44:$E$46,MATCH($C53,Assumptions!$A$44:$A$46,0))*$C$34,0),IF(V$45=MAX($G53-1,1),INDEX(Assumptions!$E$44:$E$46,MATCH($C53,Assumptions!$A$44:$A$46,0)),0))*IF(AND($C53="Verified",$C$39=1),0,1)</f>
        <v>0</v>
      </c>
      <c r="W119" s="23" t="n">
        <f aca="false">IF($F53=1,IF(W$45=1,INDEX(Assumptions!$E$44:$E$46,MATCH($C53,Assumptions!$A$44:$A$46,0))*$C$34,0),IF(W$45=MAX($G53-1,1),INDEX(Assumptions!$E$44:$E$46,MATCH($C53,Assumptions!$A$44:$A$46,0)),0))*IF(AND($C53="Verified",$C$39=1),0,1)</f>
        <v>0</v>
      </c>
      <c r="X119" s="23" t="n">
        <f aca="false">IF($F53=1,IF(X$45=1,INDEX(Assumptions!$E$44:$E$46,MATCH($C53,Assumptions!$A$44:$A$46,0))*$C$34,0),IF(X$45=MAX($G53-1,1),INDEX(Assumptions!$E$44:$E$46,MATCH($C53,Assumptions!$A$44:$A$46,0)),0))*IF(AND($C53="Verified",$C$39=1),0,1)</f>
        <v>0</v>
      </c>
      <c r="Y119" s="23" t="n">
        <f aca="false">IF($F53=1,IF(Y$45=1,INDEX(Assumptions!$E$44:$E$46,MATCH($C53,Assumptions!$A$44:$A$46,0))*$C$34,0),IF(Y$45=MAX($G53-1,1),INDEX(Assumptions!$E$44:$E$46,MATCH($C53,Assumptions!$A$44:$A$46,0)),0))*IF(AND($C53="Verified",$C$39=1),0,1)</f>
        <v>0</v>
      </c>
    </row>
    <row r="120" customFormat="false" ht="15" hidden="false" customHeight="false" outlineLevel="0" collapsed="false">
      <c r="A120" s="2" t="n">
        <f aca="false">A54</f>
        <v>7</v>
      </c>
      <c r="B120" s="2" t="str">
        <f aca="false">B54</f>
        <v>A</v>
      </c>
      <c r="C120" s="2" t="str">
        <f aca="false">C54</f>
        <v>Assured</v>
      </c>
      <c r="D120" s="2"/>
      <c r="E120" s="2"/>
      <c r="F120" s="2"/>
      <c r="G120" s="2"/>
      <c r="H120" s="23" t="n">
        <f aca="false">IF($F54=1,IF(H$45=1,INDEX(Assumptions!$E$44:$E$46,MATCH($C54,Assumptions!$A$44:$A$46,0))*$C$34,0),IF(H$45=MAX($G54-1,1),INDEX(Assumptions!$E$44:$E$46,MATCH($C54,Assumptions!$A$44:$A$46,0)),0))*IF(AND($C54="Verified",$C$39=1),0,1)</f>
        <v>0</v>
      </c>
      <c r="I120" s="23" t="n">
        <f aca="false">IF($F54=1,IF(I$45=1,INDEX(Assumptions!$E$44:$E$46,MATCH($C54,Assumptions!$A$44:$A$46,0))*$C$34,0),IF(I$45=MAX($G54-1,1),INDEX(Assumptions!$E$44:$E$46,MATCH($C54,Assumptions!$A$44:$A$46,0)),0))*IF(AND($C54="Verified",$C$39=1),0,1)</f>
        <v>0</v>
      </c>
      <c r="J120" s="23" t="n">
        <f aca="false">IF($F54=1,IF(J$45=1,INDEX(Assumptions!$E$44:$E$46,MATCH($C54,Assumptions!$A$44:$A$46,0))*$C$34,0),IF(J$45=MAX($G54-1,1),INDEX(Assumptions!$E$44:$E$46,MATCH($C54,Assumptions!$A$44:$A$46,0)),0))*IF(AND($C54="Verified",$C$39=1),0,1)</f>
        <v>120000</v>
      </c>
      <c r="K120" s="23" t="n">
        <f aca="false">IF($F54=1,IF(K$45=1,INDEX(Assumptions!$E$44:$E$46,MATCH($C54,Assumptions!$A$44:$A$46,0))*$C$34,0),IF(K$45=MAX($G54-1,1),INDEX(Assumptions!$E$44:$E$46,MATCH($C54,Assumptions!$A$44:$A$46,0)),0))*IF(AND($C54="Verified",$C$39=1),0,1)</f>
        <v>0</v>
      </c>
      <c r="L120" s="23" t="n">
        <f aca="false">IF($F54=1,IF(L$45=1,INDEX(Assumptions!$E$44:$E$46,MATCH($C54,Assumptions!$A$44:$A$46,0))*$C$34,0),IF(L$45=MAX($G54-1,1),INDEX(Assumptions!$E$44:$E$46,MATCH($C54,Assumptions!$A$44:$A$46,0)),0))*IF(AND($C54="Verified",$C$39=1),0,1)</f>
        <v>0</v>
      </c>
      <c r="M120" s="23" t="n">
        <f aca="false">IF($F54=1,IF(M$45=1,INDEX(Assumptions!$E$44:$E$46,MATCH($C54,Assumptions!$A$44:$A$46,0))*$C$34,0),IF(M$45=MAX($G54-1,1),INDEX(Assumptions!$E$44:$E$46,MATCH($C54,Assumptions!$A$44:$A$46,0)),0))*IF(AND($C54="Verified",$C$39=1),0,1)</f>
        <v>0</v>
      </c>
      <c r="N120" s="23" t="n">
        <f aca="false">IF($F54=1,IF(N$45=1,INDEX(Assumptions!$E$44:$E$46,MATCH($C54,Assumptions!$A$44:$A$46,0))*$C$34,0),IF(N$45=MAX($G54-1,1),INDEX(Assumptions!$E$44:$E$46,MATCH($C54,Assumptions!$A$44:$A$46,0)),0))*IF(AND($C54="Verified",$C$39=1),0,1)</f>
        <v>0</v>
      </c>
      <c r="O120" s="23" t="n">
        <f aca="false">IF($F54=1,IF(O$45=1,INDEX(Assumptions!$E$44:$E$46,MATCH($C54,Assumptions!$A$44:$A$46,0))*$C$34,0),IF(O$45=MAX($G54-1,1),INDEX(Assumptions!$E$44:$E$46,MATCH($C54,Assumptions!$A$44:$A$46,0)),0))*IF(AND($C54="Verified",$C$39=1),0,1)</f>
        <v>0</v>
      </c>
      <c r="P120" s="23" t="n">
        <f aca="false">IF($F54=1,IF(P$45=1,INDEX(Assumptions!$E$44:$E$46,MATCH($C54,Assumptions!$A$44:$A$46,0))*$C$34,0),IF(P$45=MAX($G54-1,1),INDEX(Assumptions!$E$44:$E$46,MATCH($C54,Assumptions!$A$44:$A$46,0)),0))*IF(AND($C54="Verified",$C$39=1),0,1)</f>
        <v>0</v>
      </c>
      <c r="Q120" s="23" t="n">
        <f aca="false">IF($F54=1,IF(Q$45=1,INDEX(Assumptions!$E$44:$E$46,MATCH($C54,Assumptions!$A$44:$A$46,0))*$C$34,0),IF(Q$45=MAX($G54-1,1),INDEX(Assumptions!$E$44:$E$46,MATCH($C54,Assumptions!$A$44:$A$46,0)),0))*IF(AND($C54="Verified",$C$39=1),0,1)</f>
        <v>0</v>
      </c>
      <c r="R120" s="23" t="n">
        <f aca="false">IF($F54=1,IF(R$45=1,INDEX(Assumptions!$E$44:$E$46,MATCH($C54,Assumptions!$A$44:$A$46,0))*$C$34,0),IF(R$45=MAX($G54-1,1),INDEX(Assumptions!$E$44:$E$46,MATCH($C54,Assumptions!$A$44:$A$46,0)),0))*IF(AND($C54="Verified",$C$39=1),0,1)</f>
        <v>0</v>
      </c>
      <c r="S120" s="23" t="n">
        <f aca="false">IF($F54=1,IF(S$45=1,INDEX(Assumptions!$E$44:$E$46,MATCH($C54,Assumptions!$A$44:$A$46,0))*$C$34,0),IF(S$45=MAX($G54-1,1),INDEX(Assumptions!$E$44:$E$46,MATCH($C54,Assumptions!$A$44:$A$46,0)),0))*IF(AND($C54="Verified",$C$39=1),0,1)</f>
        <v>0</v>
      </c>
      <c r="T120" s="23" t="n">
        <f aca="false">IF($F54=1,IF(T$45=1,INDEX(Assumptions!$E$44:$E$46,MATCH($C54,Assumptions!$A$44:$A$46,0))*$C$34,0),IF(T$45=MAX($G54-1,1),INDEX(Assumptions!$E$44:$E$46,MATCH($C54,Assumptions!$A$44:$A$46,0)),0))*IF(AND($C54="Verified",$C$39=1),0,1)</f>
        <v>0</v>
      </c>
      <c r="U120" s="23" t="n">
        <f aca="false">IF($F54=1,IF(U$45=1,INDEX(Assumptions!$E$44:$E$46,MATCH($C54,Assumptions!$A$44:$A$46,0))*$C$34,0),IF(U$45=MAX($G54-1,1),INDEX(Assumptions!$E$44:$E$46,MATCH($C54,Assumptions!$A$44:$A$46,0)),0))*IF(AND($C54="Verified",$C$39=1),0,1)</f>
        <v>0</v>
      </c>
      <c r="V120" s="23" t="n">
        <f aca="false">IF($F54=1,IF(V$45=1,INDEX(Assumptions!$E$44:$E$46,MATCH($C54,Assumptions!$A$44:$A$46,0))*$C$34,0),IF(V$45=MAX($G54-1,1),INDEX(Assumptions!$E$44:$E$46,MATCH($C54,Assumptions!$A$44:$A$46,0)),0))*IF(AND($C54="Verified",$C$39=1),0,1)</f>
        <v>0</v>
      </c>
      <c r="W120" s="23" t="n">
        <f aca="false">IF($F54=1,IF(W$45=1,INDEX(Assumptions!$E$44:$E$46,MATCH($C54,Assumptions!$A$44:$A$46,0))*$C$34,0),IF(W$45=MAX($G54-1,1),INDEX(Assumptions!$E$44:$E$46,MATCH($C54,Assumptions!$A$44:$A$46,0)),0))*IF(AND($C54="Verified",$C$39=1),0,1)</f>
        <v>0</v>
      </c>
      <c r="X120" s="23" t="n">
        <f aca="false">IF($F54=1,IF(X$45=1,INDEX(Assumptions!$E$44:$E$46,MATCH($C54,Assumptions!$A$44:$A$46,0))*$C$34,0),IF(X$45=MAX($G54-1,1),INDEX(Assumptions!$E$44:$E$46,MATCH($C54,Assumptions!$A$44:$A$46,0)),0))*IF(AND($C54="Verified",$C$39=1),0,1)</f>
        <v>0</v>
      </c>
      <c r="Y120" s="23" t="n">
        <f aca="false">IF($F54=1,IF(Y$45=1,INDEX(Assumptions!$E$44:$E$46,MATCH($C54,Assumptions!$A$44:$A$46,0))*$C$34,0),IF(Y$45=MAX($G54-1,1),INDEX(Assumptions!$E$44:$E$46,MATCH($C54,Assumptions!$A$44:$A$46,0)),0))*IF(AND($C54="Verified",$C$39=1),0,1)</f>
        <v>0</v>
      </c>
    </row>
    <row r="121" customFormat="false" ht="15" hidden="false" customHeight="false" outlineLevel="0" collapsed="false">
      <c r="A121" s="2" t="n">
        <f aca="false">A55</f>
        <v>8</v>
      </c>
      <c r="B121" s="2" t="str">
        <f aca="false">B55</f>
        <v>A</v>
      </c>
      <c r="C121" s="2" t="str">
        <f aca="false">C55</f>
        <v>Assured</v>
      </c>
      <c r="D121" s="2"/>
      <c r="E121" s="2"/>
      <c r="F121" s="2"/>
      <c r="G121" s="2"/>
      <c r="H121" s="23" t="n">
        <f aca="false">IF($F55=1,IF(H$45=1,INDEX(Assumptions!$E$44:$E$46,MATCH($C55,Assumptions!$A$44:$A$46,0))*$C$34,0),IF(H$45=MAX($G55-1,1),INDEX(Assumptions!$E$44:$E$46,MATCH($C55,Assumptions!$A$44:$A$46,0)),0))*IF(AND($C55="Verified",$C$39=1),0,1)</f>
        <v>0</v>
      </c>
      <c r="I121" s="23" t="n">
        <f aca="false">IF($F55=1,IF(I$45=1,INDEX(Assumptions!$E$44:$E$46,MATCH($C55,Assumptions!$A$44:$A$46,0))*$C$34,0),IF(I$45=MAX($G55-1,1),INDEX(Assumptions!$E$44:$E$46,MATCH($C55,Assumptions!$A$44:$A$46,0)),0))*IF(AND($C55="Verified",$C$39=1),0,1)</f>
        <v>0</v>
      </c>
      <c r="J121" s="23" t="n">
        <f aca="false">IF($F55=1,IF(J$45=1,INDEX(Assumptions!$E$44:$E$46,MATCH($C55,Assumptions!$A$44:$A$46,0))*$C$34,0),IF(J$45=MAX($G55-1,1),INDEX(Assumptions!$E$44:$E$46,MATCH($C55,Assumptions!$A$44:$A$46,0)),0))*IF(AND($C55="Verified",$C$39=1),0,1)</f>
        <v>120000</v>
      </c>
      <c r="K121" s="23" t="n">
        <f aca="false">IF($F55=1,IF(K$45=1,INDEX(Assumptions!$E$44:$E$46,MATCH($C55,Assumptions!$A$44:$A$46,0))*$C$34,0),IF(K$45=MAX($G55-1,1),INDEX(Assumptions!$E$44:$E$46,MATCH($C55,Assumptions!$A$44:$A$46,0)),0))*IF(AND($C55="Verified",$C$39=1),0,1)</f>
        <v>0</v>
      </c>
      <c r="L121" s="23" t="n">
        <f aca="false">IF($F55=1,IF(L$45=1,INDEX(Assumptions!$E$44:$E$46,MATCH($C55,Assumptions!$A$44:$A$46,0))*$C$34,0),IF(L$45=MAX($G55-1,1),INDEX(Assumptions!$E$44:$E$46,MATCH($C55,Assumptions!$A$44:$A$46,0)),0))*IF(AND($C55="Verified",$C$39=1),0,1)</f>
        <v>0</v>
      </c>
      <c r="M121" s="23" t="n">
        <f aca="false">IF($F55=1,IF(M$45=1,INDEX(Assumptions!$E$44:$E$46,MATCH($C55,Assumptions!$A$44:$A$46,0))*$C$34,0),IF(M$45=MAX($G55-1,1),INDEX(Assumptions!$E$44:$E$46,MATCH($C55,Assumptions!$A$44:$A$46,0)),0))*IF(AND($C55="Verified",$C$39=1),0,1)</f>
        <v>0</v>
      </c>
      <c r="N121" s="23" t="n">
        <f aca="false">IF($F55=1,IF(N$45=1,INDEX(Assumptions!$E$44:$E$46,MATCH($C55,Assumptions!$A$44:$A$46,0))*$C$34,0),IF(N$45=MAX($G55-1,1),INDEX(Assumptions!$E$44:$E$46,MATCH($C55,Assumptions!$A$44:$A$46,0)),0))*IF(AND($C55="Verified",$C$39=1),0,1)</f>
        <v>0</v>
      </c>
      <c r="O121" s="23" t="n">
        <f aca="false">IF($F55=1,IF(O$45=1,INDEX(Assumptions!$E$44:$E$46,MATCH($C55,Assumptions!$A$44:$A$46,0))*$C$34,0),IF(O$45=MAX($G55-1,1),INDEX(Assumptions!$E$44:$E$46,MATCH($C55,Assumptions!$A$44:$A$46,0)),0))*IF(AND($C55="Verified",$C$39=1),0,1)</f>
        <v>0</v>
      </c>
      <c r="P121" s="23" t="n">
        <f aca="false">IF($F55=1,IF(P$45=1,INDEX(Assumptions!$E$44:$E$46,MATCH($C55,Assumptions!$A$44:$A$46,0))*$C$34,0),IF(P$45=MAX($G55-1,1),INDEX(Assumptions!$E$44:$E$46,MATCH($C55,Assumptions!$A$44:$A$46,0)),0))*IF(AND($C55="Verified",$C$39=1),0,1)</f>
        <v>0</v>
      </c>
      <c r="Q121" s="23" t="n">
        <f aca="false">IF($F55=1,IF(Q$45=1,INDEX(Assumptions!$E$44:$E$46,MATCH($C55,Assumptions!$A$44:$A$46,0))*$C$34,0),IF(Q$45=MAX($G55-1,1),INDEX(Assumptions!$E$44:$E$46,MATCH($C55,Assumptions!$A$44:$A$46,0)),0))*IF(AND($C55="Verified",$C$39=1),0,1)</f>
        <v>0</v>
      </c>
      <c r="R121" s="23" t="n">
        <f aca="false">IF($F55=1,IF(R$45=1,INDEX(Assumptions!$E$44:$E$46,MATCH($C55,Assumptions!$A$44:$A$46,0))*$C$34,0),IF(R$45=MAX($G55-1,1),INDEX(Assumptions!$E$44:$E$46,MATCH($C55,Assumptions!$A$44:$A$46,0)),0))*IF(AND($C55="Verified",$C$39=1),0,1)</f>
        <v>0</v>
      </c>
      <c r="S121" s="23" t="n">
        <f aca="false">IF($F55=1,IF(S$45=1,INDEX(Assumptions!$E$44:$E$46,MATCH($C55,Assumptions!$A$44:$A$46,0))*$C$34,0),IF(S$45=MAX($G55-1,1),INDEX(Assumptions!$E$44:$E$46,MATCH($C55,Assumptions!$A$44:$A$46,0)),0))*IF(AND($C55="Verified",$C$39=1),0,1)</f>
        <v>0</v>
      </c>
      <c r="T121" s="23" t="n">
        <f aca="false">IF($F55=1,IF(T$45=1,INDEX(Assumptions!$E$44:$E$46,MATCH($C55,Assumptions!$A$44:$A$46,0))*$C$34,0),IF(T$45=MAX($G55-1,1),INDEX(Assumptions!$E$44:$E$46,MATCH($C55,Assumptions!$A$44:$A$46,0)),0))*IF(AND($C55="Verified",$C$39=1),0,1)</f>
        <v>0</v>
      </c>
      <c r="U121" s="23" t="n">
        <f aca="false">IF($F55=1,IF(U$45=1,INDEX(Assumptions!$E$44:$E$46,MATCH($C55,Assumptions!$A$44:$A$46,0))*$C$34,0),IF(U$45=MAX($G55-1,1),INDEX(Assumptions!$E$44:$E$46,MATCH($C55,Assumptions!$A$44:$A$46,0)),0))*IF(AND($C55="Verified",$C$39=1),0,1)</f>
        <v>0</v>
      </c>
      <c r="V121" s="23" t="n">
        <f aca="false">IF($F55=1,IF(V$45=1,INDEX(Assumptions!$E$44:$E$46,MATCH($C55,Assumptions!$A$44:$A$46,0))*$C$34,0),IF(V$45=MAX($G55-1,1),INDEX(Assumptions!$E$44:$E$46,MATCH($C55,Assumptions!$A$44:$A$46,0)),0))*IF(AND($C55="Verified",$C$39=1),0,1)</f>
        <v>0</v>
      </c>
      <c r="W121" s="23" t="n">
        <f aca="false">IF($F55=1,IF(W$45=1,INDEX(Assumptions!$E$44:$E$46,MATCH($C55,Assumptions!$A$44:$A$46,0))*$C$34,0),IF(W$45=MAX($G55-1,1),INDEX(Assumptions!$E$44:$E$46,MATCH($C55,Assumptions!$A$44:$A$46,0)),0))*IF(AND($C55="Verified",$C$39=1),0,1)</f>
        <v>0</v>
      </c>
      <c r="X121" s="23" t="n">
        <f aca="false">IF($F55=1,IF(X$45=1,INDEX(Assumptions!$E$44:$E$46,MATCH($C55,Assumptions!$A$44:$A$46,0))*$C$34,0),IF(X$45=MAX($G55-1,1),INDEX(Assumptions!$E$44:$E$46,MATCH($C55,Assumptions!$A$44:$A$46,0)),0))*IF(AND($C55="Verified",$C$39=1),0,1)</f>
        <v>0</v>
      </c>
      <c r="Y121" s="23" t="n">
        <f aca="false">IF($F55=1,IF(Y$45=1,INDEX(Assumptions!$E$44:$E$46,MATCH($C55,Assumptions!$A$44:$A$46,0))*$C$34,0),IF(Y$45=MAX($G55-1,1),INDEX(Assumptions!$E$44:$E$46,MATCH($C55,Assumptions!$A$44:$A$46,0)),0))*IF(AND($C55="Verified",$C$39=1),0,1)</f>
        <v>0</v>
      </c>
    </row>
    <row r="122" customFormat="false" ht="15" hidden="false" customHeight="false" outlineLevel="0" collapsed="false">
      <c r="A122" s="2" t="n">
        <f aca="false">A56</f>
        <v>9</v>
      </c>
      <c r="B122" s="2" t="str">
        <f aca="false">B56</f>
        <v>A</v>
      </c>
      <c r="C122" s="2" t="str">
        <f aca="false">C56</f>
        <v>Assured</v>
      </c>
      <c r="D122" s="2"/>
      <c r="E122" s="2"/>
      <c r="F122" s="2"/>
      <c r="G122" s="2"/>
      <c r="H122" s="23" t="n">
        <f aca="false">IF($F56=1,IF(H$45=1,INDEX(Assumptions!$E$44:$E$46,MATCH($C56,Assumptions!$A$44:$A$46,0))*$C$34,0),IF(H$45=MAX($G56-1,1),INDEX(Assumptions!$E$44:$E$46,MATCH($C56,Assumptions!$A$44:$A$46,0)),0))*IF(AND($C56="Verified",$C$39=1),0,1)</f>
        <v>0</v>
      </c>
      <c r="I122" s="23" t="n">
        <f aca="false">IF($F56=1,IF(I$45=1,INDEX(Assumptions!$E$44:$E$46,MATCH($C56,Assumptions!$A$44:$A$46,0))*$C$34,0),IF(I$45=MAX($G56-1,1),INDEX(Assumptions!$E$44:$E$46,MATCH($C56,Assumptions!$A$44:$A$46,0)),0))*IF(AND($C56="Verified",$C$39=1),0,1)</f>
        <v>0</v>
      </c>
      <c r="J122" s="23" t="n">
        <f aca="false">IF($F56=1,IF(J$45=1,INDEX(Assumptions!$E$44:$E$46,MATCH($C56,Assumptions!$A$44:$A$46,0))*$C$34,0),IF(J$45=MAX($G56-1,1),INDEX(Assumptions!$E$44:$E$46,MATCH($C56,Assumptions!$A$44:$A$46,0)),0))*IF(AND($C56="Verified",$C$39=1),0,1)</f>
        <v>0</v>
      </c>
      <c r="K122" s="23" t="n">
        <f aca="false">IF($F56=1,IF(K$45=1,INDEX(Assumptions!$E$44:$E$46,MATCH($C56,Assumptions!$A$44:$A$46,0))*$C$34,0),IF(K$45=MAX($G56-1,1),INDEX(Assumptions!$E$44:$E$46,MATCH($C56,Assumptions!$A$44:$A$46,0)),0))*IF(AND($C56="Verified",$C$39=1),0,1)</f>
        <v>120000</v>
      </c>
      <c r="L122" s="23" t="n">
        <f aca="false">IF($F56=1,IF(L$45=1,INDEX(Assumptions!$E$44:$E$46,MATCH($C56,Assumptions!$A$44:$A$46,0))*$C$34,0),IF(L$45=MAX($G56-1,1),INDEX(Assumptions!$E$44:$E$46,MATCH($C56,Assumptions!$A$44:$A$46,0)),0))*IF(AND($C56="Verified",$C$39=1),0,1)</f>
        <v>0</v>
      </c>
      <c r="M122" s="23" t="n">
        <f aca="false">IF($F56=1,IF(M$45=1,INDEX(Assumptions!$E$44:$E$46,MATCH($C56,Assumptions!$A$44:$A$46,0))*$C$34,0),IF(M$45=MAX($G56-1,1),INDEX(Assumptions!$E$44:$E$46,MATCH($C56,Assumptions!$A$44:$A$46,0)),0))*IF(AND($C56="Verified",$C$39=1),0,1)</f>
        <v>0</v>
      </c>
      <c r="N122" s="23" t="n">
        <f aca="false">IF($F56=1,IF(N$45=1,INDEX(Assumptions!$E$44:$E$46,MATCH($C56,Assumptions!$A$44:$A$46,0))*$C$34,0),IF(N$45=MAX($G56-1,1),INDEX(Assumptions!$E$44:$E$46,MATCH($C56,Assumptions!$A$44:$A$46,0)),0))*IF(AND($C56="Verified",$C$39=1),0,1)</f>
        <v>0</v>
      </c>
      <c r="O122" s="23" t="n">
        <f aca="false">IF($F56=1,IF(O$45=1,INDEX(Assumptions!$E$44:$E$46,MATCH($C56,Assumptions!$A$44:$A$46,0))*$C$34,0),IF(O$45=MAX($G56-1,1),INDEX(Assumptions!$E$44:$E$46,MATCH($C56,Assumptions!$A$44:$A$46,0)),0))*IF(AND($C56="Verified",$C$39=1),0,1)</f>
        <v>0</v>
      </c>
      <c r="P122" s="23" t="n">
        <f aca="false">IF($F56=1,IF(P$45=1,INDEX(Assumptions!$E$44:$E$46,MATCH($C56,Assumptions!$A$44:$A$46,0))*$C$34,0),IF(P$45=MAX($G56-1,1),INDEX(Assumptions!$E$44:$E$46,MATCH($C56,Assumptions!$A$44:$A$46,0)),0))*IF(AND($C56="Verified",$C$39=1),0,1)</f>
        <v>0</v>
      </c>
      <c r="Q122" s="23" t="n">
        <f aca="false">IF($F56=1,IF(Q$45=1,INDEX(Assumptions!$E$44:$E$46,MATCH($C56,Assumptions!$A$44:$A$46,0))*$C$34,0),IF(Q$45=MAX($G56-1,1),INDEX(Assumptions!$E$44:$E$46,MATCH($C56,Assumptions!$A$44:$A$46,0)),0))*IF(AND($C56="Verified",$C$39=1),0,1)</f>
        <v>0</v>
      </c>
      <c r="R122" s="23" t="n">
        <f aca="false">IF($F56=1,IF(R$45=1,INDEX(Assumptions!$E$44:$E$46,MATCH($C56,Assumptions!$A$44:$A$46,0))*$C$34,0),IF(R$45=MAX($G56-1,1),INDEX(Assumptions!$E$44:$E$46,MATCH($C56,Assumptions!$A$44:$A$46,0)),0))*IF(AND($C56="Verified",$C$39=1),0,1)</f>
        <v>0</v>
      </c>
      <c r="S122" s="23" t="n">
        <f aca="false">IF($F56=1,IF(S$45=1,INDEX(Assumptions!$E$44:$E$46,MATCH($C56,Assumptions!$A$44:$A$46,0))*$C$34,0),IF(S$45=MAX($G56-1,1),INDEX(Assumptions!$E$44:$E$46,MATCH($C56,Assumptions!$A$44:$A$46,0)),0))*IF(AND($C56="Verified",$C$39=1),0,1)</f>
        <v>0</v>
      </c>
      <c r="T122" s="23" t="n">
        <f aca="false">IF($F56=1,IF(T$45=1,INDEX(Assumptions!$E$44:$E$46,MATCH($C56,Assumptions!$A$44:$A$46,0))*$C$34,0),IF(T$45=MAX($G56-1,1),INDEX(Assumptions!$E$44:$E$46,MATCH($C56,Assumptions!$A$44:$A$46,0)),0))*IF(AND($C56="Verified",$C$39=1),0,1)</f>
        <v>0</v>
      </c>
      <c r="U122" s="23" t="n">
        <f aca="false">IF($F56=1,IF(U$45=1,INDEX(Assumptions!$E$44:$E$46,MATCH($C56,Assumptions!$A$44:$A$46,0))*$C$34,0),IF(U$45=MAX($G56-1,1),INDEX(Assumptions!$E$44:$E$46,MATCH($C56,Assumptions!$A$44:$A$46,0)),0))*IF(AND($C56="Verified",$C$39=1),0,1)</f>
        <v>0</v>
      </c>
      <c r="V122" s="23" t="n">
        <f aca="false">IF($F56=1,IF(V$45=1,INDEX(Assumptions!$E$44:$E$46,MATCH($C56,Assumptions!$A$44:$A$46,0))*$C$34,0),IF(V$45=MAX($G56-1,1),INDEX(Assumptions!$E$44:$E$46,MATCH($C56,Assumptions!$A$44:$A$46,0)),0))*IF(AND($C56="Verified",$C$39=1),0,1)</f>
        <v>0</v>
      </c>
      <c r="W122" s="23" t="n">
        <f aca="false">IF($F56=1,IF(W$45=1,INDEX(Assumptions!$E$44:$E$46,MATCH($C56,Assumptions!$A$44:$A$46,0))*$C$34,0),IF(W$45=MAX($G56-1,1),INDEX(Assumptions!$E$44:$E$46,MATCH($C56,Assumptions!$A$44:$A$46,0)),0))*IF(AND($C56="Verified",$C$39=1),0,1)</f>
        <v>0</v>
      </c>
      <c r="X122" s="23" t="n">
        <f aca="false">IF($F56=1,IF(X$45=1,INDEX(Assumptions!$E$44:$E$46,MATCH($C56,Assumptions!$A$44:$A$46,0))*$C$34,0),IF(X$45=MAX($G56-1,1),INDEX(Assumptions!$E$44:$E$46,MATCH($C56,Assumptions!$A$44:$A$46,0)),0))*IF(AND($C56="Verified",$C$39=1),0,1)</f>
        <v>0</v>
      </c>
      <c r="Y122" s="23" t="n">
        <f aca="false">IF($F56=1,IF(Y$45=1,INDEX(Assumptions!$E$44:$E$46,MATCH($C56,Assumptions!$A$44:$A$46,0))*$C$34,0),IF(Y$45=MAX($G56-1,1),INDEX(Assumptions!$E$44:$E$46,MATCH($C56,Assumptions!$A$44:$A$46,0)),0))*IF(AND($C56="Verified",$C$39=1),0,1)</f>
        <v>0</v>
      </c>
    </row>
    <row r="123" customFormat="false" ht="15" hidden="false" customHeight="false" outlineLevel="0" collapsed="false">
      <c r="A123" s="2" t="n">
        <f aca="false">A57</f>
        <v>10</v>
      </c>
      <c r="B123" s="2" t="str">
        <f aca="false">B57</f>
        <v>C</v>
      </c>
      <c r="C123" s="2" t="str">
        <f aca="false">C57</f>
        <v>Assured</v>
      </c>
      <c r="D123" s="2"/>
      <c r="E123" s="2"/>
      <c r="F123" s="2"/>
      <c r="G123" s="2"/>
      <c r="H123" s="23" t="n">
        <f aca="false">IF($F57=1,IF(H$45=1,INDEX(Assumptions!$E$44:$E$46,MATCH($C57,Assumptions!$A$44:$A$46,0))*$C$34,0),IF(H$45=MAX($G57-1,1),INDEX(Assumptions!$E$44:$E$46,MATCH($C57,Assumptions!$A$44:$A$46,0)),0))*IF(AND($C57="Verified",$C$39=1),0,1)</f>
        <v>0</v>
      </c>
      <c r="I123" s="23" t="n">
        <f aca="false">IF($F57=1,IF(I$45=1,INDEX(Assumptions!$E$44:$E$46,MATCH($C57,Assumptions!$A$44:$A$46,0))*$C$34,0),IF(I$45=MAX($G57-1,1),INDEX(Assumptions!$E$44:$E$46,MATCH($C57,Assumptions!$A$44:$A$46,0)),0))*IF(AND($C57="Verified",$C$39=1),0,1)</f>
        <v>0</v>
      </c>
      <c r="J123" s="23" t="n">
        <f aca="false">IF($F57=1,IF(J$45=1,INDEX(Assumptions!$E$44:$E$46,MATCH($C57,Assumptions!$A$44:$A$46,0))*$C$34,0),IF(J$45=MAX($G57-1,1),INDEX(Assumptions!$E$44:$E$46,MATCH($C57,Assumptions!$A$44:$A$46,0)),0))*IF(AND($C57="Verified",$C$39=1),0,1)</f>
        <v>0</v>
      </c>
      <c r="K123" s="23" t="n">
        <f aca="false">IF($F57=1,IF(K$45=1,INDEX(Assumptions!$E$44:$E$46,MATCH($C57,Assumptions!$A$44:$A$46,0))*$C$34,0),IF(K$45=MAX($G57-1,1),INDEX(Assumptions!$E$44:$E$46,MATCH($C57,Assumptions!$A$44:$A$46,0)),0))*IF(AND($C57="Verified",$C$39=1),0,1)</f>
        <v>0</v>
      </c>
      <c r="L123" s="23" t="n">
        <f aca="false">IF($F57=1,IF(L$45=1,INDEX(Assumptions!$E$44:$E$46,MATCH($C57,Assumptions!$A$44:$A$46,0))*$C$34,0),IF(L$45=MAX($G57-1,1),INDEX(Assumptions!$E$44:$E$46,MATCH($C57,Assumptions!$A$44:$A$46,0)),0))*IF(AND($C57="Verified",$C$39=1),0,1)</f>
        <v>120000</v>
      </c>
      <c r="M123" s="23" t="n">
        <f aca="false">IF($F57=1,IF(M$45=1,INDEX(Assumptions!$E$44:$E$46,MATCH($C57,Assumptions!$A$44:$A$46,0))*$C$34,0),IF(M$45=MAX($G57-1,1),INDEX(Assumptions!$E$44:$E$46,MATCH($C57,Assumptions!$A$44:$A$46,0)),0))*IF(AND($C57="Verified",$C$39=1),0,1)</f>
        <v>0</v>
      </c>
      <c r="N123" s="23" t="n">
        <f aca="false">IF($F57=1,IF(N$45=1,INDEX(Assumptions!$E$44:$E$46,MATCH($C57,Assumptions!$A$44:$A$46,0))*$C$34,0),IF(N$45=MAX($G57-1,1),INDEX(Assumptions!$E$44:$E$46,MATCH($C57,Assumptions!$A$44:$A$46,0)),0))*IF(AND($C57="Verified",$C$39=1),0,1)</f>
        <v>0</v>
      </c>
      <c r="O123" s="23" t="n">
        <f aca="false">IF($F57=1,IF(O$45=1,INDEX(Assumptions!$E$44:$E$46,MATCH($C57,Assumptions!$A$44:$A$46,0))*$C$34,0),IF(O$45=MAX($G57-1,1),INDEX(Assumptions!$E$44:$E$46,MATCH($C57,Assumptions!$A$44:$A$46,0)),0))*IF(AND($C57="Verified",$C$39=1),0,1)</f>
        <v>0</v>
      </c>
      <c r="P123" s="23" t="n">
        <f aca="false">IF($F57=1,IF(P$45=1,INDEX(Assumptions!$E$44:$E$46,MATCH($C57,Assumptions!$A$44:$A$46,0))*$C$34,0),IF(P$45=MAX($G57-1,1),INDEX(Assumptions!$E$44:$E$46,MATCH($C57,Assumptions!$A$44:$A$46,0)),0))*IF(AND($C57="Verified",$C$39=1),0,1)</f>
        <v>0</v>
      </c>
      <c r="Q123" s="23" t="n">
        <f aca="false">IF($F57=1,IF(Q$45=1,INDEX(Assumptions!$E$44:$E$46,MATCH($C57,Assumptions!$A$44:$A$46,0))*$C$34,0),IF(Q$45=MAX($G57-1,1),INDEX(Assumptions!$E$44:$E$46,MATCH($C57,Assumptions!$A$44:$A$46,0)),0))*IF(AND($C57="Verified",$C$39=1),0,1)</f>
        <v>0</v>
      </c>
      <c r="R123" s="23" t="n">
        <f aca="false">IF($F57=1,IF(R$45=1,INDEX(Assumptions!$E$44:$E$46,MATCH($C57,Assumptions!$A$44:$A$46,0))*$C$34,0),IF(R$45=MAX($G57-1,1),INDEX(Assumptions!$E$44:$E$46,MATCH($C57,Assumptions!$A$44:$A$46,0)),0))*IF(AND($C57="Verified",$C$39=1),0,1)</f>
        <v>0</v>
      </c>
      <c r="S123" s="23" t="n">
        <f aca="false">IF($F57=1,IF(S$45=1,INDEX(Assumptions!$E$44:$E$46,MATCH($C57,Assumptions!$A$44:$A$46,0))*$C$34,0),IF(S$45=MAX($G57-1,1),INDEX(Assumptions!$E$44:$E$46,MATCH($C57,Assumptions!$A$44:$A$46,0)),0))*IF(AND($C57="Verified",$C$39=1),0,1)</f>
        <v>0</v>
      </c>
      <c r="T123" s="23" t="n">
        <f aca="false">IF($F57=1,IF(T$45=1,INDEX(Assumptions!$E$44:$E$46,MATCH($C57,Assumptions!$A$44:$A$46,0))*$C$34,0),IF(T$45=MAX($G57-1,1),INDEX(Assumptions!$E$44:$E$46,MATCH($C57,Assumptions!$A$44:$A$46,0)),0))*IF(AND($C57="Verified",$C$39=1),0,1)</f>
        <v>0</v>
      </c>
      <c r="U123" s="23" t="n">
        <f aca="false">IF($F57=1,IF(U$45=1,INDEX(Assumptions!$E$44:$E$46,MATCH($C57,Assumptions!$A$44:$A$46,0))*$C$34,0),IF(U$45=MAX($G57-1,1),INDEX(Assumptions!$E$44:$E$46,MATCH($C57,Assumptions!$A$44:$A$46,0)),0))*IF(AND($C57="Verified",$C$39=1),0,1)</f>
        <v>0</v>
      </c>
      <c r="V123" s="23" t="n">
        <f aca="false">IF($F57=1,IF(V$45=1,INDEX(Assumptions!$E$44:$E$46,MATCH($C57,Assumptions!$A$44:$A$46,0))*$C$34,0),IF(V$45=MAX($G57-1,1),INDEX(Assumptions!$E$44:$E$46,MATCH($C57,Assumptions!$A$44:$A$46,0)),0))*IF(AND($C57="Verified",$C$39=1),0,1)</f>
        <v>0</v>
      </c>
      <c r="W123" s="23" t="n">
        <f aca="false">IF($F57=1,IF(W$45=1,INDEX(Assumptions!$E$44:$E$46,MATCH($C57,Assumptions!$A$44:$A$46,0))*$C$34,0),IF(W$45=MAX($G57-1,1),INDEX(Assumptions!$E$44:$E$46,MATCH($C57,Assumptions!$A$44:$A$46,0)),0))*IF(AND($C57="Verified",$C$39=1),0,1)</f>
        <v>0</v>
      </c>
      <c r="X123" s="23" t="n">
        <f aca="false">IF($F57=1,IF(X$45=1,INDEX(Assumptions!$E$44:$E$46,MATCH($C57,Assumptions!$A$44:$A$46,0))*$C$34,0),IF(X$45=MAX($G57-1,1),INDEX(Assumptions!$E$44:$E$46,MATCH($C57,Assumptions!$A$44:$A$46,0)),0))*IF(AND($C57="Verified",$C$39=1),0,1)</f>
        <v>0</v>
      </c>
      <c r="Y123" s="23" t="n">
        <f aca="false">IF($F57=1,IF(Y$45=1,INDEX(Assumptions!$E$44:$E$46,MATCH($C57,Assumptions!$A$44:$A$46,0))*$C$34,0),IF(Y$45=MAX($G57-1,1),INDEX(Assumptions!$E$44:$E$46,MATCH($C57,Assumptions!$A$44:$A$46,0)),0))*IF(AND($C57="Verified",$C$39=1),0,1)</f>
        <v>0</v>
      </c>
    </row>
    <row r="124" customFormat="false" ht="15" hidden="false" customHeight="false" outlineLevel="0" collapsed="false">
      <c r="A124" s="2" t="n">
        <f aca="false">A58</f>
        <v>11</v>
      </c>
      <c r="B124" s="2" t="str">
        <f aca="false">B58</f>
        <v>C</v>
      </c>
      <c r="C124" s="2" t="str">
        <f aca="false">C58</f>
        <v>Assured</v>
      </c>
      <c r="D124" s="2"/>
      <c r="E124" s="2"/>
      <c r="F124" s="2"/>
      <c r="G124" s="2"/>
      <c r="H124" s="23" t="n">
        <f aca="false">IF($F58=1,IF(H$45=1,INDEX(Assumptions!$E$44:$E$46,MATCH($C58,Assumptions!$A$44:$A$46,0))*$C$34,0),IF(H$45=MAX($G58-1,1),INDEX(Assumptions!$E$44:$E$46,MATCH($C58,Assumptions!$A$44:$A$46,0)),0))*IF(AND($C58="Verified",$C$39=1),0,1)</f>
        <v>0</v>
      </c>
      <c r="I124" s="23" t="n">
        <f aca="false">IF($F58=1,IF(I$45=1,INDEX(Assumptions!$E$44:$E$46,MATCH($C58,Assumptions!$A$44:$A$46,0))*$C$34,0),IF(I$45=MAX($G58-1,1),INDEX(Assumptions!$E$44:$E$46,MATCH($C58,Assumptions!$A$44:$A$46,0)),0))*IF(AND($C58="Verified",$C$39=1),0,1)</f>
        <v>0</v>
      </c>
      <c r="J124" s="23" t="n">
        <f aca="false">IF($F58=1,IF(J$45=1,INDEX(Assumptions!$E$44:$E$46,MATCH($C58,Assumptions!$A$44:$A$46,0))*$C$34,0),IF(J$45=MAX($G58-1,1),INDEX(Assumptions!$E$44:$E$46,MATCH($C58,Assumptions!$A$44:$A$46,0)),0))*IF(AND($C58="Verified",$C$39=1),0,1)</f>
        <v>0</v>
      </c>
      <c r="K124" s="23" t="n">
        <f aca="false">IF($F58=1,IF(K$45=1,INDEX(Assumptions!$E$44:$E$46,MATCH($C58,Assumptions!$A$44:$A$46,0))*$C$34,0),IF(K$45=MAX($G58-1,1),INDEX(Assumptions!$E$44:$E$46,MATCH($C58,Assumptions!$A$44:$A$46,0)),0))*IF(AND($C58="Verified",$C$39=1),0,1)</f>
        <v>0</v>
      </c>
      <c r="L124" s="23" t="n">
        <f aca="false">IF($F58=1,IF(L$45=1,INDEX(Assumptions!$E$44:$E$46,MATCH($C58,Assumptions!$A$44:$A$46,0))*$C$34,0),IF(L$45=MAX($G58-1,1),INDEX(Assumptions!$E$44:$E$46,MATCH($C58,Assumptions!$A$44:$A$46,0)),0))*IF(AND($C58="Verified",$C$39=1),0,1)</f>
        <v>0</v>
      </c>
      <c r="M124" s="23" t="n">
        <f aca="false">IF($F58=1,IF(M$45=1,INDEX(Assumptions!$E$44:$E$46,MATCH($C58,Assumptions!$A$44:$A$46,0))*$C$34,0),IF(M$45=MAX($G58-1,1),INDEX(Assumptions!$E$44:$E$46,MATCH($C58,Assumptions!$A$44:$A$46,0)),0))*IF(AND($C58="Verified",$C$39=1),0,1)</f>
        <v>120000</v>
      </c>
      <c r="N124" s="23" t="n">
        <f aca="false">IF($F58=1,IF(N$45=1,INDEX(Assumptions!$E$44:$E$46,MATCH($C58,Assumptions!$A$44:$A$46,0))*$C$34,0),IF(N$45=MAX($G58-1,1),INDEX(Assumptions!$E$44:$E$46,MATCH($C58,Assumptions!$A$44:$A$46,0)),0))*IF(AND($C58="Verified",$C$39=1),0,1)</f>
        <v>0</v>
      </c>
      <c r="O124" s="23" t="n">
        <f aca="false">IF($F58=1,IF(O$45=1,INDEX(Assumptions!$E$44:$E$46,MATCH($C58,Assumptions!$A$44:$A$46,0))*$C$34,0),IF(O$45=MAX($G58-1,1),INDEX(Assumptions!$E$44:$E$46,MATCH($C58,Assumptions!$A$44:$A$46,0)),0))*IF(AND($C58="Verified",$C$39=1),0,1)</f>
        <v>0</v>
      </c>
      <c r="P124" s="23" t="n">
        <f aca="false">IF($F58=1,IF(P$45=1,INDEX(Assumptions!$E$44:$E$46,MATCH($C58,Assumptions!$A$44:$A$46,0))*$C$34,0),IF(P$45=MAX($G58-1,1),INDEX(Assumptions!$E$44:$E$46,MATCH($C58,Assumptions!$A$44:$A$46,0)),0))*IF(AND($C58="Verified",$C$39=1),0,1)</f>
        <v>0</v>
      </c>
      <c r="Q124" s="23" t="n">
        <f aca="false">IF($F58=1,IF(Q$45=1,INDEX(Assumptions!$E$44:$E$46,MATCH($C58,Assumptions!$A$44:$A$46,0))*$C$34,0),IF(Q$45=MAX($G58-1,1),INDEX(Assumptions!$E$44:$E$46,MATCH($C58,Assumptions!$A$44:$A$46,0)),0))*IF(AND($C58="Verified",$C$39=1),0,1)</f>
        <v>0</v>
      </c>
      <c r="R124" s="23" t="n">
        <f aca="false">IF($F58=1,IF(R$45=1,INDEX(Assumptions!$E$44:$E$46,MATCH($C58,Assumptions!$A$44:$A$46,0))*$C$34,0),IF(R$45=MAX($G58-1,1),INDEX(Assumptions!$E$44:$E$46,MATCH($C58,Assumptions!$A$44:$A$46,0)),0))*IF(AND($C58="Verified",$C$39=1),0,1)</f>
        <v>0</v>
      </c>
      <c r="S124" s="23" t="n">
        <f aca="false">IF($F58=1,IF(S$45=1,INDEX(Assumptions!$E$44:$E$46,MATCH($C58,Assumptions!$A$44:$A$46,0))*$C$34,0),IF(S$45=MAX($G58-1,1),INDEX(Assumptions!$E$44:$E$46,MATCH($C58,Assumptions!$A$44:$A$46,0)),0))*IF(AND($C58="Verified",$C$39=1),0,1)</f>
        <v>0</v>
      </c>
      <c r="T124" s="23" t="n">
        <f aca="false">IF($F58=1,IF(T$45=1,INDEX(Assumptions!$E$44:$E$46,MATCH($C58,Assumptions!$A$44:$A$46,0))*$C$34,0),IF(T$45=MAX($G58-1,1),INDEX(Assumptions!$E$44:$E$46,MATCH($C58,Assumptions!$A$44:$A$46,0)),0))*IF(AND($C58="Verified",$C$39=1),0,1)</f>
        <v>0</v>
      </c>
      <c r="U124" s="23" t="n">
        <f aca="false">IF($F58=1,IF(U$45=1,INDEX(Assumptions!$E$44:$E$46,MATCH($C58,Assumptions!$A$44:$A$46,0))*$C$34,0),IF(U$45=MAX($G58-1,1),INDEX(Assumptions!$E$44:$E$46,MATCH($C58,Assumptions!$A$44:$A$46,0)),0))*IF(AND($C58="Verified",$C$39=1),0,1)</f>
        <v>0</v>
      </c>
      <c r="V124" s="23" t="n">
        <f aca="false">IF($F58=1,IF(V$45=1,INDEX(Assumptions!$E$44:$E$46,MATCH($C58,Assumptions!$A$44:$A$46,0))*$C$34,0),IF(V$45=MAX($G58-1,1),INDEX(Assumptions!$E$44:$E$46,MATCH($C58,Assumptions!$A$44:$A$46,0)),0))*IF(AND($C58="Verified",$C$39=1),0,1)</f>
        <v>0</v>
      </c>
      <c r="W124" s="23" t="n">
        <f aca="false">IF($F58=1,IF(W$45=1,INDEX(Assumptions!$E$44:$E$46,MATCH($C58,Assumptions!$A$44:$A$46,0))*$C$34,0),IF(W$45=MAX($G58-1,1),INDEX(Assumptions!$E$44:$E$46,MATCH($C58,Assumptions!$A$44:$A$46,0)),0))*IF(AND($C58="Verified",$C$39=1),0,1)</f>
        <v>0</v>
      </c>
      <c r="X124" s="23" t="n">
        <f aca="false">IF($F58=1,IF(X$45=1,INDEX(Assumptions!$E$44:$E$46,MATCH($C58,Assumptions!$A$44:$A$46,0))*$C$34,0),IF(X$45=MAX($G58-1,1),INDEX(Assumptions!$E$44:$E$46,MATCH($C58,Assumptions!$A$44:$A$46,0)),0))*IF(AND($C58="Verified",$C$39=1),0,1)</f>
        <v>0</v>
      </c>
      <c r="Y124" s="23" t="n">
        <f aca="false">IF($F58=1,IF(Y$45=1,INDEX(Assumptions!$E$44:$E$46,MATCH($C58,Assumptions!$A$44:$A$46,0))*$C$34,0),IF(Y$45=MAX($G58-1,1),INDEX(Assumptions!$E$44:$E$46,MATCH($C58,Assumptions!$A$44:$A$46,0)),0))*IF(AND($C58="Verified",$C$39=1),0,1)</f>
        <v>0</v>
      </c>
    </row>
    <row r="125" customFormat="false" ht="15" hidden="false" customHeight="false" outlineLevel="0" collapsed="false">
      <c r="A125" s="2" t="n">
        <f aca="false">A59</f>
        <v>12</v>
      </c>
      <c r="B125" s="2" t="str">
        <f aca="false">B59</f>
        <v>C</v>
      </c>
      <c r="C125" s="2" t="str">
        <f aca="false">C59</f>
        <v>Assured</v>
      </c>
      <c r="D125" s="2"/>
      <c r="E125" s="2"/>
      <c r="F125" s="2"/>
      <c r="G125" s="2"/>
      <c r="H125" s="23" t="n">
        <f aca="false">IF($F59=1,IF(H$45=1,INDEX(Assumptions!$E$44:$E$46,MATCH($C59,Assumptions!$A$44:$A$46,0))*$C$34,0),IF(H$45=MAX($G59-1,1),INDEX(Assumptions!$E$44:$E$46,MATCH($C59,Assumptions!$A$44:$A$46,0)),0))*IF(AND($C59="Verified",$C$39=1),0,1)</f>
        <v>0</v>
      </c>
      <c r="I125" s="23" t="n">
        <f aca="false">IF($F59=1,IF(I$45=1,INDEX(Assumptions!$E$44:$E$46,MATCH($C59,Assumptions!$A$44:$A$46,0))*$C$34,0),IF(I$45=MAX($G59-1,1),INDEX(Assumptions!$E$44:$E$46,MATCH($C59,Assumptions!$A$44:$A$46,0)),0))*IF(AND($C59="Verified",$C$39=1),0,1)</f>
        <v>0</v>
      </c>
      <c r="J125" s="23" t="n">
        <f aca="false">IF($F59=1,IF(J$45=1,INDEX(Assumptions!$E$44:$E$46,MATCH($C59,Assumptions!$A$44:$A$46,0))*$C$34,0),IF(J$45=MAX($G59-1,1),INDEX(Assumptions!$E$44:$E$46,MATCH($C59,Assumptions!$A$44:$A$46,0)),0))*IF(AND($C59="Verified",$C$39=1),0,1)</f>
        <v>0</v>
      </c>
      <c r="K125" s="23" t="n">
        <f aca="false">IF($F59=1,IF(K$45=1,INDEX(Assumptions!$E$44:$E$46,MATCH($C59,Assumptions!$A$44:$A$46,0))*$C$34,0),IF(K$45=MAX($G59-1,1),INDEX(Assumptions!$E$44:$E$46,MATCH($C59,Assumptions!$A$44:$A$46,0)),0))*IF(AND($C59="Verified",$C$39=1),0,1)</f>
        <v>0</v>
      </c>
      <c r="L125" s="23" t="n">
        <f aca="false">IF($F59=1,IF(L$45=1,INDEX(Assumptions!$E$44:$E$46,MATCH($C59,Assumptions!$A$44:$A$46,0))*$C$34,0),IF(L$45=MAX($G59-1,1),INDEX(Assumptions!$E$44:$E$46,MATCH($C59,Assumptions!$A$44:$A$46,0)),0))*IF(AND($C59="Verified",$C$39=1),0,1)</f>
        <v>0</v>
      </c>
      <c r="M125" s="23" t="n">
        <f aca="false">IF($F59=1,IF(M$45=1,INDEX(Assumptions!$E$44:$E$46,MATCH($C59,Assumptions!$A$44:$A$46,0))*$C$34,0),IF(M$45=MAX($G59-1,1),INDEX(Assumptions!$E$44:$E$46,MATCH($C59,Assumptions!$A$44:$A$46,0)),0))*IF(AND($C59="Verified",$C$39=1),0,1)</f>
        <v>120000</v>
      </c>
      <c r="N125" s="23" t="n">
        <f aca="false">IF($F59=1,IF(N$45=1,INDEX(Assumptions!$E$44:$E$46,MATCH($C59,Assumptions!$A$44:$A$46,0))*$C$34,0),IF(N$45=MAX($G59-1,1),INDEX(Assumptions!$E$44:$E$46,MATCH($C59,Assumptions!$A$44:$A$46,0)),0))*IF(AND($C59="Verified",$C$39=1),0,1)</f>
        <v>0</v>
      </c>
      <c r="O125" s="23" t="n">
        <f aca="false">IF($F59=1,IF(O$45=1,INDEX(Assumptions!$E$44:$E$46,MATCH($C59,Assumptions!$A$44:$A$46,0))*$C$34,0),IF(O$45=MAX($G59-1,1),INDEX(Assumptions!$E$44:$E$46,MATCH($C59,Assumptions!$A$44:$A$46,0)),0))*IF(AND($C59="Verified",$C$39=1),0,1)</f>
        <v>0</v>
      </c>
      <c r="P125" s="23" t="n">
        <f aca="false">IF($F59=1,IF(P$45=1,INDEX(Assumptions!$E$44:$E$46,MATCH($C59,Assumptions!$A$44:$A$46,0))*$C$34,0),IF(P$45=MAX($G59-1,1),INDEX(Assumptions!$E$44:$E$46,MATCH($C59,Assumptions!$A$44:$A$46,0)),0))*IF(AND($C59="Verified",$C$39=1),0,1)</f>
        <v>0</v>
      </c>
      <c r="Q125" s="23" t="n">
        <f aca="false">IF($F59=1,IF(Q$45=1,INDEX(Assumptions!$E$44:$E$46,MATCH($C59,Assumptions!$A$44:$A$46,0))*$C$34,0),IF(Q$45=MAX($G59-1,1),INDEX(Assumptions!$E$44:$E$46,MATCH($C59,Assumptions!$A$44:$A$46,0)),0))*IF(AND($C59="Verified",$C$39=1),0,1)</f>
        <v>0</v>
      </c>
      <c r="R125" s="23" t="n">
        <f aca="false">IF($F59=1,IF(R$45=1,INDEX(Assumptions!$E$44:$E$46,MATCH($C59,Assumptions!$A$44:$A$46,0))*$C$34,0),IF(R$45=MAX($G59-1,1),INDEX(Assumptions!$E$44:$E$46,MATCH($C59,Assumptions!$A$44:$A$46,0)),0))*IF(AND($C59="Verified",$C$39=1),0,1)</f>
        <v>0</v>
      </c>
      <c r="S125" s="23" t="n">
        <f aca="false">IF($F59=1,IF(S$45=1,INDEX(Assumptions!$E$44:$E$46,MATCH($C59,Assumptions!$A$44:$A$46,0))*$C$34,0),IF(S$45=MAX($G59-1,1),INDEX(Assumptions!$E$44:$E$46,MATCH($C59,Assumptions!$A$44:$A$46,0)),0))*IF(AND($C59="Verified",$C$39=1),0,1)</f>
        <v>0</v>
      </c>
      <c r="T125" s="23" t="n">
        <f aca="false">IF($F59=1,IF(T$45=1,INDEX(Assumptions!$E$44:$E$46,MATCH($C59,Assumptions!$A$44:$A$46,0))*$C$34,0),IF(T$45=MAX($G59-1,1),INDEX(Assumptions!$E$44:$E$46,MATCH($C59,Assumptions!$A$44:$A$46,0)),0))*IF(AND($C59="Verified",$C$39=1),0,1)</f>
        <v>0</v>
      </c>
      <c r="U125" s="23" t="n">
        <f aca="false">IF($F59=1,IF(U$45=1,INDEX(Assumptions!$E$44:$E$46,MATCH($C59,Assumptions!$A$44:$A$46,0))*$C$34,0),IF(U$45=MAX($G59-1,1),INDEX(Assumptions!$E$44:$E$46,MATCH($C59,Assumptions!$A$44:$A$46,0)),0))*IF(AND($C59="Verified",$C$39=1),0,1)</f>
        <v>0</v>
      </c>
      <c r="V125" s="23" t="n">
        <f aca="false">IF($F59=1,IF(V$45=1,INDEX(Assumptions!$E$44:$E$46,MATCH($C59,Assumptions!$A$44:$A$46,0))*$C$34,0),IF(V$45=MAX($G59-1,1),INDEX(Assumptions!$E$44:$E$46,MATCH($C59,Assumptions!$A$44:$A$46,0)),0))*IF(AND($C59="Verified",$C$39=1),0,1)</f>
        <v>0</v>
      </c>
      <c r="W125" s="23" t="n">
        <f aca="false">IF($F59=1,IF(W$45=1,INDEX(Assumptions!$E$44:$E$46,MATCH($C59,Assumptions!$A$44:$A$46,0))*$C$34,0),IF(W$45=MAX($G59-1,1),INDEX(Assumptions!$E$44:$E$46,MATCH($C59,Assumptions!$A$44:$A$46,0)),0))*IF(AND($C59="Verified",$C$39=1),0,1)</f>
        <v>0</v>
      </c>
      <c r="X125" s="23" t="n">
        <f aca="false">IF($F59=1,IF(X$45=1,INDEX(Assumptions!$E$44:$E$46,MATCH($C59,Assumptions!$A$44:$A$46,0))*$C$34,0),IF(X$45=MAX($G59-1,1),INDEX(Assumptions!$E$44:$E$46,MATCH($C59,Assumptions!$A$44:$A$46,0)),0))*IF(AND($C59="Verified",$C$39=1),0,1)</f>
        <v>0</v>
      </c>
      <c r="Y125" s="23" t="n">
        <f aca="false">IF($F59=1,IF(Y$45=1,INDEX(Assumptions!$E$44:$E$46,MATCH($C59,Assumptions!$A$44:$A$46,0))*$C$34,0),IF(Y$45=MAX($G59-1,1),INDEX(Assumptions!$E$44:$E$46,MATCH($C59,Assumptions!$A$44:$A$46,0)),0))*IF(AND($C59="Verified",$C$39=1),0,1)</f>
        <v>0</v>
      </c>
    </row>
    <row r="126" customFormat="false" ht="15" hidden="false" customHeight="false" outlineLevel="0" collapsed="false">
      <c r="A126" s="2" t="n">
        <f aca="false">A60</f>
        <v>13</v>
      </c>
      <c r="B126" s="2" t="str">
        <f aca="false">B60</f>
        <v>C</v>
      </c>
      <c r="C126" s="2" t="str">
        <f aca="false">C60</f>
        <v>Assured</v>
      </c>
      <c r="D126" s="2"/>
      <c r="E126" s="2"/>
      <c r="F126" s="2"/>
      <c r="G126" s="2"/>
      <c r="H126" s="23" t="n">
        <f aca="false">IF($F60=1,IF(H$45=1,INDEX(Assumptions!$E$44:$E$46,MATCH($C60,Assumptions!$A$44:$A$46,0))*$C$34,0),IF(H$45=MAX($G60-1,1),INDEX(Assumptions!$E$44:$E$46,MATCH($C60,Assumptions!$A$44:$A$46,0)),0))*IF(AND($C60="Verified",$C$39=1),0,1)</f>
        <v>0</v>
      </c>
      <c r="I126" s="23" t="n">
        <f aca="false">IF($F60=1,IF(I$45=1,INDEX(Assumptions!$E$44:$E$46,MATCH($C60,Assumptions!$A$44:$A$46,0))*$C$34,0),IF(I$45=MAX($G60-1,1),INDEX(Assumptions!$E$44:$E$46,MATCH($C60,Assumptions!$A$44:$A$46,0)),0))*IF(AND($C60="Verified",$C$39=1),0,1)</f>
        <v>0</v>
      </c>
      <c r="J126" s="23" t="n">
        <f aca="false">IF($F60=1,IF(J$45=1,INDEX(Assumptions!$E$44:$E$46,MATCH($C60,Assumptions!$A$44:$A$46,0))*$C$34,0),IF(J$45=MAX($G60-1,1),INDEX(Assumptions!$E$44:$E$46,MATCH($C60,Assumptions!$A$44:$A$46,0)),0))*IF(AND($C60="Verified",$C$39=1),0,1)</f>
        <v>0</v>
      </c>
      <c r="K126" s="23" t="n">
        <f aca="false">IF($F60=1,IF(K$45=1,INDEX(Assumptions!$E$44:$E$46,MATCH($C60,Assumptions!$A$44:$A$46,0))*$C$34,0),IF(K$45=MAX($G60-1,1),INDEX(Assumptions!$E$44:$E$46,MATCH($C60,Assumptions!$A$44:$A$46,0)),0))*IF(AND($C60="Verified",$C$39=1),0,1)</f>
        <v>0</v>
      </c>
      <c r="L126" s="23" t="n">
        <f aca="false">IF($F60=1,IF(L$45=1,INDEX(Assumptions!$E$44:$E$46,MATCH($C60,Assumptions!$A$44:$A$46,0))*$C$34,0),IF(L$45=MAX($G60-1,1),INDEX(Assumptions!$E$44:$E$46,MATCH($C60,Assumptions!$A$44:$A$46,0)),0))*IF(AND($C60="Verified",$C$39=1),0,1)</f>
        <v>0</v>
      </c>
      <c r="M126" s="23" t="n">
        <f aca="false">IF($F60=1,IF(M$45=1,INDEX(Assumptions!$E$44:$E$46,MATCH($C60,Assumptions!$A$44:$A$46,0))*$C$34,0),IF(M$45=MAX($G60-1,1),INDEX(Assumptions!$E$44:$E$46,MATCH($C60,Assumptions!$A$44:$A$46,0)),0))*IF(AND($C60="Verified",$C$39=1),0,1)</f>
        <v>0</v>
      </c>
      <c r="N126" s="23" t="n">
        <f aca="false">IF($F60=1,IF(N$45=1,INDEX(Assumptions!$E$44:$E$46,MATCH($C60,Assumptions!$A$44:$A$46,0))*$C$34,0),IF(N$45=MAX($G60-1,1),INDEX(Assumptions!$E$44:$E$46,MATCH($C60,Assumptions!$A$44:$A$46,0)),0))*IF(AND($C60="Verified",$C$39=1),0,1)</f>
        <v>120000</v>
      </c>
      <c r="O126" s="23" t="n">
        <f aca="false">IF($F60=1,IF(O$45=1,INDEX(Assumptions!$E$44:$E$46,MATCH($C60,Assumptions!$A$44:$A$46,0))*$C$34,0),IF(O$45=MAX($G60-1,1),INDEX(Assumptions!$E$44:$E$46,MATCH($C60,Assumptions!$A$44:$A$46,0)),0))*IF(AND($C60="Verified",$C$39=1),0,1)</f>
        <v>0</v>
      </c>
      <c r="P126" s="23" t="n">
        <f aca="false">IF($F60=1,IF(P$45=1,INDEX(Assumptions!$E$44:$E$46,MATCH($C60,Assumptions!$A$44:$A$46,0))*$C$34,0),IF(P$45=MAX($G60-1,1),INDEX(Assumptions!$E$44:$E$46,MATCH($C60,Assumptions!$A$44:$A$46,0)),0))*IF(AND($C60="Verified",$C$39=1),0,1)</f>
        <v>0</v>
      </c>
      <c r="Q126" s="23" t="n">
        <f aca="false">IF($F60=1,IF(Q$45=1,INDEX(Assumptions!$E$44:$E$46,MATCH($C60,Assumptions!$A$44:$A$46,0))*$C$34,0),IF(Q$45=MAX($G60-1,1),INDEX(Assumptions!$E$44:$E$46,MATCH($C60,Assumptions!$A$44:$A$46,0)),0))*IF(AND($C60="Verified",$C$39=1),0,1)</f>
        <v>0</v>
      </c>
      <c r="R126" s="23" t="n">
        <f aca="false">IF($F60=1,IF(R$45=1,INDEX(Assumptions!$E$44:$E$46,MATCH($C60,Assumptions!$A$44:$A$46,0))*$C$34,0),IF(R$45=MAX($G60-1,1),INDEX(Assumptions!$E$44:$E$46,MATCH($C60,Assumptions!$A$44:$A$46,0)),0))*IF(AND($C60="Verified",$C$39=1),0,1)</f>
        <v>0</v>
      </c>
      <c r="S126" s="23" t="n">
        <f aca="false">IF($F60=1,IF(S$45=1,INDEX(Assumptions!$E$44:$E$46,MATCH($C60,Assumptions!$A$44:$A$46,0))*$C$34,0),IF(S$45=MAX($G60-1,1),INDEX(Assumptions!$E$44:$E$46,MATCH($C60,Assumptions!$A$44:$A$46,0)),0))*IF(AND($C60="Verified",$C$39=1),0,1)</f>
        <v>0</v>
      </c>
      <c r="T126" s="23" t="n">
        <f aca="false">IF($F60=1,IF(T$45=1,INDEX(Assumptions!$E$44:$E$46,MATCH($C60,Assumptions!$A$44:$A$46,0))*$C$34,0),IF(T$45=MAX($G60-1,1),INDEX(Assumptions!$E$44:$E$46,MATCH($C60,Assumptions!$A$44:$A$46,0)),0))*IF(AND($C60="Verified",$C$39=1),0,1)</f>
        <v>0</v>
      </c>
      <c r="U126" s="23" t="n">
        <f aca="false">IF($F60=1,IF(U$45=1,INDEX(Assumptions!$E$44:$E$46,MATCH($C60,Assumptions!$A$44:$A$46,0))*$C$34,0),IF(U$45=MAX($G60-1,1),INDEX(Assumptions!$E$44:$E$46,MATCH($C60,Assumptions!$A$44:$A$46,0)),0))*IF(AND($C60="Verified",$C$39=1),0,1)</f>
        <v>0</v>
      </c>
      <c r="V126" s="23" t="n">
        <f aca="false">IF($F60=1,IF(V$45=1,INDEX(Assumptions!$E$44:$E$46,MATCH($C60,Assumptions!$A$44:$A$46,0))*$C$34,0),IF(V$45=MAX($G60-1,1),INDEX(Assumptions!$E$44:$E$46,MATCH($C60,Assumptions!$A$44:$A$46,0)),0))*IF(AND($C60="Verified",$C$39=1),0,1)</f>
        <v>0</v>
      </c>
      <c r="W126" s="23" t="n">
        <f aca="false">IF($F60=1,IF(W$45=1,INDEX(Assumptions!$E$44:$E$46,MATCH($C60,Assumptions!$A$44:$A$46,0))*$C$34,0),IF(W$45=MAX($G60-1,1),INDEX(Assumptions!$E$44:$E$46,MATCH($C60,Assumptions!$A$44:$A$46,0)),0))*IF(AND($C60="Verified",$C$39=1),0,1)</f>
        <v>0</v>
      </c>
      <c r="X126" s="23" t="n">
        <f aca="false">IF($F60=1,IF(X$45=1,INDEX(Assumptions!$E$44:$E$46,MATCH($C60,Assumptions!$A$44:$A$46,0))*$C$34,0),IF(X$45=MAX($G60-1,1),INDEX(Assumptions!$E$44:$E$46,MATCH($C60,Assumptions!$A$44:$A$46,0)),0))*IF(AND($C60="Verified",$C$39=1),0,1)</f>
        <v>0</v>
      </c>
      <c r="Y126" s="23" t="n">
        <f aca="false">IF($F60=1,IF(Y$45=1,INDEX(Assumptions!$E$44:$E$46,MATCH($C60,Assumptions!$A$44:$A$46,0))*$C$34,0),IF(Y$45=MAX($G60-1,1),INDEX(Assumptions!$E$44:$E$46,MATCH($C60,Assumptions!$A$44:$A$46,0)),0))*IF(AND($C60="Verified",$C$39=1),0,1)</f>
        <v>0</v>
      </c>
    </row>
    <row r="127" customFormat="false" ht="15" hidden="false" customHeight="false" outlineLevel="0" collapsed="false">
      <c r="A127" s="2" t="n">
        <f aca="false">A61</f>
        <v>14</v>
      </c>
      <c r="B127" s="2" t="str">
        <f aca="false">B61</f>
        <v>B</v>
      </c>
      <c r="C127" s="2" t="str">
        <f aca="false">C61</f>
        <v>Connect</v>
      </c>
      <c r="D127" s="2"/>
      <c r="E127" s="2"/>
      <c r="F127" s="2"/>
      <c r="G127" s="2"/>
      <c r="H127" s="23" t="n">
        <f aca="false">IF($F61=1,IF(H$45=1,INDEX(Assumptions!$E$44:$E$46,MATCH($C61,Assumptions!$A$44:$A$46,0))*$C$34,0),IF(H$45=MAX($G61-1,1),INDEX(Assumptions!$E$44:$E$46,MATCH($C61,Assumptions!$A$44:$A$46,0)),0))*IF(AND($C61="Verified",$C$39=1),0,1)</f>
        <v>0</v>
      </c>
      <c r="I127" s="23" t="n">
        <f aca="false">IF($F61=1,IF(I$45=1,INDEX(Assumptions!$E$44:$E$46,MATCH($C61,Assumptions!$A$44:$A$46,0))*$C$34,0),IF(I$45=MAX($G61-1,1),INDEX(Assumptions!$E$44:$E$46,MATCH($C61,Assumptions!$A$44:$A$46,0)),0))*IF(AND($C61="Verified",$C$39=1),0,1)</f>
        <v>0</v>
      </c>
      <c r="J127" s="23" t="n">
        <f aca="false">IF($F61=1,IF(J$45=1,INDEX(Assumptions!$E$44:$E$46,MATCH($C61,Assumptions!$A$44:$A$46,0))*$C$34,0),IF(J$45=MAX($G61-1,1),INDEX(Assumptions!$E$44:$E$46,MATCH($C61,Assumptions!$A$44:$A$46,0)),0))*IF(AND($C61="Verified",$C$39=1),0,1)</f>
        <v>0</v>
      </c>
      <c r="K127" s="23" t="n">
        <f aca="false">IF($F61=1,IF(K$45=1,INDEX(Assumptions!$E$44:$E$46,MATCH($C61,Assumptions!$A$44:$A$46,0))*$C$34,0),IF(K$45=MAX($G61-1,1),INDEX(Assumptions!$E$44:$E$46,MATCH($C61,Assumptions!$A$44:$A$46,0)),0))*IF(AND($C61="Verified",$C$39=1),0,1)</f>
        <v>0</v>
      </c>
      <c r="L127" s="23" t="n">
        <f aca="false">IF($F61=1,IF(L$45=1,INDEX(Assumptions!$E$44:$E$46,MATCH($C61,Assumptions!$A$44:$A$46,0))*$C$34,0),IF(L$45=MAX($G61-1,1),INDEX(Assumptions!$E$44:$E$46,MATCH($C61,Assumptions!$A$44:$A$46,0)),0))*IF(AND($C61="Verified",$C$39=1),0,1)</f>
        <v>0</v>
      </c>
      <c r="M127" s="23" t="n">
        <f aca="false">IF($F61=1,IF(M$45=1,INDEX(Assumptions!$E$44:$E$46,MATCH($C61,Assumptions!$A$44:$A$46,0))*$C$34,0),IF(M$45=MAX($G61-1,1),INDEX(Assumptions!$E$44:$E$46,MATCH($C61,Assumptions!$A$44:$A$46,0)),0))*IF(AND($C61="Verified",$C$39=1),0,1)</f>
        <v>0</v>
      </c>
      <c r="N127" s="23" t="n">
        <f aca="false">IF($F61=1,IF(N$45=1,INDEX(Assumptions!$E$44:$E$46,MATCH($C61,Assumptions!$A$44:$A$46,0))*$C$34,0),IF(N$45=MAX($G61-1,1),INDEX(Assumptions!$E$44:$E$46,MATCH($C61,Assumptions!$A$44:$A$46,0)),0))*IF(AND($C61="Verified",$C$39=1),0,1)</f>
        <v>0</v>
      </c>
      <c r="O127" s="23" t="n">
        <f aca="false">IF($F61=1,IF(O$45=1,INDEX(Assumptions!$E$44:$E$46,MATCH($C61,Assumptions!$A$44:$A$46,0))*$C$34,0),IF(O$45=MAX($G61-1,1),INDEX(Assumptions!$E$44:$E$46,MATCH($C61,Assumptions!$A$44:$A$46,0)),0))*IF(AND($C61="Verified",$C$39=1),0,1)</f>
        <v>70000</v>
      </c>
      <c r="P127" s="23" t="n">
        <f aca="false">IF($F61=1,IF(P$45=1,INDEX(Assumptions!$E$44:$E$46,MATCH($C61,Assumptions!$A$44:$A$46,0))*$C$34,0),IF(P$45=MAX($G61-1,1),INDEX(Assumptions!$E$44:$E$46,MATCH($C61,Assumptions!$A$44:$A$46,0)),0))*IF(AND($C61="Verified",$C$39=1),0,1)</f>
        <v>0</v>
      </c>
      <c r="Q127" s="23" t="n">
        <f aca="false">IF($F61=1,IF(Q$45=1,INDEX(Assumptions!$E$44:$E$46,MATCH($C61,Assumptions!$A$44:$A$46,0))*$C$34,0),IF(Q$45=MAX($G61-1,1),INDEX(Assumptions!$E$44:$E$46,MATCH($C61,Assumptions!$A$44:$A$46,0)),0))*IF(AND($C61="Verified",$C$39=1),0,1)</f>
        <v>0</v>
      </c>
      <c r="R127" s="23" t="n">
        <f aca="false">IF($F61=1,IF(R$45=1,INDEX(Assumptions!$E$44:$E$46,MATCH($C61,Assumptions!$A$44:$A$46,0))*$C$34,0),IF(R$45=MAX($G61-1,1),INDEX(Assumptions!$E$44:$E$46,MATCH($C61,Assumptions!$A$44:$A$46,0)),0))*IF(AND($C61="Verified",$C$39=1),0,1)</f>
        <v>0</v>
      </c>
      <c r="S127" s="23" t="n">
        <f aca="false">IF($F61=1,IF(S$45=1,INDEX(Assumptions!$E$44:$E$46,MATCH($C61,Assumptions!$A$44:$A$46,0))*$C$34,0),IF(S$45=MAX($G61-1,1),INDEX(Assumptions!$E$44:$E$46,MATCH($C61,Assumptions!$A$44:$A$46,0)),0))*IF(AND($C61="Verified",$C$39=1),0,1)</f>
        <v>0</v>
      </c>
      <c r="T127" s="23" t="n">
        <f aca="false">IF($F61=1,IF(T$45=1,INDEX(Assumptions!$E$44:$E$46,MATCH($C61,Assumptions!$A$44:$A$46,0))*$C$34,0),IF(T$45=MAX($G61-1,1),INDEX(Assumptions!$E$44:$E$46,MATCH($C61,Assumptions!$A$44:$A$46,0)),0))*IF(AND($C61="Verified",$C$39=1),0,1)</f>
        <v>0</v>
      </c>
      <c r="U127" s="23" t="n">
        <f aca="false">IF($F61=1,IF(U$45=1,INDEX(Assumptions!$E$44:$E$46,MATCH($C61,Assumptions!$A$44:$A$46,0))*$C$34,0),IF(U$45=MAX($G61-1,1),INDEX(Assumptions!$E$44:$E$46,MATCH($C61,Assumptions!$A$44:$A$46,0)),0))*IF(AND($C61="Verified",$C$39=1),0,1)</f>
        <v>0</v>
      </c>
      <c r="V127" s="23" t="n">
        <f aca="false">IF($F61=1,IF(V$45=1,INDEX(Assumptions!$E$44:$E$46,MATCH($C61,Assumptions!$A$44:$A$46,0))*$C$34,0),IF(V$45=MAX($G61-1,1),INDEX(Assumptions!$E$44:$E$46,MATCH($C61,Assumptions!$A$44:$A$46,0)),0))*IF(AND($C61="Verified",$C$39=1),0,1)</f>
        <v>0</v>
      </c>
      <c r="W127" s="23" t="n">
        <f aca="false">IF($F61=1,IF(W$45=1,INDEX(Assumptions!$E$44:$E$46,MATCH($C61,Assumptions!$A$44:$A$46,0))*$C$34,0),IF(W$45=MAX($G61-1,1),INDEX(Assumptions!$E$44:$E$46,MATCH($C61,Assumptions!$A$44:$A$46,0)),0))*IF(AND($C61="Verified",$C$39=1),0,1)</f>
        <v>0</v>
      </c>
      <c r="X127" s="23" t="n">
        <f aca="false">IF($F61=1,IF(X$45=1,INDEX(Assumptions!$E$44:$E$46,MATCH($C61,Assumptions!$A$44:$A$46,0))*$C$34,0),IF(X$45=MAX($G61-1,1),INDEX(Assumptions!$E$44:$E$46,MATCH($C61,Assumptions!$A$44:$A$46,0)),0))*IF(AND($C61="Verified",$C$39=1),0,1)</f>
        <v>0</v>
      </c>
      <c r="Y127" s="23" t="n">
        <f aca="false">IF($F61=1,IF(Y$45=1,INDEX(Assumptions!$E$44:$E$46,MATCH($C61,Assumptions!$A$44:$A$46,0))*$C$34,0),IF(Y$45=MAX($G61-1,1),INDEX(Assumptions!$E$44:$E$46,MATCH($C61,Assumptions!$A$44:$A$46,0)),0))*IF(AND($C61="Verified",$C$39=1),0,1)</f>
        <v>0</v>
      </c>
    </row>
    <row r="128" customFormat="false" ht="15" hidden="false" customHeight="false" outlineLevel="0" collapsed="false">
      <c r="A128" s="2" t="n">
        <f aca="false">A62</f>
        <v>15</v>
      </c>
      <c r="B128" s="2" t="str">
        <f aca="false">B62</f>
        <v>B</v>
      </c>
      <c r="C128" s="2" t="str">
        <f aca="false">C62</f>
        <v>Connect</v>
      </c>
      <c r="D128" s="2"/>
      <c r="E128" s="2"/>
      <c r="F128" s="2"/>
      <c r="G128" s="2"/>
      <c r="H128" s="23" t="n">
        <f aca="false">IF($F62=1,IF(H$45=1,INDEX(Assumptions!$E$44:$E$46,MATCH($C62,Assumptions!$A$44:$A$46,0))*$C$34,0),IF(H$45=MAX($G62-1,1),INDEX(Assumptions!$E$44:$E$46,MATCH($C62,Assumptions!$A$44:$A$46,0)),0))*IF(AND($C62="Verified",$C$39=1),0,1)</f>
        <v>0</v>
      </c>
      <c r="I128" s="23" t="n">
        <f aca="false">IF($F62=1,IF(I$45=1,INDEX(Assumptions!$E$44:$E$46,MATCH($C62,Assumptions!$A$44:$A$46,0))*$C$34,0),IF(I$45=MAX($G62-1,1),INDEX(Assumptions!$E$44:$E$46,MATCH($C62,Assumptions!$A$44:$A$46,0)),0))*IF(AND($C62="Verified",$C$39=1),0,1)</f>
        <v>0</v>
      </c>
      <c r="J128" s="23" t="n">
        <f aca="false">IF($F62=1,IF(J$45=1,INDEX(Assumptions!$E$44:$E$46,MATCH($C62,Assumptions!$A$44:$A$46,0))*$C$34,0),IF(J$45=MAX($G62-1,1),INDEX(Assumptions!$E$44:$E$46,MATCH($C62,Assumptions!$A$44:$A$46,0)),0))*IF(AND($C62="Verified",$C$39=1),0,1)</f>
        <v>0</v>
      </c>
      <c r="K128" s="23" t="n">
        <f aca="false">IF($F62=1,IF(K$45=1,INDEX(Assumptions!$E$44:$E$46,MATCH($C62,Assumptions!$A$44:$A$46,0))*$C$34,0),IF(K$45=MAX($G62-1,1),INDEX(Assumptions!$E$44:$E$46,MATCH($C62,Assumptions!$A$44:$A$46,0)),0))*IF(AND($C62="Verified",$C$39=1),0,1)</f>
        <v>0</v>
      </c>
      <c r="L128" s="23" t="n">
        <f aca="false">IF($F62=1,IF(L$45=1,INDEX(Assumptions!$E$44:$E$46,MATCH($C62,Assumptions!$A$44:$A$46,0))*$C$34,0),IF(L$45=MAX($G62-1,1),INDEX(Assumptions!$E$44:$E$46,MATCH($C62,Assumptions!$A$44:$A$46,0)),0))*IF(AND($C62="Verified",$C$39=1),0,1)</f>
        <v>0</v>
      </c>
      <c r="M128" s="23" t="n">
        <f aca="false">IF($F62=1,IF(M$45=1,INDEX(Assumptions!$E$44:$E$46,MATCH($C62,Assumptions!$A$44:$A$46,0))*$C$34,0),IF(M$45=MAX($G62-1,1),INDEX(Assumptions!$E$44:$E$46,MATCH($C62,Assumptions!$A$44:$A$46,0)),0))*IF(AND($C62="Verified",$C$39=1),0,1)</f>
        <v>0</v>
      </c>
      <c r="N128" s="23" t="n">
        <f aca="false">IF($F62=1,IF(N$45=1,INDEX(Assumptions!$E$44:$E$46,MATCH($C62,Assumptions!$A$44:$A$46,0))*$C$34,0),IF(N$45=MAX($G62-1,1),INDEX(Assumptions!$E$44:$E$46,MATCH($C62,Assumptions!$A$44:$A$46,0)),0))*IF(AND($C62="Verified",$C$39=1),0,1)</f>
        <v>0</v>
      </c>
      <c r="O128" s="23" t="n">
        <f aca="false">IF($F62=1,IF(O$45=1,INDEX(Assumptions!$E$44:$E$46,MATCH($C62,Assumptions!$A$44:$A$46,0))*$C$34,0),IF(O$45=MAX($G62-1,1),INDEX(Assumptions!$E$44:$E$46,MATCH($C62,Assumptions!$A$44:$A$46,0)),0))*IF(AND($C62="Verified",$C$39=1),0,1)</f>
        <v>0</v>
      </c>
      <c r="P128" s="23" t="n">
        <f aca="false">IF($F62=1,IF(P$45=1,INDEX(Assumptions!$E$44:$E$46,MATCH($C62,Assumptions!$A$44:$A$46,0))*$C$34,0),IF(P$45=MAX($G62-1,1),INDEX(Assumptions!$E$44:$E$46,MATCH($C62,Assumptions!$A$44:$A$46,0)),0))*IF(AND($C62="Verified",$C$39=1),0,1)</f>
        <v>70000</v>
      </c>
      <c r="Q128" s="23" t="n">
        <f aca="false">IF($F62=1,IF(Q$45=1,INDEX(Assumptions!$E$44:$E$46,MATCH($C62,Assumptions!$A$44:$A$46,0))*$C$34,0),IF(Q$45=MAX($G62-1,1),INDEX(Assumptions!$E$44:$E$46,MATCH($C62,Assumptions!$A$44:$A$46,0)),0))*IF(AND($C62="Verified",$C$39=1),0,1)</f>
        <v>0</v>
      </c>
      <c r="R128" s="23" t="n">
        <f aca="false">IF($F62=1,IF(R$45=1,INDEX(Assumptions!$E$44:$E$46,MATCH($C62,Assumptions!$A$44:$A$46,0))*$C$34,0),IF(R$45=MAX($G62-1,1),INDEX(Assumptions!$E$44:$E$46,MATCH($C62,Assumptions!$A$44:$A$46,0)),0))*IF(AND($C62="Verified",$C$39=1),0,1)</f>
        <v>0</v>
      </c>
      <c r="S128" s="23" t="n">
        <f aca="false">IF($F62=1,IF(S$45=1,INDEX(Assumptions!$E$44:$E$46,MATCH($C62,Assumptions!$A$44:$A$46,0))*$C$34,0),IF(S$45=MAX($G62-1,1),INDEX(Assumptions!$E$44:$E$46,MATCH($C62,Assumptions!$A$44:$A$46,0)),0))*IF(AND($C62="Verified",$C$39=1),0,1)</f>
        <v>0</v>
      </c>
      <c r="T128" s="23" t="n">
        <f aca="false">IF($F62=1,IF(T$45=1,INDEX(Assumptions!$E$44:$E$46,MATCH($C62,Assumptions!$A$44:$A$46,0))*$C$34,0),IF(T$45=MAX($G62-1,1),INDEX(Assumptions!$E$44:$E$46,MATCH($C62,Assumptions!$A$44:$A$46,0)),0))*IF(AND($C62="Verified",$C$39=1),0,1)</f>
        <v>0</v>
      </c>
      <c r="U128" s="23" t="n">
        <f aca="false">IF($F62=1,IF(U$45=1,INDEX(Assumptions!$E$44:$E$46,MATCH($C62,Assumptions!$A$44:$A$46,0))*$C$34,0),IF(U$45=MAX($G62-1,1),INDEX(Assumptions!$E$44:$E$46,MATCH($C62,Assumptions!$A$44:$A$46,0)),0))*IF(AND($C62="Verified",$C$39=1),0,1)</f>
        <v>0</v>
      </c>
      <c r="V128" s="23" t="n">
        <f aca="false">IF($F62=1,IF(V$45=1,INDEX(Assumptions!$E$44:$E$46,MATCH($C62,Assumptions!$A$44:$A$46,0))*$C$34,0),IF(V$45=MAX($G62-1,1),INDEX(Assumptions!$E$44:$E$46,MATCH($C62,Assumptions!$A$44:$A$46,0)),0))*IF(AND($C62="Verified",$C$39=1),0,1)</f>
        <v>0</v>
      </c>
      <c r="W128" s="23" t="n">
        <f aca="false">IF($F62=1,IF(W$45=1,INDEX(Assumptions!$E$44:$E$46,MATCH($C62,Assumptions!$A$44:$A$46,0))*$C$34,0),IF(W$45=MAX($G62-1,1),INDEX(Assumptions!$E$44:$E$46,MATCH($C62,Assumptions!$A$44:$A$46,0)),0))*IF(AND($C62="Verified",$C$39=1),0,1)</f>
        <v>0</v>
      </c>
      <c r="X128" s="23" t="n">
        <f aca="false">IF($F62=1,IF(X$45=1,INDEX(Assumptions!$E$44:$E$46,MATCH($C62,Assumptions!$A$44:$A$46,0))*$C$34,0),IF(X$45=MAX($G62-1,1),INDEX(Assumptions!$E$44:$E$46,MATCH($C62,Assumptions!$A$44:$A$46,0)),0))*IF(AND($C62="Verified",$C$39=1),0,1)</f>
        <v>0</v>
      </c>
      <c r="Y128" s="23" t="n">
        <f aca="false">IF($F62=1,IF(Y$45=1,INDEX(Assumptions!$E$44:$E$46,MATCH($C62,Assumptions!$A$44:$A$46,0))*$C$34,0),IF(Y$45=MAX($G62-1,1),INDEX(Assumptions!$E$44:$E$46,MATCH($C62,Assumptions!$A$44:$A$46,0)),0))*IF(AND($C62="Verified",$C$39=1),0,1)</f>
        <v>0</v>
      </c>
    </row>
    <row r="129" customFormat="false" ht="15" hidden="false" customHeight="false" outlineLevel="0" collapsed="false">
      <c r="A129" s="2" t="n">
        <f aca="false">A63</f>
        <v>16</v>
      </c>
      <c r="B129" s="2" t="str">
        <f aca="false">B63</f>
        <v>B</v>
      </c>
      <c r="C129" s="2" t="str">
        <f aca="false">C63</f>
        <v>Connect</v>
      </c>
      <c r="D129" s="2"/>
      <c r="E129" s="2"/>
      <c r="F129" s="2"/>
      <c r="G129" s="2"/>
      <c r="H129" s="23" t="n">
        <f aca="false">IF($F63=1,IF(H$45=1,INDEX(Assumptions!$E$44:$E$46,MATCH($C63,Assumptions!$A$44:$A$46,0))*$C$34,0),IF(H$45=MAX($G63-1,1),INDEX(Assumptions!$E$44:$E$46,MATCH($C63,Assumptions!$A$44:$A$46,0)),0))*IF(AND($C63="Verified",$C$39=1),0,1)</f>
        <v>0</v>
      </c>
      <c r="I129" s="23" t="n">
        <f aca="false">IF($F63=1,IF(I$45=1,INDEX(Assumptions!$E$44:$E$46,MATCH($C63,Assumptions!$A$44:$A$46,0))*$C$34,0),IF(I$45=MAX($G63-1,1),INDEX(Assumptions!$E$44:$E$46,MATCH($C63,Assumptions!$A$44:$A$46,0)),0))*IF(AND($C63="Verified",$C$39=1),0,1)</f>
        <v>0</v>
      </c>
      <c r="J129" s="23" t="n">
        <f aca="false">IF($F63=1,IF(J$45=1,INDEX(Assumptions!$E$44:$E$46,MATCH($C63,Assumptions!$A$44:$A$46,0))*$C$34,0),IF(J$45=MAX($G63-1,1),INDEX(Assumptions!$E$44:$E$46,MATCH($C63,Assumptions!$A$44:$A$46,0)),0))*IF(AND($C63="Verified",$C$39=1),0,1)</f>
        <v>0</v>
      </c>
      <c r="K129" s="23" t="n">
        <f aca="false">IF($F63=1,IF(K$45=1,INDEX(Assumptions!$E$44:$E$46,MATCH($C63,Assumptions!$A$44:$A$46,0))*$C$34,0),IF(K$45=MAX($G63-1,1),INDEX(Assumptions!$E$44:$E$46,MATCH($C63,Assumptions!$A$44:$A$46,0)),0))*IF(AND($C63="Verified",$C$39=1),0,1)</f>
        <v>0</v>
      </c>
      <c r="L129" s="23" t="n">
        <f aca="false">IF($F63=1,IF(L$45=1,INDEX(Assumptions!$E$44:$E$46,MATCH($C63,Assumptions!$A$44:$A$46,0))*$C$34,0),IF(L$45=MAX($G63-1,1),INDEX(Assumptions!$E$44:$E$46,MATCH($C63,Assumptions!$A$44:$A$46,0)),0))*IF(AND($C63="Verified",$C$39=1),0,1)</f>
        <v>0</v>
      </c>
      <c r="M129" s="23" t="n">
        <f aca="false">IF($F63=1,IF(M$45=1,INDEX(Assumptions!$E$44:$E$46,MATCH($C63,Assumptions!$A$44:$A$46,0))*$C$34,0),IF(M$45=MAX($G63-1,1),INDEX(Assumptions!$E$44:$E$46,MATCH($C63,Assumptions!$A$44:$A$46,0)),0))*IF(AND($C63="Verified",$C$39=1),0,1)</f>
        <v>0</v>
      </c>
      <c r="N129" s="23" t="n">
        <f aca="false">IF($F63=1,IF(N$45=1,INDEX(Assumptions!$E$44:$E$46,MATCH($C63,Assumptions!$A$44:$A$46,0))*$C$34,0),IF(N$45=MAX($G63-1,1),INDEX(Assumptions!$E$44:$E$46,MATCH($C63,Assumptions!$A$44:$A$46,0)),0))*IF(AND($C63="Verified",$C$39=1),0,1)</f>
        <v>0</v>
      </c>
      <c r="O129" s="23" t="n">
        <f aca="false">IF($F63=1,IF(O$45=1,INDEX(Assumptions!$E$44:$E$46,MATCH($C63,Assumptions!$A$44:$A$46,0))*$C$34,0),IF(O$45=MAX($G63-1,1),INDEX(Assumptions!$E$44:$E$46,MATCH($C63,Assumptions!$A$44:$A$46,0)),0))*IF(AND($C63="Verified",$C$39=1),0,1)</f>
        <v>0</v>
      </c>
      <c r="P129" s="23" t="n">
        <f aca="false">IF($F63=1,IF(P$45=1,INDEX(Assumptions!$E$44:$E$46,MATCH($C63,Assumptions!$A$44:$A$46,0))*$C$34,0),IF(P$45=MAX($G63-1,1),INDEX(Assumptions!$E$44:$E$46,MATCH($C63,Assumptions!$A$44:$A$46,0)),0))*IF(AND($C63="Verified",$C$39=1),0,1)</f>
        <v>0</v>
      </c>
      <c r="Q129" s="23" t="n">
        <f aca="false">IF($F63=1,IF(Q$45=1,INDEX(Assumptions!$E$44:$E$46,MATCH($C63,Assumptions!$A$44:$A$46,0))*$C$34,0),IF(Q$45=MAX($G63-1,1),INDEX(Assumptions!$E$44:$E$46,MATCH($C63,Assumptions!$A$44:$A$46,0)),0))*IF(AND($C63="Verified",$C$39=1),0,1)</f>
        <v>70000</v>
      </c>
      <c r="R129" s="23" t="n">
        <f aca="false">IF($F63=1,IF(R$45=1,INDEX(Assumptions!$E$44:$E$46,MATCH($C63,Assumptions!$A$44:$A$46,0))*$C$34,0),IF(R$45=MAX($G63-1,1),INDEX(Assumptions!$E$44:$E$46,MATCH($C63,Assumptions!$A$44:$A$46,0)),0))*IF(AND($C63="Verified",$C$39=1),0,1)</f>
        <v>0</v>
      </c>
      <c r="S129" s="23" t="n">
        <f aca="false">IF($F63=1,IF(S$45=1,INDEX(Assumptions!$E$44:$E$46,MATCH($C63,Assumptions!$A$44:$A$46,0))*$C$34,0),IF(S$45=MAX($G63-1,1),INDEX(Assumptions!$E$44:$E$46,MATCH($C63,Assumptions!$A$44:$A$46,0)),0))*IF(AND($C63="Verified",$C$39=1),0,1)</f>
        <v>0</v>
      </c>
      <c r="T129" s="23" t="n">
        <f aca="false">IF($F63=1,IF(T$45=1,INDEX(Assumptions!$E$44:$E$46,MATCH($C63,Assumptions!$A$44:$A$46,0))*$C$34,0),IF(T$45=MAX($G63-1,1),INDEX(Assumptions!$E$44:$E$46,MATCH($C63,Assumptions!$A$44:$A$46,0)),0))*IF(AND($C63="Verified",$C$39=1),0,1)</f>
        <v>0</v>
      </c>
      <c r="U129" s="23" t="n">
        <f aca="false">IF($F63=1,IF(U$45=1,INDEX(Assumptions!$E$44:$E$46,MATCH($C63,Assumptions!$A$44:$A$46,0))*$C$34,0),IF(U$45=MAX($G63-1,1),INDEX(Assumptions!$E$44:$E$46,MATCH($C63,Assumptions!$A$44:$A$46,0)),0))*IF(AND($C63="Verified",$C$39=1),0,1)</f>
        <v>0</v>
      </c>
      <c r="V129" s="23" t="n">
        <f aca="false">IF($F63=1,IF(V$45=1,INDEX(Assumptions!$E$44:$E$46,MATCH($C63,Assumptions!$A$44:$A$46,0))*$C$34,0),IF(V$45=MAX($G63-1,1),INDEX(Assumptions!$E$44:$E$46,MATCH($C63,Assumptions!$A$44:$A$46,0)),0))*IF(AND($C63="Verified",$C$39=1),0,1)</f>
        <v>0</v>
      </c>
      <c r="W129" s="23" t="n">
        <f aca="false">IF($F63=1,IF(W$45=1,INDEX(Assumptions!$E$44:$E$46,MATCH($C63,Assumptions!$A$44:$A$46,0))*$C$34,0),IF(W$45=MAX($G63-1,1),INDEX(Assumptions!$E$44:$E$46,MATCH($C63,Assumptions!$A$44:$A$46,0)),0))*IF(AND($C63="Verified",$C$39=1),0,1)</f>
        <v>0</v>
      </c>
      <c r="X129" s="23" t="n">
        <f aca="false">IF($F63=1,IF(X$45=1,INDEX(Assumptions!$E$44:$E$46,MATCH($C63,Assumptions!$A$44:$A$46,0))*$C$34,0),IF(X$45=MAX($G63-1,1),INDEX(Assumptions!$E$44:$E$46,MATCH($C63,Assumptions!$A$44:$A$46,0)),0))*IF(AND($C63="Verified",$C$39=1),0,1)</f>
        <v>0</v>
      </c>
      <c r="Y129" s="23" t="n">
        <f aca="false">IF($F63=1,IF(Y$45=1,INDEX(Assumptions!$E$44:$E$46,MATCH($C63,Assumptions!$A$44:$A$46,0))*$C$34,0),IF(Y$45=MAX($G63-1,1),INDEX(Assumptions!$E$44:$E$46,MATCH($C63,Assumptions!$A$44:$A$46,0)),0))*IF(AND($C63="Verified",$C$39=1),0,1)</f>
        <v>0</v>
      </c>
    </row>
    <row r="130" customFormat="false" ht="15" hidden="false" customHeight="false" outlineLevel="0" collapsed="false">
      <c r="A130" s="2" t="n">
        <f aca="false">A64</f>
        <v>17</v>
      </c>
      <c r="B130" s="2" t="str">
        <f aca="false">B64</f>
        <v>B</v>
      </c>
      <c r="C130" s="2" t="str">
        <f aca="false">C64</f>
        <v>Verified</v>
      </c>
      <c r="D130" s="2"/>
      <c r="E130" s="2"/>
      <c r="F130" s="2"/>
      <c r="G130" s="2"/>
      <c r="H130" s="23" t="n">
        <f aca="false">IF($F64=1,IF(H$45=1,INDEX(Assumptions!$E$44:$E$46,MATCH($C64,Assumptions!$A$44:$A$46,0))*$C$34,0),IF(H$45=MAX($G64-1,1),INDEX(Assumptions!$E$44:$E$46,MATCH($C64,Assumptions!$A$44:$A$46,0)),0))*IF(AND($C64="Verified",$C$39=1),0,1)</f>
        <v>0</v>
      </c>
      <c r="I130" s="23" t="n">
        <f aca="false">IF($F64=1,IF(I$45=1,INDEX(Assumptions!$E$44:$E$46,MATCH($C64,Assumptions!$A$44:$A$46,0))*$C$34,0),IF(I$45=MAX($G64-1,1),INDEX(Assumptions!$E$44:$E$46,MATCH($C64,Assumptions!$A$44:$A$46,0)),0))*IF(AND($C64="Verified",$C$39=1),0,1)</f>
        <v>0</v>
      </c>
      <c r="J130" s="23" t="n">
        <f aca="false">IF($F64=1,IF(J$45=1,INDEX(Assumptions!$E$44:$E$46,MATCH($C64,Assumptions!$A$44:$A$46,0))*$C$34,0),IF(J$45=MAX($G64-1,1),INDEX(Assumptions!$E$44:$E$46,MATCH($C64,Assumptions!$A$44:$A$46,0)),0))*IF(AND($C64="Verified",$C$39=1),0,1)</f>
        <v>0</v>
      </c>
      <c r="K130" s="23" t="n">
        <f aca="false">IF($F64=1,IF(K$45=1,INDEX(Assumptions!$E$44:$E$46,MATCH($C64,Assumptions!$A$44:$A$46,0))*$C$34,0),IF(K$45=MAX($G64-1,1),INDEX(Assumptions!$E$44:$E$46,MATCH($C64,Assumptions!$A$44:$A$46,0)),0))*IF(AND($C64="Verified",$C$39=1),0,1)</f>
        <v>0</v>
      </c>
      <c r="L130" s="23" t="n">
        <f aca="false">IF($F64=1,IF(L$45=1,INDEX(Assumptions!$E$44:$E$46,MATCH($C64,Assumptions!$A$44:$A$46,0))*$C$34,0),IF(L$45=MAX($G64-1,1),INDEX(Assumptions!$E$44:$E$46,MATCH($C64,Assumptions!$A$44:$A$46,0)),0))*IF(AND($C64="Verified",$C$39=1),0,1)</f>
        <v>0</v>
      </c>
      <c r="M130" s="23" t="n">
        <f aca="false">IF($F64=1,IF(M$45=1,INDEX(Assumptions!$E$44:$E$46,MATCH($C64,Assumptions!$A$44:$A$46,0))*$C$34,0),IF(M$45=MAX($G64-1,1),INDEX(Assumptions!$E$44:$E$46,MATCH($C64,Assumptions!$A$44:$A$46,0)),0))*IF(AND($C64="Verified",$C$39=1),0,1)</f>
        <v>0</v>
      </c>
      <c r="N130" s="23" t="n">
        <f aca="false">IF($F64=1,IF(N$45=1,INDEX(Assumptions!$E$44:$E$46,MATCH($C64,Assumptions!$A$44:$A$46,0))*$C$34,0),IF(N$45=MAX($G64-1,1),INDEX(Assumptions!$E$44:$E$46,MATCH($C64,Assumptions!$A$44:$A$46,0)),0))*IF(AND($C64="Verified",$C$39=1),0,1)</f>
        <v>0</v>
      </c>
      <c r="O130" s="23" t="n">
        <f aca="false">IF($F64=1,IF(O$45=1,INDEX(Assumptions!$E$44:$E$46,MATCH($C64,Assumptions!$A$44:$A$46,0))*$C$34,0),IF(O$45=MAX($G64-1,1),INDEX(Assumptions!$E$44:$E$46,MATCH($C64,Assumptions!$A$44:$A$46,0)),0))*IF(AND($C64="Verified",$C$39=1),0,1)</f>
        <v>0</v>
      </c>
      <c r="P130" s="23" t="n">
        <f aca="false">IF($F64=1,IF(P$45=1,INDEX(Assumptions!$E$44:$E$46,MATCH($C64,Assumptions!$A$44:$A$46,0))*$C$34,0),IF(P$45=MAX($G64-1,1),INDEX(Assumptions!$E$44:$E$46,MATCH($C64,Assumptions!$A$44:$A$46,0)),0))*IF(AND($C64="Verified",$C$39=1),0,1)</f>
        <v>0</v>
      </c>
      <c r="Q130" s="23" t="n">
        <f aca="false">IF($F64=1,IF(Q$45=1,INDEX(Assumptions!$E$44:$E$46,MATCH($C64,Assumptions!$A$44:$A$46,0))*$C$34,0),IF(Q$45=MAX($G64-1,1),INDEX(Assumptions!$E$44:$E$46,MATCH($C64,Assumptions!$A$44:$A$46,0)),0))*IF(AND($C64="Verified",$C$39=1),0,1)</f>
        <v>0</v>
      </c>
      <c r="R130" s="23" t="n">
        <f aca="false">IF($F64=1,IF(R$45=1,INDEX(Assumptions!$E$44:$E$46,MATCH($C64,Assumptions!$A$44:$A$46,0))*$C$34,0),IF(R$45=MAX($G64-1,1),INDEX(Assumptions!$E$44:$E$46,MATCH($C64,Assumptions!$A$44:$A$46,0)),0))*IF(AND($C64="Verified",$C$39=1),0,1)</f>
        <v>45000</v>
      </c>
      <c r="S130" s="23" t="n">
        <f aca="false">IF($F64=1,IF(S$45=1,INDEX(Assumptions!$E$44:$E$46,MATCH($C64,Assumptions!$A$44:$A$46,0))*$C$34,0),IF(S$45=MAX($G64-1,1),INDEX(Assumptions!$E$44:$E$46,MATCH($C64,Assumptions!$A$44:$A$46,0)),0))*IF(AND($C64="Verified",$C$39=1),0,1)</f>
        <v>0</v>
      </c>
      <c r="T130" s="23" t="n">
        <f aca="false">IF($F64=1,IF(T$45=1,INDEX(Assumptions!$E$44:$E$46,MATCH($C64,Assumptions!$A$44:$A$46,0))*$C$34,0),IF(T$45=MAX($G64-1,1),INDEX(Assumptions!$E$44:$E$46,MATCH($C64,Assumptions!$A$44:$A$46,0)),0))*IF(AND($C64="Verified",$C$39=1),0,1)</f>
        <v>0</v>
      </c>
      <c r="U130" s="23" t="n">
        <f aca="false">IF($F64=1,IF(U$45=1,INDEX(Assumptions!$E$44:$E$46,MATCH($C64,Assumptions!$A$44:$A$46,0))*$C$34,0),IF(U$45=MAX($G64-1,1),INDEX(Assumptions!$E$44:$E$46,MATCH($C64,Assumptions!$A$44:$A$46,0)),0))*IF(AND($C64="Verified",$C$39=1),0,1)</f>
        <v>0</v>
      </c>
      <c r="V130" s="23" t="n">
        <f aca="false">IF($F64=1,IF(V$45=1,INDEX(Assumptions!$E$44:$E$46,MATCH($C64,Assumptions!$A$44:$A$46,0))*$C$34,0),IF(V$45=MAX($G64-1,1),INDEX(Assumptions!$E$44:$E$46,MATCH($C64,Assumptions!$A$44:$A$46,0)),0))*IF(AND($C64="Verified",$C$39=1),0,1)</f>
        <v>0</v>
      </c>
      <c r="W130" s="23" t="n">
        <f aca="false">IF($F64=1,IF(W$45=1,INDEX(Assumptions!$E$44:$E$46,MATCH($C64,Assumptions!$A$44:$A$46,0))*$C$34,0),IF(W$45=MAX($G64-1,1),INDEX(Assumptions!$E$44:$E$46,MATCH($C64,Assumptions!$A$44:$A$46,0)),0))*IF(AND($C64="Verified",$C$39=1),0,1)</f>
        <v>0</v>
      </c>
      <c r="X130" s="23" t="n">
        <f aca="false">IF($F64=1,IF(X$45=1,INDEX(Assumptions!$E$44:$E$46,MATCH($C64,Assumptions!$A$44:$A$46,0))*$C$34,0),IF(X$45=MAX($G64-1,1),INDEX(Assumptions!$E$44:$E$46,MATCH($C64,Assumptions!$A$44:$A$46,0)),0))*IF(AND($C64="Verified",$C$39=1),0,1)</f>
        <v>0</v>
      </c>
      <c r="Y130" s="23" t="n">
        <f aca="false">IF($F64=1,IF(Y$45=1,INDEX(Assumptions!$E$44:$E$46,MATCH($C64,Assumptions!$A$44:$A$46,0))*$C$34,0),IF(Y$45=MAX($G64-1,1),INDEX(Assumptions!$E$44:$E$46,MATCH($C64,Assumptions!$A$44:$A$46,0)),0))*IF(AND($C64="Verified",$C$39=1),0,1)</f>
        <v>0</v>
      </c>
    </row>
    <row r="131" customFormat="false" ht="15" hidden="false" customHeight="false" outlineLevel="0" collapsed="false">
      <c r="A131" s="2" t="n">
        <f aca="false">A65</f>
        <v>18</v>
      </c>
      <c r="B131" s="2" t="str">
        <f aca="false">B65</f>
        <v>B</v>
      </c>
      <c r="C131" s="2" t="str">
        <f aca="false">C65</f>
        <v>Verified</v>
      </c>
      <c r="D131" s="2"/>
      <c r="E131" s="2"/>
      <c r="F131" s="2"/>
      <c r="G131" s="2"/>
      <c r="H131" s="23" t="n">
        <f aca="false">IF($F65=1,IF(H$45=1,INDEX(Assumptions!$E$44:$E$46,MATCH($C65,Assumptions!$A$44:$A$46,0))*$C$34,0),IF(H$45=MAX($G65-1,1),INDEX(Assumptions!$E$44:$E$46,MATCH($C65,Assumptions!$A$44:$A$46,0)),0))*IF(AND($C65="Verified",$C$39=1),0,1)</f>
        <v>0</v>
      </c>
      <c r="I131" s="23" t="n">
        <f aca="false">IF($F65=1,IF(I$45=1,INDEX(Assumptions!$E$44:$E$46,MATCH($C65,Assumptions!$A$44:$A$46,0))*$C$34,0),IF(I$45=MAX($G65-1,1),INDEX(Assumptions!$E$44:$E$46,MATCH($C65,Assumptions!$A$44:$A$46,0)),0))*IF(AND($C65="Verified",$C$39=1),0,1)</f>
        <v>0</v>
      </c>
      <c r="J131" s="23" t="n">
        <f aca="false">IF($F65=1,IF(J$45=1,INDEX(Assumptions!$E$44:$E$46,MATCH($C65,Assumptions!$A$44:$A$46,0))*$C$34,0),IF(J$45=MAX($G65-1,1),INDEX(Assumptions!$E$44:$E$46,MATCH($C65,Assumptions!$A$44:$A$46,0)),0))*IF(AND($C65="Verified",$C$39=1),0,1)</f>
        <v>0</v>
      </c>
      <c r="K131" s="23" t="n">
        <f aca="false">IF($F65=1,IF(K$45=1,INDEX(Assumptions!$E$44:$E$46,MATCH($C65,Assumptions!$A$44:$A$46,0))*$C$34,0),IF(K$45=MAX($G65-1,1),INDEX(Assumptions!$E$44:$E$46,MATCH($C65,Assumptions!$A$44:$A$46,0)),0))*IF(AND($C65="Verified",$C$39=1),0,1)</f>
        <v>0</v>
      </c>
      <c r="L131" s="23" t="n">
        <f aca="false">IF($F65=1,IF(L$45=1,INDEX(Assumptions!$E$44:$E$46,MATCH($C65,Assumptions!$A$44:$A$46,0))*$C$34,0),IF(L$45=MAX($G65-1,1),INDEX(Assumptions!$E$44:$E$46,MATCH($C65,Assumptions!$A$44:$A$46,0)),0))*IF(AND($C65="Verified",$C$39=1),0,1)</f>
        <v>0</v>
      </c>
      <c r="M131" s="23" t="n">
        <f aca="false">IF($F65=1,IF(M$45=1,INDEX(Assumptions!$E$44:$E$46,MATCH($C65,Assumptions!$A$44:$A$46,0))*$C$34,0),IF(M$45=MAX($G65-1,1),INDEX(Assumptions!$E$44:$E$46,MATCH($C65,Assumptions!$A$44:$A$46,0)),0))*IF(AND($C65="Verified",$C$39=1),0,1)</f>
        <v>0</v>
      </c>
      <c r="N131" s="23" t="n">
        <f aca="false">IF($F65=1,IF(N$45=1,INDEX(Assumptions!$E$44:$E$46,MATCH($C65,Assumptions!$A$44:$A$46,0))*$C$34,0),IF(N$45=MAX($G65-1,1),INDEX(Assumptions!$E$44:$E$46,MATCH($C65,Assumptions!$A$44:$A$46,0)),0))*IF(AND($C65="Verified",$C$39=1),0,1)</f>
        <v>0</v>
      </c>
      <c r="O131" s="23" t="n">
        <f aca="false">IF($F65=1,IF(O$45=1,INDEX(Assumptions!$E$44:$E$46,MATCH($C65,Assumptions!$A$44:$A$46,0))*$C$34,0),IF(O$45=MAX($G65-1,1),INDEX(Assumptions!$E$44:$E$46,MATCH($C65,Assumptions!$A$44:$A$46,0)),0))*IF(AND($C65="Verified",$C$39=1),0,1)</f>
        <v>0</v>
      </c>
      <c r="P131" s="23" t="n">
        <f aca="false">IF($F65=1,IF(P$45=1,INDEX(Assumptions!$E$44:$E$46,MATCH($C65,Assumptions!$A$44:$A$46,0))*$C$34,0),IF(P$45=MAX($G65-1,1),INDEX(Assumptions!$E$44:$E$46,MATCH($C65,Assumptions!$A$44:$A$46,0)),0))*IF(AND($C65="Verified",$C$39=1),0,1)</f>
        <v>0</v>
      </c>
      <c r="Q131" s="23" t="n">
        <f aca="false">IF($F65=1,IF(Q$45=1,INDEX(Assumptions!$E$44:$E$46,MATCH($C65,Assumptions!$A$44:$A$46,0))*$C$34,0),IF(Q$45=MAX($G65-1,1),INDEX(Assumptions!$E$44:$E$46,MATCH($C65,Assumptions!$A$44:$A$46,0)),0))*IF(AND($C65="Verified",$C$39=1),0,1)</f>
        <v>0</v>
      </c>
      <c r="R131" s="23" t="n">
        <f aca="false">IF($F65=1,IF(R$45=1,INDEX(Assumptions!$E$44:$E$46,MATCH($C65,Assumptions!$A$44:$A$46,0))*$C$34,0),IF(R$45=MAX($G65-1,1),INDEX(Assumptions!$E$44:$E$46,MATCH($C65,Assumptions!$A$44:$A$46,0)),0))*IF(AND($C65="Verified",$C$39=1),0,1)</f>
        <v>0</v>
      </c>
      <c r="S131" s="23" t="n">
        <f aca="false">IF($F65=1,IF(S$45=1,INDEX(Assumptions!$E$44:$E$46,MATCH($C65,Assumptions!$A$44:$A$46,0))*$C$34,0),IF(S$45=MAX($G65-1,1),INDEX(Assumptions!$E$44:$E$46,MATCH($C65,Assumptions!$A$44:$A$46,0)),0))*IF(AND($C65="Verified",$C$39=1),0,1)</f>
        <v>45000</v>
      </c>
      <c r="T131" s="23" t="n">
        <f aca="false">IF($F65=1,IF(T$45=1,INDEX(Assumptions!$E$44:$E$46,MATCH($C65,Assumptions!$A$44:$A$46,0))*$C$34,0),IF(T$45=MAX($G65-1,1),INDEX(Assumptions!$E$44:$E$46,MATCH($C65,Assumptions!$A$44:$A$46,0)),0))*IF(AND($C65="Verified",$C$39=1),0,1)</f>
        <v>0</v>
      </c>
      <c r="U131" s="23" t="n">
        <f aca="false">IF($F65=1,IF(U$45=1,INDEX(Assumptions!$E$44:$E$46,MATCH($C65,Assumptions!$A$44:$A$46,0))*$C$34,0),IF(U$45=MAX($G65-1,1),INDEX(Assumptions!$E$44:$E$46,MATCH($C65,Assumptions!$A$44:$A$46,0)),0))*IF(AND($C65="Verified",$C$39=1),0,1)</f>
        <v>0</v>
      </c>
      <c r="V131" s="23" t="n">
        <f aca="false">IF($F65=1,IF(V$45=1,INDEX(Assumptions!$E$44:$E$46,MATCH($C65,Assumptions!$A$44:$A$46,0))*$C$34,0),IF(V$45=MAX($G65-1,1),INDEX(Assumptions!$E$44:$E$46,MATCH($C65,Assumptions!$A$44:$A$46,0)),0))*IF(AND($C65="Verified",$C$39=1),0,1)</f>
        <v>0</v>
      </c>
      <c r="W131" s="23" t="n">
        <f aca="false">IF($F65=1,IF(W$45=1,INDEX(Assumptions!$E$44:$E$46,MATCH($C65,Assumptions!$A$44:$A$46,0))*$C$34,0),IF(W$45=MAX($G65-1,1),INDEX(Assumptions!$E$44:$E$46,MATCH($C65,Assumptions!$A$44:$A$46,0)),0))*IF(AND($C65="Verified",$C$39=1),0,1)</f>
        <v>0</v>
      </c>
      <c r="X131" s="23" t="n">
        <f aca="false">IF($F65=1,IF(X$45=1,INDEX(Assumptions!$E$44:$E$46,MATCH($C65,Assumptions!$A$44:$A$46,0))*$C$34,0),IF(X$45=MAX($G65-1,1),INDEX(Assumptions!$E$44:$E$46,MATCH($C65,Assumptions!$A$44:$A$46,0)),0))*IF(AND($C65="Verified",$C$39=1),0,1)</f>
        <v>0</v>
      </c>
      <c r="Y131" s="23" t="n">
        <f aca="false">IF($F65=1,IF(Y$45=1,INDEX(Assumptions!$E$44:$E$46,MATCH($C65,Assumptions!$A$44:$A$46,0))*$C$34,0),IF(Y$45=MAX($G65-1,1),INDEX(Assumptions!$E$44:$E$46,MATCH($C65,Assumptions!$A$44:$A$46,0)),0))*IF(AND($C65="Verified",$C$39=1),0,1)</f>
        <v>0</v>
      </c>
    </row>
    <row r="132" customFormat="false" ht="15" hidden="false" customHeight="false" outlineLevel="0" collapsed="false">
      <c r="A132" s="2" t="n">
        <f aca="false">A66</f>
        <v>19</v>
      </c>
      <c r="B132" s="2" t="str">
        <f aca="false">B66</f>
        <v>B</v>
      </c>
      <c r="C132" s="2" t="str">
        <f aca="false">C66</f>
        <v>Verified</v>
      </c>
      <c r="D132" s="2"/>
      <c r="E132" s="2"/>
      <c r="F132" s="2"/>
      <c r="G132" s="2"/>
      <c r="H132" s="23" t="n">
        <f aca="false">IF($F66=1,IF(H$45=1,INDEX(Assumptions!$E$44:$E$46,MATCH($C66,Assumptions!$A$44:$A$46,0))*$C$34,0),IF(H$45=MAX($G66-1,1),INDEX(Assumptions!$E$44:$E$46,MATCH($C66,Assumptions!$A$44:$A$46,0)),0))*IF(AND($C66="Verified",$C$39=1),0,1)</f>
        <v>0</v>
      </c>
      <c r="I132" s="23" t="n">
        <f aca="false">IF($F66=1,IF(I$45=1,INDEX(Assumptions!$E$44:$E$46,MATCH($C66,Assumptions!$A$44:$A$46,0))*$C$34,0),IF(I$45=MAX($G66-1,1),INDEX(Assumptions!$E$44:$E$46,MATCH($C66,Assumptions!$A$44:$A$46,0)),0))*IF(AND($C66="Verified",$C$39=1),0,1)</f>
        <v>0</v>
      </c>
      <c r="J132" s="23" t="n">
        <f aca="false">IF($F66=1,IF(J$45=1,INDEX(Assumptions!$E$44:$E$46,MATCH($C66,Assumptions!$A$44:$A$46,0))*$C$34,0),IF(J$45=MAX($G66-1,1),INDEX(Assumptions!$E$44:$E$46,MATCH($C66,Assumptions!$A$44:$A$46,0)),0))*IF(AND($C66="Verified",$C$39=1),0,1)</f>
        <v>0</v>
      </c>
      <c r="K132" s="23" t="n">
        <f aca="false">IF($F66=1,IF(K$45=1,INDEX(Assumptions!$E$44:$E$46,MATCH($C66,Assumptions!$A$44:$A$46,0))*$C$34,0),IF(K$45=MAX($G66-1,1),INDEX(Assumptions!$E$44:$E$46,MATCH($C66,Assumptions!$A$44:$A$46,0)),0))*IF(AND($C66="Verified",$C$39=1),0,1)</f>
        <v>0</v>
      </c>
      <c r="L132" s="23" t="n">
        <f aca="false">IF($F66=1,IF(L$45=1,INDEX(Assumptions!$E$44:$E$46,MATCH($C66,Assumptions!$A$44:$A$46,0))*$C$34,0),IF(L$45=MAX($G66-1,1),INDEX(Assumptions!$E$44:$E$46,MATCH($C66,Assumptions!$A$44:$A$46,0)),0))*IF(AND($C66="Verified",$C$39=1),0,1)</f>
        <v>0</v>
      </c>
      <c r="M132" s="23" t="n">
        <f aca="false">IF($F66=1,IF(M$45=1,INDEX(Assumptions!$E$44:$E$46,MATCH($C66,Assumptions!$A$44:$A$46,0))*$C$34,0),IF(M$45=MAX($G66-1,1),INDEX(Assumptions!$E$44:$E$46,MATCH($C66,Assumptions!$A$44:$A$46,0)),0))*IF(AND($C66="Verified",$C$39=1),0,1)</f>
        <v>0</v>
      </c>
      <c r="N132" s="23" t="n">
        <f aca="false">IF($F66=1,IF(N$45=1,INDEX(Assumptions!$E$44:$E$46,MATCH($C66,Assumptions!$A$44:$A$46,0))*$C$34,0),IF(N$45=MAX($G66-1,1),INDEX(Assumptions!$E$44:$E$46,MATCH($C66,Assumptions!$A$44:$A$46,0)),0))*IF(AND($C66="Verified",$C$39=1),0,1)</f>
        <v>0</v>
      </c>
      <c r="O132" s="23" t="n">
        <f aca="false">IF($F66=1,IF(O$45=1,INDEX(Assumptions!$E$44:$E$46,MATCH($C66,Assumptions!$A$44:$A$46,0))*$C$34,0),IF(O$45=MAX($G66-1,1),INDEX(Assumptions!$E$44:$E$46,MATCH($C66,Assumptions!$A$44:$A$46,0)),0))*IF(AND($C66="Verified",$C$39=1),0,1)</f>
        <v>0</v>
      </c>
      <c r="P132" s="23" t="n">
        <f aca="false">IF($F66=1,IF(P$45=1,INDEX(Assumptions!$E$44:$E$46,MATCH($C66,Assumptions!$A$44:$A$46,0))*$C$34,0),IF(P$45=MAX($G66-1,1),INDEX(Assumptions!$E$44:$E$46,MATCH($C66,Assumptions!$A$44:$A$46,0)),0))*IF(AND($C66="Verified",$C$39=1),0,1)</f>
        <v>0</v>
      </c>
      <c r="Q132" s="23" t="n">
        <f aca="false">IF($F66=1,IF(Q$45=1,INDEX(Assumptions!$E$44:$E$46,MATCH($C66,Assumptions!$A$44:$A$46,0))*$C$34,0),IF(Q$45=MAX($G66-1,1),INDEX(Assumptions!$E$44:$E$46,MATCH($C66,Assumptions!$A$44:$A$46,0)),0))*IF(AND($C66="Verified",$C$39=1),0,1)</f>
        <v>0</v>
      </c>
      <c r="R132" s="23" t="n">
        <f aca="false">IF($F66=1,IF(R$45=1,INDEX(Assumptions!$E$44:$E$46,MATCH($C66,Assumptions!$A$44:$A$46,0))*$C$34,0),IF(R$45=MAX($G66-1,1),INDEX(Assumptions!$E$44:$E$46,MATCH($C66,Assumptions!$A$44:$A$46,0)),0))*IF(AND($C66="Verified",$C$39=1),0,1)</f>
        <v>0</v>
      </c>
      <c r="S132" s="23" t="n">
        <f aca="false">IF($F66=1,IF(S$45=1,INDEX(Assumptions!$E$44:$E$46,MATCH($C66,Assumptions!$A$44:$A$46,0))*$C$34,0),IF(S$45=MAX($G66-1,1),INDEX(Assumptions!$E$44:$E$46,MATCH($C66,Assumptions!$A$44:$A$46,0)),0))*IF(AND($C66="Verified",$C$39=1),0,1)</f>
        <v>0</v>
      </c>
      <c r="T132" s="23" t="n">
        <f aca="false">IF($F66=1,IF(T$45=1,INDEX(Assumptions!$E$44:$E$46,MATCH($C66,Assumptions!$A$44:$A$46,0))*$C$34,0),IF(T$45=MAX($G66-1,1),INDEX(Assumptions!$E$44:$E$46,MATCH($C66,Assumptions!$A$44:$A$46,0)),0))*IF(AND($C66="Verified",$C$39=1),0,1)</f>
        <v>45000</v>
      </c>
      <c r="U132" s="23" t="n">
        <f aca="false">IF($F66=1,IF(U$45=1,INDEX(Assumptions!$E$44:$E$46,MATCH($C66,Assumptions!$A$44:$A$46,0))*$C$34,0),IF(U$45=MAX($G66-1,1),INDEX(Assumptions!$E$44:$E$46,MATCH($C66,Assumptions!$A$44:$A$46,0)),0))*IF(AND($C66="Verified",$C$39=1),0,1)</f>
        <v>0</v>
      </c>
      <c r="V132" s="23" t="n">
        <f aca="false">IF($F66=1,IF(V$45=1,INDEX(Assumptions!$E$44:$E$46,MATCH($C66,Assumptions!$A$44:$A$46,0))*$C$34,0),IF(V$45=MAX($G66-1,1),INDEX(Assumptions!$E$44:$E$46,MATCH($C66,Assumptions!$A$44:$A$46,0)),0))*IF(AND($C66="Verified",$C$39=1),0,1)</f>
        <v>0</v>
      </c>
      <c r="W132" s="23" t="n">
        <f aca="false">IF($F66=1,IF(W$45=1,INDEX(Assumptions!$E$44:$E$46,MATCH($C66,Assumptions!$A$44:$A$46,0))*$C$34,0),IF(W$45=MAX($G66-1,1),INDEX(Assumptions!$E$44:$E$46,MATCH($C66,Assumptions!$A$44:$A$46,0)),0))*IF(AND($C66="Verified",$C$39=1),0,1)</f>
        <v>0</v>
      </c>
      <c r="X132" s="23" t="n">
        <f aca="false">IF($F66=1,IF(X$45=1,INDEX(Assumptions!$E$44:$E$46,MATCH($C66,Assumptions!$A$44:$A$46,0))*$C$34,0),IF(X$45=MAX($G66-1,1),INDEX(Assumptions!$E$44:$E$46,MATCH($C66,Assumptions!$A$44:$A$46,0)),0))*IF(AND($C66="Verified",$C$39=1),0,1)</f>
        <v>0</v>
      </c>
      <c r="Y132" s="23" t="n">
        <f aca="false">IF($F66=1,IF(Y$45=1,INDEX(Assumptions!$E$44:$E$46,MATCH($C66,Assumptions!$A$44:$A$46,0))*$C$34,0),IF(Y$45=MAX($G66-1,1),INDEX(Assumptions!$E$44:$E$46,MATCH($C66,Assumptions!$A$44:$A$46,0)),0))*IF(AND($C66="Verified",$C$39=1),0,1)</f>
        <v>0</v>
      </c>
    </row>
    <row r="133" customFormat="false" ht="15" hidden="false" customHeight="false" outlineLevel="0" collapsed="false">
      <c r="A133" s="2" t="n">
        <f aca="false">A67</f>
        <v>20</v>
      </c>
      <c r="B133" s="2" t="str">
        <f aca="false">B67</f>
        <v>B</v>
      </c>
      <c r="C133" s="2" t="str">
        <f aca="false">C67</f>
        <v>Verified</v>
      </c>
      <c r="D133" s="2"/>
      <c r="E133" s="2"/>
      <c r="F133" s="2"/>
      <c r="G133" s="2"/>
      <c r="H133" s="23" t="n">
        <f aca="false">IF($F67=1,IF(H$45=1,INDEX(Assumptions!$E$44:$E$46,MATCH($C67,Assumptions!$A$44:$A$46,0))*$C$34,0),IF(H$45=MAX($G67-1,1),INDEX(Assumptions!$E$44:$E$46,MATCH($C67,Assumptions!$A$44:$A$46,0)),0))*IF(AND($C67="Verified",$C$39=1),0,1)</f>
        <v>0</v>
      </c>
      <c r="I133" s="23" t="n">
        <f aca="false">IF($F67=1,IF(I$45=1,INDEX(Assumptions!$E$44:$E$46,MATCH($C67,Assumptions!$A$44:$A$46,0))*$C$34,0),IF(I$45=MAX($G67-1,1),INDEX(Assumptions!$E$44:$E$46,MATCH($C67,Assumptions!$A$44:$A$46,0)),0))*IF(AND($C67="Verified",$C$39=1),0,1)</f>
        <v>0</v>
      </c>
      <c r="J133" s="23" t="n">
        <f aca="false">IF($F67=1,IF(J$45=1,INDEX(Assumptions!$E$44:$E$46,MATCH($C67,Assumptions!$A$44:$A$46,0))*$C$34,0),IF(J$45=MAX($G67-1,1),INDEX(Assumptions!$E$44:$E$46,MATCH($C67,Assumptions!$A$44:$A$46,0)),0))*IF(AND($C67="Verified",$C$39=1),0,1)</f>
        <v>0</v>
      </c>
      <c r="K133" s="23" t="n">
        <f aca="false">IF($F67=1,IF(K$45=1,INDEX(Assumptions!$E$44:$E$46,MATCH($C67,Assumptions!$A$44:$A$46,0))*$C$34,0),IF(K$45=MAX($G67-1,1),INDEX(Assumptions!$E$44:$E$46,MATCH($C67,Assumptions!$A$44:$A$46,0)),0))*IF(AND($C67="Verified",$C$39=1),0,1)</f>
        <v>0</v>
      </c>
      <c r="L133" s="23" t="n">
        <f aca="false">IF($F67=1,IF(L$45=1,INDEX(Assumptions!$E$44:$E$46,MATCH($C67,Assumptions!$A$44:$A$46,0))*$C$34,0),IF(L$45=MAX($G67-1,1),INDEX(Assumptions!$E$44:$E$46,MATCH($C67,Assumptions!$A$44:$A$46,0)),0))*IF(AND($C67="Verified",$C$39=1),0,1)</f>
        <v>0</v>
      </c>
      <c r="M133" s="23" t="n">
        <f aca="false">IF($F67=1,IF(M$45=1,INDEX(Assumptions!$E$44:$E$46,MATCH($C67,Assumptions!$A$44:$A$46,0))*$C$34,0),IF(M$45=MAX($G67-1,1),INDEX(Assumptions!$E$44:$E$46,MATCH($C67,Assumptions!$A$44:$A$46,0)),0))*IF(AND($C67="Verified",$C$39=1),0,1)</f>
        <v>0</v>
      </c>
      <c r="N133" s="23" t="n">
        <f aca="false">IF($F67=1,IF(N$45=1,INDEX(Assumptions!$E$44:$E$46,MATCH($C67,Assumptions!$A$44:$A$46,0))*$C$34,0),IF(N$45=MAX($G67-1,1),INDEX(Assumptions!$E$44:$E$46,MATCH($C67,Assumptions!$A$44:$A$46,0)),0))*IF(AND($C67="Verified",$C$39=1),0,1)</f>
        <v>0</v>
      </c>
      <c r="O133" s="23" t="n">
        <f aca="false">IF($F67=1,IF(O$45=1,INDEX(Assumptions!$E$44:$E$46,MATCH($C67,Assumptions!$A$44:$A$46,0))*$C$34,0),IF(O$45=MAX($G67-1,1),INDEX(Assumptions!$E$44:$E$46,MATCH($C67,Assumptions!$A$44:$A$46,0)),0))*IF(AND($C67="Verified",$C$39=1),0,1)</f>
        <v>0</v>
      </c>
      <c r="P133" s="23" t="n">
        <f aca="false">IF($F67=1,IF(P$45=1,INDEX(Assumptions!$E$44:$E$46,MATCH($C67,Assumptions!$A$44:$A$46,0))*$C$34,0),IF(P$45=MAX($G67-1,1),INDEX(Assumptions!$E$44:$E$46,MATCH($C67,Assumptions!$A$44:$A$46,0)),0))*IF(AND($C67="Verified",$C$39=1),0,1)</f>
        <v>0</v>
      </c>
      <c r="Q133" s="23" t="n">
        <f aca="false">IF($F67=1,IF(Q$45=1,INDEX(Assumptions!$E$44:$E$46,MATCH($C67,Assumptions!$A$44:$A$46,0))*$C$34,0),IF(Q$45=MAX($G67-1,1),INDEX(Assumptions!$E$44:$E$46,MATCH($C67,Assumptions!$A$44:$A$46,0)),0))*IF(AND($C67="Verified",$C$39=1),0,1)</f>
        <v>0</v>
      </c>
      <c r="R133" s="23" t="n">
        <f aca="false">IF($F67=1,IF(R$45=1,INDEX(Assumptions!$E$44:$E$46,MATCH($C67,Assumptions!$A$44:$A$46,0))*$C$34,0),IF(R$45=MAX($G67-1,1),INDEX(Assumptions!$E$44:$E$46,MATCH($C67,Assumptions!$A$44:$A$46,0)),0))*IF(AND($C67="Verified",$C$39=1),0,1)</f>
        <v>0</v>
      </c>
      <c r="S133" s="23" t="n">
        <f aca="false">IF($F67=1,IF(S$45=1,INDEX(Assumptions!$E$44:$E$46,MATCH($C67,Assumptions!$A$44:$A$46,0))*$C$34,0),IF(S$45=MAX($G67-1,1),INDEX(Assumptions!$E$44:$E$46,MATCH($C67,Assumptions!$A$44:$A$46,0)),0))*IF(AND($C67="Verified",$C$39=1),0,1)</f>
        <v>0</v>
      </c>
      <c r="T133" s="23" t="n">
        <f aca="false">IF($F67=1,IF(T$45=1,INDEX(Assumptions!$E$44:$E$46,MATCH($C67,Assumptions!$A$44:$A$46,0))*$C$34,0),IF(T$45=MAX($G67-1,1),INDEX(Assumptions!$E$44:$E$46,MATCH($C67,Assumptions!$A$44:$A$46,0)),0))*IF(AND($C67="Verified",$C$39=1),0,1)</f>
        <v>45000</v>
      </c>
      <c r="U133" s="23" t="n">
        <f aca="false">IF($F67=1,IF(U$45=1,INDEX(Assumptions!$E$44:$E$46,MATCH($C67,Assumptions!$A$44:$A$46,0))*$C$34,0),IF(U$45=MAX($G67-1,1),INDEX(Assumptions!$E$44:$E$46,MATCH($C67,Assumptions!$A$44:$A$46,0)),0))*IF(AND($C67="Verified",$C$39=1),0,1)</f>
        <v>0</v>
      </c>
      <c r="V133" s="23" t="n">
        <f aca="false">IF($F67=1,IF(V$45=1,INDEX(Assumptions!$E$44:$E$46,MATCH($C67,Assumptions!$A$44:$A$46,0))*$C$34,0),IF(V$45=MAX($G67-1,1),INDEX(Assumptions!$E$44:$E$46,MATCH($C67,Assumptions!$A$44:$A$46,0)),0))*IF(AND($C67="Verified",$C$39=1),0,1)</f>
        <v>0</v>
      </c>
      <c r="W133" s="23" t="n">
        <f aca="false">IF($F67=1,IF(W$45=1,INDEX(Assumptions!$E$44:$E$46,MATCH($C67,Assumptions!$A$44:$A$46,0))*$C$34,0),IF(W$45=MAX($G67-1,1),INDEX(Assumptions!$E$44:$E$46,MATCH($C67,Assumptions!$A$44:$A$46,0)),0))*IF(AND($C67="Verified",$C$39=1),0,1)</f>
        <v>0</v>
      </c>
      <c r="X133" s="23" t="n">
        <f aca="false">IF($F67=1,IF(X$45=1,INDEX(Assumptions!$E$44:$E$46,MATCH($C67,Assumptions!$A$44:$A$46,0))*$C$34,0),IF(X$45=MAX($G67-1,1),INDEX(Assumptions!$E$44:$E$46,MATCH($C67,Assumptions!$A$44:$A$46,0)),0))*IF(AND($C67="Verified",$C$39=1),0,1)</f>
        <v>0</v>
      </c>
      <c r="Y133" s="23" t="n">
        <f aca="false">IF($F67=1,IF(Y$45=1,INDEX(Assumptions!$E$44:$E$46,MATCH($C67,Assumptions!$A$44:$A$46,0))*$C$34,0),IF(Y$45=MAX($G67-1,1),INDEX(Assumptions!$E$44:$E$46,MATCH($C67,Assumptions!$A$44:$A$46,0)),0))*IF(AND($C67="Verified",$C$39=1),0,1)</f>
        <v>0</v>
      </c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" hidden="false" customHeight="false" outlineLevel="0" collapsed="false">
      <c r="A135" s="37" t="s">
        <v>202</v>
      </c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customFormat="false" ht="15" hidden="false" customHeight="false" outlineLevel="0" collapsed="false">
      <c r="A136" s="2" t="n">
        <f aca="false">A48</f>
        <v>1</v>
      </c>
      <c r="B136" s="2" t="str">
        <f aca="false">B48</f>
        <v>Pilot</v>
      </c>
      <c r="C136" s="2" t="str">
        <f aca="false">C48</f>
        <v>Assured</v>
      </c>
      <c r="D136" s="2"/>
      <c r="E136" s="2"/>
      <c r="F136" s="2"/>
      <c r="G136" s="2"/>
      <c r="H136" s="24" t="n">
        <f aca="false">H48*($C$30+(INDEX(Assumptions!$F$44:$F$46,MATCH($C48,Assumptions!$A$44:$A$46,0))-$C$30)*MIN(1,H$45/$C$29))</f>
        <v>14.1166666666667</v>
      </c>
      <c r="I136" s="24" t="n">
        <f aca="false">I48*($C$30+(INDEX(Assumptions!$F$44:$F$46,MATCH($C48,Assumptions!$A$44:$A$46,0))-$C$30)*MIN(1,I$45/$C$29))</f>
        <v>15.2777777777778</v>
      </c>
      <c r="J136" s="24" t="n">
        <f aca="false">J48*($C$30+(INDEX(Assumptions!$F$44:$F$46,MATCH($C48,Assumptions!$A$44:$A$46,0))-$C$30)*MIN(1,J$45/$C$29))</f>
        <v>16.4833333333333</v>
      </c>
      <c r="K136" s="24" t="n">
        <f aca="false">K48*($C$30+(INDEX(Assumptions!$F$44:$F$46,MATCH($C48,Assumptions!$A$44:$A$46,0))-$C$30)*MIN(1,K$45/$C$29))</f>
        <v>17.7333333333333</v>
      </c>
      <c r="L136" s="24" t="n">
        <f aca="false">L48*($C$30+(INDEX(Assumptions!$F$44:$F$46,MATCH($C48,Assumptions!$A$44:$A$46,0))-$C$30)*MIN(1,L$45/$C$29))</f>
        <v>18.2666666666667</v>
      </c>
      <c r="M136" s="24" t="n">
        <f aca="false">M48*($C$30+(INDEX(Assumptions!$F$44:$F$46,MATCH($C48,Assumptions!$A$44:$A$46,0))-$C$30)*MIN(1,M$45/$C$29))</f>
        <v>18.8</v>
      </c>
      <c r="N136" s="24" t="n">
        <f aca="false">N48*($C$30+(INDEX(Assumptions!$F$44:$F$46,MATCH($C48,Assumptions!$A$44:$A$46,0))-$C$30)*MIN(1,N$45/$C$29))</f>
        <v>18.8</v>
      </c>
      <c r="O136" s="24" t="n">
        <f aca="false">O48*($C$30+(INDEX(Assumptions!$F$44:$F$46,MATCH($C48,Assumptions!$A$44:$A$46,0))-$C$30)*MIN(1,O$45/$C$29))</f>
        <v>18.8</v>
      </c>
      <c r="P136" s="24" t="n">
        <f aca="false">P48*($C$30+(INDEX(Assumptions!$F$44:$F$46,MATCH($C48,Assumptions!$A$44:$A$46,0))-$C$30)*MIN(1,P$45/$C$29))</f>
        <v>18.8</v>
      </c>
      <c r="Q136" s="24" t="n">
        <f aca="false">Q48*($C$30+(INDEX(Assumptions!$F$44:$F$46,MATCH($C48,Assumptions!$A$44:$A$46,0))-$C$30)*MIN(1,Q$45/$C$29))</f>
        <v>18.8</v>
      </c>
      <c r="R136" s="24" t="n">
        <f aca="false">R48*($C$30+(INDEX(Assumptions!$F$44:$F$46,MATCH($C48,Assumptions!$A$44:$A$46,0))-$C$30)*MIN(1,R$45/$C$29))</f>
        <v>18.8</v>
      </c>
      <c r="S136" s="24" t="n">
        <f aca="false">S48*($C$30+(INDEX(Assumptions!$F$44:$F$46,MATCH($C48,Assumptions!$A$44:$A$46,0))-$C$30)*MIN(1,S$45/$C$29))</f>
        <v>18.8</v>
      </c>
      <c r="T136" s="24" t="n">
        <f aca="false">T48*($C$30+(INDEX(Assumptions!$F$44:$F$46,MATCH($C48,Assumptions!$A$44:$A$46,0))-$C$30)*MIN(1,T$45/$C$29))</f>
        <v>18.8</v>
      </c>
      <c r="U136" s="24" t="n">
        <f aca="false">U48*($C$30+(INDEX(Assumptions!$F$44:$F$46,MATCH($C48,Assumptions!$A$44:$A$46,0))-$C$30)*MIN(1,U$45/$C$29))</f>
        <v>18.8</v>
      </c>
      <c r="V136" s="24" t="n">
        <f aca="false">V48*($C$30+(INDEX(Assumptions!$F$44:$F$46,MATCH($C48,Assumptions!$A$44:$A$46,0))-$C$30)*MIN(1,V$45/$C$29))</f>
        <v>18.8</v>
      </c>
      <c r="W136" s="24" t="n">
        <f aca="false">W48*($C$30+(INDEX(Assumptions!$F$44:$F$46,MATCH($C48,Assumptions!$A$44:$A$46,0))-$C$30)*MIN(1,W$45/$C$29))</f>
        <v>18.8</v>
      </c>
      <c r="X136" s="24" t="n">
        <f aca="false">X48*($C$30+(INDEX(Assumptions!$F$44:$F$46,MATCH($C48,Assumptions!$A$44:$A$46,0))-$C$30)*MIN(1,X$45/$C$29))</f>
        <v>18.8</v>
      </c>
      <c r="Y136" s="24" t="n">
        <f aca="false">Y48*($C$30+(INDEX(Assumptions!$F$44:$F$46,MATCH($C48,Assumptions!$A$44:$A$46,0))-$C$30)*MIN(1,Y$45/$C$29))</f>
        <v>18.8</v>
      </c>
    </row>
    <row r="137" customFormat="false" ht="15" hidden="false" customHeight="false" outlineLevel="0" collapsed="false">
      <c r="A137" s="2" t="n">
        <f aca="false">A49</f>
        <v>2</v>
      </c>
      <c r="B137" s="2" t="str">
        <f aca="false">B49</f>
        <v>Pilot</v>
      </c>
      <c r="C137" s="2" t="str">
        <f aca="false">C49</f>
        <v>Assured</v>
      </c>
      <c r="D137" s="2"/>
      <c r="E137" s="2"/>
      <c r="F137" s="2"/>
      <c r="G137" s="2"/>
      <c r="H137" s="24" t="n">
        <f aca="false">H49*($C$30+(INDEX(Assumptions!$F$44:$F$46,MATCH($C49,Assumptions!$A$44:$A$46,0))-$C$30)*MIN(1,H$45/$C$29))</f>
        <v>14.1166666666667</v>
      </c>
      <c r="I137" s="24" t="n">
        <f aca="false">I49*($C$30+(INDEX(Assumptions!$F$44:$F$46,MATCH($C49,Assumptions!$A$44:$A$46,0))-$C$30)*MIN(1,I$45/$C$29))</f>
        <v>15.2777777777778</v>
      </c>
      <c r="J137" s="24" t="n">
        <f aca="false">J49*($C$30+(INDEX(Assumptions!$F$44:$F$46,MATCH($C49,Assumptions!$A$44:$A$46,0))-$C$30)*MIN(1,J$45/$C$29))</f>
        <v>16.4833333333333</v>
      </c>
      <c r="K137" s="24" t="n">
        <f aca="false">K49*($C$30+(INDEX(Assumptions!$F$44:$F$46,MATCH($C49,Assumptions!$A$44:$A$46,0))-$C$30)*MIN(1,K$45/$C$29))</f>
        <v>17.7333333333333</v>
      </c>
      <c r="L137" s="24" t="n">
        <f aca="false">L49*($C$30+(INDEX(Assumptions!$F$44:$F$46,MATCH($C49,Assumptions!$A$44:$A$46,0))-$C$30)*MIN(1,L$45/$C$29))</f>
        <v>18.2666666666667</v>
      </c>
      <c r="M137" s="24" t="n">
        <f aca="false">M49*($C$30+(INDEX(Assumptions!$F$44:$F$46,MATCH($C49,Assumptions!$A$44:$A$46,0))-$C$30)*MIN(1,M$45/$C$29))</f>
        <v>18.8</v>
      </c>
      <c r="N137" s="24" t="n">
        <f aca="false">N49*($C$30+(INDEX(Assumptions!$F$44:$F$46,MATCH($C49,Assumptions!$A$44:$A$46,0))-$C$30)*MIN(1,N$45/$C$29))</f>
        <v>18.8</v>
      </c>
      <c r="O137" s="24" t="n">
        <f aca="false">O49*($C$30+(INDEX(Assumptions!$F$44:$F$46,MATCH($C49,Assumptions!$A$44:$A$46,0))-$C$30)*MIN(1,O$45/$C$29))</f>
        <v>18.8</v>
      </c>
      <c r="P137" s="24" t="n">
        <f aca="false">P49*($C$30+(INDEX(Assumptions!$F$44:$F$46,MATCH($C49,Assumptions!$A$44:$A$46,0))-$C$30)*MIN(1,P$45/$C$29))</f>
        <v>18.8</v>
      </c>
      <c r="Q137" s="24" t="n">
        <f aca="false">Q49*($C$30+(INDEX(Assumptions!$F$44:$F$46,MATCH($C49,Assumptions!$A$44:$A$46,0))-$C$30)*MIN(1,Q$45/$C$29))</f>
        <v>18.8</v>
      </c>
      <c r="R137" s="24" t="n">
        <f aca="false">R49*($C$30+(INDEX(Assumptions!$F$44:$F$46,MATCH($C49,Assumptions!$A$44:$A$46,0))-$C$30)*MIN(1,R$45/$C$29))</f>
        <v>18.8</v>
      </c>
      <c r="S137" s="24" t="n">
        <f aca="false">S49*($C$30+(INDEX(Assumptions!$F$44:$F$46,MATCH($C49,Assumptions!$A$44:$A$46,0))-$C$30)*MIN(1,S$45/$C$29))</f>
        <v>18.8</v>
      </c>
      <c r="T137" s="24" t="n">
        <f aca="false">T49*($C$30+(INDEX(Assumptions!$F$44:$F$46,MATCH($C49,Assumptions!$A$44:$A$46,0))-$C$30)*MIN(1,T$45/$C$29))</f>
        <v>18.8</v>
      </c>
      <c r="U137" s="24" t="n">
        <f aca="false">U49*($C$30+(INDEX(Assumptions!$F$44:$F$46,MATCH($C49,Assumptions!$A$44:$A$46,0))-$C$30)*MIN(1,U$45/$C$29))</f>
        <v>18.8</v>
      </c>
      <c r="V137" s="24" t="n">
        <f aca="false">V49*($C$30+(INDEX(Assumptions!$F$44:$F$46,MATCH($C49,Assumptions!$A$44:$A$46,0))-$C$30)*MIN(1,V$45/$C$29))</f>
        <v>18.8</v>
      </c>
      <c r="W137" s="24" t="n">
        <f aca="false">W49*($C$30+(INDEX(Assumptions!$F$44:$F$46,MATCH($C49,Assumptions!$A$44:$A$46,0))-$C$30)*MIN(1,W$45/$C$29))</f>
        <v>18.8</v>
      </c>
      <c r="X137" s="24" t="n">
        <f aca="false">X49*($C$30+(INDEX(Assumptions!$F$44:$F$46,MATCH($C49,Assumptions!$A$44:$A$46,0))-$C$30)*MIN(1,X$45/$C$29))</f>
        <v>18.8</v>
      </c>
      <c r="Y137" s="24" t="n">
        <f aca="false">Y49*($C$30+(INDEX(Assumptions!$F$44:$F$46,MATCH($C49,Assumptions!$A$44:$A$46,0))-$C$30)*MIN(1,Y$45/$C$29))</f>
        <v>18.8</v>
      </c>
    </row>
    <row r="138" customFormat="false" ht="15" hidden="false" customHeight="false" outlineLevel="0" collapsed="false">
      <c r="A138" s="2" t="n">
        <f aca="false">A50</f>
        <v>3</v>
      </c>
      <c r="B138" s="2" t="str">
        <f aca="false">B50</f>
        <v>Pilot</v>
      </c>
      <c r="C138" s="2" t="str">
        <f aca="false">C50</f>
        <v>Assured</v>
      </c>
      <c r="D138" s="2"/>
      <c r="E138" s="2"/>
      <c r="F138" s="2"/>
      <c r="G138" s="2"/>
      <c r="H138" s="24" t="n">
        <f aca="false">H50*($C$30+(INDEX(Assumptions!$F$44:$F$46,MATCH($C50,Assumptions!$A$44:$A$46,0))-$C$30)*MIN(1,H$45/$C$29))</f>
        <v>14.1166666666667</v>
      </c>
      <c r="I138" s="24" t="n">
        <f aca="false">I50*($C$30+(INDEX(Assumptions!$F$44:$F$46,MATCH($C50,Assumptions!$A$44:$A$46,0))-$C$30)*MIN(1,I$45/$C$29))</f>
        <v>15.2777777777778</v>
      </c>
      <c r="J138" s="24" t="n">
        <f aca="false">J50*($C$30+(INDEX(Assumptions!$F$44:$F$46,MATCH($C50,Assumptions!$A$44:$A$46,0))-$C$30)*MIN(1,J$45/$C$29))</f>
        <v>16.4833333333333</v>
      </c>
      <c r="K138" s="24" t="n">
        <f aca="false">K50*($C$30+(INDEX(Assumptions!$F$44:$F$46,MATCH($C50,Assumptions!$A$44:$A$46,0))-$C$30)*MIN(1,K$45/$C$29))</f>
        <v>17.7333333333333</v>
      </c>
      <c r="L138" s="24" t="n">
        <f aca="false">L50*($C$30+(INDEX(Assumptions!$F$44:$F$46,MATCH($C50,Assumptions!$A$44:$A$46,0))-$C$30)*MIN(1,L$45/$C$29))</f>
        <v>18.2666666666667</v>
      </c>
      <c r="M138" s="24" t="n">
        <f aca="false">M50*($C$30+(INDEX(Assumptions!$F$44:$F$46,MATCH($C50,Assumptions!$A$44:$A$46,0))-$C$30)*MIN(1,M$45/$C$29))</f>
        <v>18.8</v>
      </c>
      <c r="N138" s="24" t="n">
        <f aca="false">N50*($C$30+(INDEX(Assumptions!$F$44:$F$46,MATCH($C50,Assumptions!$A$44:$A$46,0))-$C$30)*MIN(1,N$45/$C$29))</f>
        <v>18.8</v>
      </c>
      <c r="O138" s="24" t="n">
        <f aca="false">O50*($C$30+(INDEX(Assumptions!$F$44:$F$46,MATCH($C50,Assumptions!$A$44:$A$46,0))-$C$30)*MIN(1,O$45/$C$29))</f>
        <v>18.8</v>
      </c>
      <c r="P138" s="24" t="n">
        <f aca="false">P50*($C$30+(INDEX(Assumptions!$F$44:$F$46,MATCH($C50,Assumptions!$A$44:$A$46,0))-$C$30)*MIN(1,P$45/$C$29))</f>
        <v>18.8</v>
      </c>
      <c r="Q138" s="24" t="n">
        <f aca="false">Q50*($C$30+(INDEX(Assumptions!$F$44:$F$46,MATCH($C50,Assumptions!$A$44:$A$46,0))-$C$30)*MIN(1,Q$45/$C$29))</f>
        <v>18.8</v>
      </c>
      <c r="R138" s="24" t="n">
        <f aca="false">R50*($C$30+(INDEX(Assumptions!$F$44:$F$46,MATCH($C50,Assumptions!$A$44:$A$46,0))-$C$30)*MIN(1,R$45/$C$29))</f>
        <v>18.8</v>
      </c>
      <c r="S138" s="24" t="n">
        <f aca="false">S50*($C$30+(INDEX(Assumptions!$F$44:$F$46,MATCH($C50,Assumptions!$A$44:$A$46,0))-$C$30)*MIN(1,S$45/$C$29))</f>
        <v>18.8</v>
      </c>
      <c r="T138" s="24" t="n">
        <f aca="false">T50*($C$30+(INDEX(Assumptions!$F$44:$F$46,MATCH($C50,Assumptions!$A$44:$A$46,0))-$C$30)*MIN(1,T$45/$C$29))</f>
        <v>18.8</v>
      </c>
      <c r="U138" s="24" t="n">
        <f aca="false">U50*($C$30+(INDEX(Assumptions!$F$44:$F$46,MATCH($C50,Assumptions!$A$44:$A$46,0))-$C$30)*MIN(1,U$45/$C$29))</f>
        <v>18.8</v>
      </c>
      <c r="V138" s="24" t="n">
        <f aca="false">V50*($C$30+(INDEX(Assumptions!$F$44:$F$46,MATCH($C50,Assumptions!$A$44:$A$46,0))-$C$30)*MIN(1,V$45/$C$29))</f>
        <v>18.8</v>
      </c>
      <c r="W138" s="24" t="n">
        <f aca="false">W50*($C$30+(INDEX(Assumptions!$F$44:$F$46,MATCH($C50,Assumptions!$A$44:$A$46,0))-$C$30)*MIN(1,W$45/$C$29))</f>
        <v>18.8</v>
      </c>
      <c r="X138" s="24" t="n">
        <f aca="false">X50*($C$30+(INDEX(Assumptions!$F$44:$F$46,MATCH($C50,Assumptions!$A$44:$A$46,0))-$C$30)*MIN(1,X$45/$C$29))</f>
        <v>18.8</v>
      </c>
      <c r="Y138" s="24" t="n">
        <f aca="false">Y50*($C$30+(INDEX(Assumptions!$F$44:$F$46,MATCH($C50,Assumptions!$A$44:$A$46,0))-$C$30)*MIN(1,Y$45/$C$29))</f>
        <v>18.8</v>
      </c>
    </row>
    <row r="139" customFormat="false" ht="15" hidden="false" customHeight="false" outlineLevel="0" collapsed="false">
      <c r="A139" s="2" t="n">
        <f aca="false">A51</f>
        <v>4</v>
      </c>
      <c r="B139" s="2" t="str">
        <f aca="false">B51</f>
        <v>Pilot</v>
      </c>
      <c r="C139" s="2" t="str">
        <f aca="false">C51</f>
        <v>Assured</v>
      </c>
      <c r="D139" s="2"/>
      <c r="E139" s="2"/>
      <c r="F139" s="2"/>
      <c r="G139" s="2"/>
      <c r="H139" s="24" t="n">
        <f aca="false">H51*($C$30+(INDEX(Assumptions!$F$44:$F$46,MATCH($C51,Assumptions!$A$44:$A$46,0))-$C$30)*MIN(1,H$45/$C$29))</f>
        <v>14.1166666666667</v>
      </c>
      <c r="I139" s="24" t="n">
        <f aca="false">I51*($C$30+(INDEX(Assumptions!$F$44:$F$46,MATCH($C51,Assumptions!$A$44:$A$46,0))-$C$30)*MIN(1,I$45/$C$29))</f>
        <v>15.2777777777778</v>
      </c>
      <c r="J139" s="24" t="n">
        <f aca="false">J51*($C$30+(INDEX(Assumptions!$F$44:$F$46,MATCH($C51,Assumptions!$A$44:$A$46,0))-$C$30)*MIN(1,J$45/$C$29))</f>
        <v>16.4833333333333</v>
      </c>
      <c r="K139" s="24" t="n">
        <f aca="false">K51*($C$30+(INDEX(Assumptions!$F$44:$F$46,MATCH($C51,Assumptions!$A$44:$A$46,0))-$C$30)*MIN(1,K$45/$C$29))</f>
        <v>17.7333333333333</v>
      </c>
      <c r="L139" s="24" t="n">
        <f aca="false">L51*($C$30+(INDEX(Assumptions!$F$44:$F$46,MATCH($C51,Assumptions!$A$44:$A$46,0))-$C$30)*MIN(1,L$45/$C$29))</f>
        <v>18.2666666666667</v>
      </c>
      <c r="M139" s="24" t="n">
        <f aca="false">M51*($C$30+(INDEX(Assumptions!$F$44:$F$46,MATCH($C51,Assumptions!$A$44:$A$46,0))-$C$30)*MIN(1,M$45/$C$29))</f>
        <v>18.8</v>
      </c>
      <c r="N139" s="24" t="n">
        <f aca="false">N51*($C$30+(INDEX(Assumptions!$F$44:$F$46,MATCH($C51,Assumptions!$A$44:$A$46,0))-$C$30)*MIN(1,N$45/$C$29))</f>
        <v>18.8</v>
      </c>
      <c r="O139" s="24" t="n">
        <f aca="false">O51*($C$30+(INDEX(Assumptions!$F$44:$F$46,MATCH($C51,Assumptions!$A$44:$A$46,0))-$C$30)*MIN(1,O$45/$C$29))</f>
        <v>18.8</v>
      </c>
      <c r="P139" s="24" t="n">
        <f aca="false">P51*($C$30+(INDEX(Assumptions!$F$44:$F$46,MATCH($C51,Assumptions!$A$44:$A$46,0))-$C$30)*MIN(1,P$45/$C$29))</f>
        <v>18.8</v>
      </c>
      <c r="Q139" s="24" t="n">
        <f aca="false">Q51*($C$30+(INDEX(Assumptions!$F$44:$F$46,MATCH($C51,Assumptions!$A$44:$A$46,0))-$C$30)*MIN(1,Q$45/$C$29))</f>
        <v>18.8</v>
      </c>
      <c r="R139" s="24" t="n">
        <f aca="false">R51*($C$30+(INDEX(Assumptions!$F$44:$F$46,MATCH($C51,Assumptions!$A$44:$A$46,0))-$C$30)*MIN(1,R$45/$C$29))</f>
        <v>18.8</v>
      </c>
      <c r="S139" s="24" t="n">
        <f aca="false">S51*($C$30+(INDEX(Assumptions!$F$44:$F$46,MATCH($C51,Assumptions!$A$44:$A$46,0))-$C$30)*MIN(1,S$45/$C$29))</f>
        <v>18.8</v>
      </c>
      <c r="T139" s="24" t="n">
        <f aca="false">T51*($C$30+(INDEX(Assumptions!$F$44:$F$46,MATCH($C51,Assumptions!$A$44:$A$46,0))-$C$30)*MIN(1,T$45/$C$29))</f>
        <v>18.8</v>
      </c>
      <c r="U139" s="24" t="n">
        <f aca="false">U51*($C$30+(INDEX(Assumptions!$F$44:$F$46,MATCH($C51,Assumptions!$A$44:$A$46,0))-$C$30)*MIN(1,U$45/$C$29))</f>
        <v>18.8</v>
      </c>
      <c r="V139" s="24" t="n">
        <f aca="false">V51*($C$30+(INDEX(Assumptions!$F$44:$F$46,MATCH($C51,Assumptions!$A$44:$A$46,0))-$C$30)*MIN(1,V$45/$C$29))</f>
        <v>18.8</v>
      </c>
      <c r="W139" s="24" t="n">
        <f aca="false">W51*($C$30+(INDEX(Assumptions!$F$44:$F$46,MATCH($C51,Assumptions!$A$44:$A$46,0))-$C$30)*MIN(1,W$45/$C$29))</f>
        <v>18.8</v>
      </c>
      <c r="X139" s="24" t="n">
        <f aca="false">X51*($C$30+(INDEX(Assumptions!$F$44:$F$46,MATCH($C51,Assumptions!$A$44:$A$46,0))-$C$30)*MIN(1,X$45/$C$29))</f>
        <v>18.8</v>
      </c>
      <c r="Y139" s="24" t="n">
        <f aca="false">Y51*($C$30+(INDEX(Assumptions!$F$44:$F$46,MATCH($C51,Assumptions!$A$44:$A$46,0))-$C$30)*MIN(1,Y$45/$C$29))</f>
        <v>18.8</v>
      </c>
    </row>
    <row r="140" customFormat="false" ht="15" hidden="false" customHeight="false" outlineLevel="0" collapsed="false">
      <c r="A140" s="2" t="n">
        <f aca="false">A52</f>
        <v>5</v>
      </c>
      <c r="B140" s="2" t="str">
        <f aca="false">B52</f>
        <v>A</v>
      </c>
      <c r="C140" s="2" t="str">
        <f aca="false">C52</f>
        <v>Assured</v>
      </c>
      <c r="D140" s="2"/>
      <c r="E140" s="2"/>
      <c r="F140" s="2"/>
      <c r="G140" s="2"/>
      <c r="H140" s="24" t="n">
        <f aca="false">H52*($C$30+(INDEX(Assumptions!$F$44:$F$46,MATCH($C52,Assumptions!$A$44:$A$46,0))-$C$30)*MIN(1,H$45/$C$29))</f>
        <v>0</v>
      </c>
      <c r="I140" s="24" t="n">
        <f aca="false">I52*($C$30+(INDEX(Assumptions!$F$44:$F$46,MATCH($C52,Assumptions!$A$44:$A$46,0))-$C$30)*MIN(1,I$45/$C$29))</f>
        <v>0</v>
      </c>
      <c r="J140" s="24" t="n">
        <f aca="false">J52*($C$30+(INDEX(Assumptions!$F$44:$F$46,MATCH($C52,Assumptions!$A$44:$A$46,0))-$C$30)*MIN(1,J$45/$C$29))</f>
        <v>5.2632</v>
      </c>
      <c r="K140" s="24" t="n">
        <f aca="false">K52*($C$30+(INDEX(Assumptions!$F$44:$F$46,MATCH($C52,Assumptions!$A$44:$A$46,0))-$C$30)*MIN(1,K$45/$C$29))</f>
        <v>10.8528</v>
      </c>
      <c r="L140" s="24" t="n">
        <f aca="false">L52*($C$30+(INDEX(Assumptions!$F$44:$F$46,MATCH($C52,Assumptions!$A$44:$A$46,0))-$C$30)*MIN(1,L$45/$C$29))</f>
        <v>15.8372</v>
      </c>
      <c r="M140" s="24" t="n">
        <f aca="false">M52*($C$30+(INDEX(Assumptions!$F$44:$F$46,MATCH($C52,Assumptions!$A$44:$A$46,0))-$C$30)*MIN(1,M$45/$C$29))</f>
        <v>19.176</v>
      </c>
      <c r="N140" s="24" t="n">
        <f aca="false">N52*($C$30+(INDEX(Assumptions!$F$44:$F$46,MATCH($C52,Assumptions!$A$44:$A$46,0))-$C$30)*MIN(1,N$45/$C$29))</f>
        <v>19.176</v>
      </c>
      <c r="O140" s="24" t="n">
        <f aca="false">O52*($C$30+(INDEX(Assumptions!$F$44:$F$46,MATCH($C52,Assumptions!$A$44:$A$46,0))-$C$30)*MIN(1,O$45/$C$29))</f>
        <v>19.176</v>
      </c>
      <c r="P140" s="24" t="n">
        <f aca="false">P52*($C$30+(INDEX(Assumptions!$F$44:$F$46,MATCH($C52,Assumptions!$A$44:$A$46,0))-$C$30)*MIN(1,P$45/$C$29))</f>
        <v>19.176</v>
      </c>
      <c r="Q140" s="24" t="n">
        <f aca="false">Q52*($C$30+(INDEX(Assumptions!$F$44:$F$46,MATCH($C52,Assumptions!$A$44:$A$46,0))-$C$30)*MIN(1,Q$45/$C$29))</f>
        <v>19.176</v>
      </c>
      <c r="R140" s="24" t="n">
        <f aca="false">R52*($C$30+(INDEX(Assumptions!$F$44:$F$46,MATCH($C52,Assumptions!$A$44:$A$46,0))-$C$30)*MIN(1,R$45/$C$29))</f>
        <v>19.176</v>
      </c>
      <c r="S140" s="24" t="n">
        <f aca="false">S52*($C$30+(INDEX(Assumptions!$F$44:$F$46,MATCH($C52,Assumptions!$A$44:$A$46,0))-$C$30)*MIN(1,S$45/$C$29))</f>
        <v>19.176</v>
      </c>
      <c r="T140" s="24" t="n">
        <f aca="false">T52*($C$30+(INDEX(Assumptions!$F$44:$F$46,MATCH($C52,Assumptions!$A$44:$A$46,0))-$C$30)*MIN(1,T$45/$C$29))</f>
        <v>19.176</v>
      </c>
      <c r="U140" s="24" t="n">
        <f aca="false">U52*($C$30+(INDEX(Assumptions!$F$44:$F$46,MATCH($C52,Assumptions!$A$44:$A$46,0))-$C$30)*MIN(1,U$45/$C$29))</f>
        <v>19.176</v>
      </c>
      <c r="V140" s="24" t="n">
        <f aca="false">V52*($C$30+(INDEX(Assumptions!$F$44:$F$46,MATCH($C52,Assumptions!$A$44:$A$46,0))-$C$30)*MIN(1,V$45/$C$29))</f>
        <v>19.176</v>
      </c>
      <c r="W140" s="24" t="n">
        <f aca="false">W52*($C$30+(INDEX(Assumptions!$F$44:$F$46,MATCH($C52,Assumptions!$A$44:$A$46,0))-$C$30)*MIN(1,W$45/$C$29))</f>
        <v>19.176</v>
      </c>
      <c r="X140" s="24" t="n">
        <f aca="false">X52*($C$30+(INDEX(Assumptions!$F$44:$F$46,MATCH($C52,Assumptions!$A$44:$A$46,0))-$C$30)*MIN(1,X$45/$C$29))</f>
        <v>19.176</v>
      </c>
      <c r="Y140" s="24" t="n">
        <f aca="false">Y52*($C$30+(INDEX(Assumptions!$F$44:$F$46,MATCH($C52,Assumptions!$A$44:$A$46,0))-$C$30)*MIN(1,Y$45/$C$29))</f>
        <v>19.176</v>
      </c>
    </row>
    <row r="141" customFormat="false" ht="15" hidden="false" customHeight="false" outlineLevel="0" collapsed="false">
      <c r="A141" s="2" t="n">
        <f aca="false">A53</f>
        <v>6</v>
      </c>
      <c r="B141" s="2" t="str">
        <f aca="false">B53</f>
        <v>A</v>
      </c>
      <c r="C141" s="2" t="str">
        <f aca="false">C53</f>
        <v>Assured</v>
      </c>
      <c r="D141" s="2"/>
      <c r="E141" s="2"/>
      <c r="F141" s="2"/>
      <c r="G141" s="2"/>
      <c r="H141" s="24" t="n">
        <f aca="false">H53*($C$30+(INDEX(Assumptions!$F$44:$F$46,MATCH($C53,Assumptions!$A$44:$A$46,0))-$C$30)*MIN(1,H$45/$C$29))</f>
        <v>0</v>
      </c>
      <c r="I141" s="24" t="n">
        <f aca="false">I53*($C$30+(INDEX(Assumptions!$F$44:$F$46,MATCH($C53,Assumptions!$A$44:$A$46,0))-$C$30)*MIN(1,I$45/$C$29))</f>
        <v>0</v>
      </c>
      <c r="J141" s="24" t="n">
        <f aca="false">J53*($C$30+(INDEX(Assumptions!$F$44:$F$46,MATCH($C53,Assumptions!$A$44:$A$46,0))-$C$30)*MIN(1,J$45/$C$29))</f>
        <v>5.2632</v>
      </c>
      <c r="K141" s="24" t="n">
        <f aca="false">K53*($C$30+(INDEX(Assumptions!$F$44:$F$46,MATCH($C53,Assumptions!$A$44:$A$46,0))-$C$30)*MIN(1,K$45/$C$29))</f>
        <v>10.8528</v>
      </c>
      <c r="L141" s="24" t="n">
        <f aca="false">L53*($C$30+(INDEX(Assumptions!$F$44:$F$46,MATCH($C53,Assumptions!$A$44:$A$46,0))-$C$30)*MIN(1,L$45/$C$29))</f>
        <v>15.8372</v>
      </c>
      <c r="M141" s="24" t="n">
        <f aca="false">M53*($C$30+(INDEX(Assumptions!$F$44:$F$46,MATCH($C53,Assumptions!$A$44:$A$46,0))-$C$30)*MIN(1,M$45/$C$29))</f>
        <v>19.176</v>
      </c>
      <c r="N141" s="24" t="n">
        <f aca="false">N53*($C$30+(INDEX(Assumptions!$F$44:$F$46,MATCH($C53,Assumptions!$A$44:$A$46,0))-$C$30)*MIN(1,N$45/$C$29))</f>
        <v>19.176</v>
      </c>
      <c r="O141" s="24" t="n">
        <f aca="false">O53*($C$30+(INDEX(Assumptions!$F$44:$F$46,MATCH($C53,Assumptions!$A$44:$A$46,0))-$C$30)*MIN(1,O$45/$C$29))</f>
        <v>19.176</v>
      </c>
      <c r="P141" s="24" t="n">
        <f aca="false">P53*($C$30+(INDEX(Assumptions!$F$44:$F$46,MATCH($C53,Assumptions!$A$44:$A$46,0))-$C$30)*MIN(1,P$45/$C$29))</f>
        <v>19.176</v>
      </c>
      <c r="Q141" s="24" t="n">
        <f aca="false">Q53*($C$30+(INDEX(Assumptions!$F$44:$F$46,MATCH($C53,Assumptions!$A$44:$A$46,0))-$C$30)*MIN(1,Q$45/$C$29))</f>
        <v>19.176</v>
      </c>
      <c r="R141" s="24" t="n">
        <f aca="false">R53*($C$30+(INDEX(Assumptions!$F$44:$F$46,MATCH($C53,Assumptions!$A$44:$A$46,0))-$C$30)*MIN(1,R$45/$C$29))</f>
        <v>19.176</v>
      </c>
      <c r="S141" s="24" t="n">
        <f aca="false">S53*($C$30+(INDEX(Assumptions!$F$44:$F$46,MATCH($C53,Assumptions!$A$44:$A$46,0))-$C$30)*MIN(1,S$45/$C$29))</f>
        <v>19.176</v>
      </c>
      <c r="T141" s="24" t="n">
        <f aca="false">T53*($C$30+(INDEX(Assumptions!$F$44:$F$46,MATCH($C53,Assumptions!$A$44:$A$46,0))-$C$30)*MIN(1,T$45/$C$29))</f>
        <v>19.176</v>
      </c>
      <c r="U141" s="24" t="n">
        <f aca="false">U53*($C$30+(INDEX(Assumptions!$F$44:$F$46,MATCH($C53,Assumptions!$A$44:$A$46,0))-$C$30)*MIN(1,U$45/$C$29))</f>
        <v>19.176</v>
      </c>
      <c r="V141" s="24" t="n">
        <f aca="false">V53*($C$30+(INDEX(Assumptions!$F$44:$F$46,MATCH($C53,Assumptions!$A$44:$A$46,0))-$C$30)*MIN(1,V$45/$C$29))</f>
        <v>19.176</v>
      </c>
      <c r="W141" s="24" t="n">
        <f aca="false">W53*($C$30+(INDEX(Assumptions!$F$44:$F$46,MATCH($C53,Assumptions!$A$44:$A$46,0))-$C$30)*MIN(1,W$45/$C$29))</f>
        <v>19.176</v>
      </c>
      <c r="X141" s="24" t="n">
        <f aca="false">X53*($C$30+(INDEX(Assumptions!$F$44:$F$46,MATCH($C53,Assumptions!$A$44:$A$46,0))-$C$30)*MIN(1,X$45/$C$29))</f>
        <v>19.176</v>
      </c>
      <c r="Y141" s="24" t="n">
        <f aca="false">Y53*($C$30+(INDEX(Assumptions!$F$44:$F$46,MATCH($C53,Assumptions!$A$44:$A$46,0))-$C$30)*MIN(1,Y$45/$C$29))</f>
        <v>19.176</v>
      </c>
    </row>
    <row r="142" customFormat="false" ht="15" hidden="false" customHeight="false" outlineLevel="0" collapsed="false">
      <c r="A142" s="2" t="n">
        <f aca="false">A54</f>
        <v>7</v>
      </c>
      <c r="B142" s="2" t="str">
        <f aca="false">B54</f>
        <v>A</v>
      </c>
      <c r="C142" s="2" t="str">
        <f aca="false">C54</f>
        <v>Assured</v>
      </c>
      <c r="D142" s="2"/>
      <c r="E142" s="2"/>
      <c r="F142" s="2"/>
      <c r="G142" s="2"/>
      <c r="H142" s="24" t="n">
        <f aca="false">H54*($C$30+(INDEX(Assumptions!$F$44:$F$46,MATCH($C54,Assumptions!$A$44:$A$46,0))-$C$30)*MIN(1,H$45/$C$29))</f>
        <v>0</v>
      </c>
      <c r="I142" s="24" t="n">
        <f aca="false">I54*($C$30+(INDEX(Assumptions!$F$44:$F$46,MATCH($C54,Assumptions!$A$44:$A$46,0))-$C$30)*MIN(1,I$45/$C$29))</f>
        <v>0</v>
      </c>
      <c r="J142" s="24" t="n">
        <f aca="false">J54*($C$30+(INDEX(Assumptions!$F$44:$F$46,MATCH($C54,Assumptions!$A$44:$A$46,0))-$C$30)*MIN(1,J$45/$C$29))</f>
        <v>0</v>
      </c>
      <c r="K142" s="24" t="n">
        <f aca="false">K54*($C$30+(INDEX(Assumptions!$F$44:$F$46,MATCH($C54,Assumptions!$A$44:$A$46,0))-$C$30)*MIN(1,K$45/$C$29))</f>
        <v>5.4264</v>
      </c>
      <c r="L142" s="24" t="n">
        <f aca="false">L54*($C$30+(INDEX(Assumptions!$F$44:$F$46,MATCH($C54,Assumptions!$A$44:$A$46,0))-$C$30)*MIN(1,L$45/$C$29))</f>
        <v>11.1792</v>
      </c>
      <c r="M142" s="24" t="n">
        <f aca="false">M54*($C$30+(INDEX(Assumptions!$F$44:$F$46,MATCH($C54,Assumptions!$A$44:$A$46,0))-$C$30)*MIN(1,M$45/$C$29))</f>
        <v>16.2996</v>
      </c>
      <c r="N142" s="24" t="n">
        <f aca="false">N54*($C$30+(INDEX(Assumptions!$F$44:$F$46,MATCH($C54,Assumptions!$A$44:$A$46,0))-$C$30)*MIN(1,N$45/$C$29))</f>
        <v>19.176</v>
      </c>
      <c r="O142" s="24" t="n">
        <f aca="false">O54*($C$30+(INDEX(Assumptions!$F$44:$F$46,MATCH($C54,Assumptions!$A$44:$A$46,0))-$C$30)*MIN(1,O$45/$C$29))</f>
        <v>19.176</v>
      </c>
      <c r="P142" s="24" t="n">
        <f aca="false">P54*($C$30+(INDEX(Assumptions!$F$44:$F$46,MATCH($C54,Assumptions!$A$44:$A$46,0))-$C$30)*MIN(1,P$45/$C$29))</f>
        <v>19.176</v>
      </c>
      <c r="Q142" s="24" t="n">
        <f aca="false">Q54*($C$30+(INDEX(Assumptions!$F$44:$F$46,MATCH($C54,Assumptions!$A$44:$A$46,0))-$C$30)*MIN(1,Q$45/$C$29))</f>
        <v>19.176</v>
      </c>
      <c r="R142" s="24" t="n">
        <f aca="false">R54*($C$30+(INDEX(Assumptions!$F$44:$F$46,MATCH($C54,Assumptions!$A$44:$A$46,0))-$C$30)*MIN(1,R$45/$C$29))</f>
        <v>19.176</v>
      </c>
      <c r="S142" s="24" t="n">
        <f aca="false">S54*($C$30+(INDEX(Assumptions!$F$44:$F$46,MATCH($C54,Assumptions!$A$44:$A$46,0))-$C$30)*MIN(1,S$45/$C$29))</f>
        <v>19.176</v>
      </c>
      <c r="T142" s="24" t="n">
        <f aca="false">T54*($C$30+(INDEX(Assumptions!$F$44:$F$46,MATCH($C54,Assumptions!$A$44:$A$46,0))-$C$30)*MIN(1,T$45/$C$29))</f>
        <v>19.176</v>
      </c>
      <c r="U142" s="24" t="n">
        <f aca="false">U54*($C$30+(INDEX(Assumptions!$F$44:$F$46,MATCH($C54,Assumptions!$A$44:$A$46,0))-$C$30)*MIN(1,U$45/$C$29))</f>
        <v>19.176</v>
      </c>
      <c r="V142" s="24" t="n">
        <f aca="false">V54*($C$30+(INDEX(Assumptions!$F$44:$F$46,MATCH($C54,Assumptions!$A$44:$A$46,0))-$C$30)*MIN(1,V$45/$C$29))</f>
        <v>19.176</v>
      </c>
      <c r="W142" s="24" t="n">
        <f aca="false">W54*($C$30+(INDEX(Assumptions!$F$44:$F$46,MATCH($C54,Assumptions!$A$44:$A$46,0))-$C$30)*MIN(1,W$45/$C$29))</f>
        <v>19.176</v>
      </c>
      <c r="X142" s="24" t="n">
        <f aca="false">X54*($C$30+(INDEX(Assumptions!$F$44:$F$46,MATCH($C54,Assumptions!$A$44:$A$46,0))-$C$30)*MIN(1,X$45/$C$29))</f>
        <v>19.176</v>
      </c>
      <c r="Y142" s="24" t="n">
        <f aca="false">Y54*($C$30+(INDEX(Assumptions!$F$44:$F$46,MATCH($C54,Assumptions!$A$44:$A$46,0))-$C$30)*MIN(1,Y$45/$C$29))</f>
        <v>19.176</v>
      </c>
    </row>
    <row r="143" customFormat="false" ht="15" hidden="false" customHeight="false" outlineLevel="0" collapsed="false">
      <c r="A143" s="2" t="n">
        <f aca="false">A55</f>
        <v>8</v>
      </c>
      <c r="B143" s="2" t="str">
        <f aca="false">B55</f>
        <v>A</v>
      </c>
      <c r="C143" s="2" t="str">
        <f aca="false">C55</f>
        <v>Assured</v>
      </c>
      <c r="D143" s="2"/>
      <c r="E143" s="2"/>
      <c r="F143" s="2"/>
      <c r="G143" s="2"/>
      <c r="H143" s="24" t="n">
        <f aca="false">H55*($C$30+(INDEX(Assumptions!$F$44:$F$46,MATCH($C55,Assumptions!$A$44:$A$46,0))-$C$30)*MIN(1,H$45/$C$29))</f>
        <v>0</v>
      </c>
      <c r="I143" s="24" t="n">
        <f aca="false">I55*($C$30+(INDEX(Assumptions!$F$44:$F$46,MATCH($C55,Assumptions!$A$44:$A$46,0))-$C$30)*MIN(1,I$45/$C$29))</f>
        <v>0</v>
      </c>
      <c r="J143" s="24" t="n">
        <f aca="false">J55*($C$30+(INDEX(Assumptions!$F$44:$F$46,MATCH($C55,Assumptions!$A$44:$A$46,0))-$C$30)*MIN(1,J$45/$C$29))</f>
        <v>0</v>
      </c>
      <c r="K143" s="24" t="n">
        <f aca="false">K55*($C$30+(INDEX(Assumptions!$F$44:$F$46,MATCH($C55,Assumptions!$A$44:$A$46,0))-$C$30)*MIN(1,K$45/$C$29))</f>
        <v>5.4264</v>
      </c>
      <c r="L143" s="24" t="n">
        <f aca="false">L55*($C$30+(INDEX(Assumptions!$F$44:$F$46,MATCH($C55,Assumptions!$A$44:$A$46,0))-$C$30)*MIN(1,L$45/$C$29))</f>
        <v>11.1792</v>
      </c>
      <c r="M143" s="24" t="n">
        <f aca="false">M55*($C$30+(INDEX(Assumptions!$F$44:$F$46,MATCH($C55,Assumptions!$A$44:$A$46,0))-$C$30)*MIN(1,M$45/$C$29))</f>
        <v>16.2996</v>
      </c>
      <c r="N143" s="24" t="n">
        <f aca="false">N55*($C$30+(INDEX(Assumptions!$F$44:$F$46,MATCH($C55,Assumptions!$A$44:$A$46,0))-$C$30)*MIN(1,N$45/$C$29))</f>
        <v>19.176</v>
      </c>
      <c r="O143" s="24" t="n">
        <f aca="false">O55*($C$30+(INDEX(Assumptions!$F$44:$F$46,MATCH($C55,Assumptions!$A$44:$A$46,0))-$C$30)*MIN(1,O$45/$C$29))</f>
        <v>19.176</v>
      </c>
      <c r="P143" s="24" t="n">
        <f aca="false">P55*($C$30+(INDEX(Assumptions!$F$44:$F$46,MATCH($C55,Assumptions!$A$44:$A$46,0))-$C$30)*MIN(1,P$45/$C$29))</f>
        <v>19.176</v>
      </c>
      <c r="Q143" s="24" t="n">
        <f aca="false">Q55*($C$30+(INDEX(Assumptions!$F$44:$F$46,MATCH($C55,Assumptions!$A$44:$A$46,0))-$C$30)*MIN(1,Q$45/$C$29))</f>
        <v>19.176</v>
      </c>
      <c r="R143" s="24" t="n">
        <f aca="false">R55*($C$30+(INDEX(Assumptions!$F$44:$F$46,MATCH($C55,Assumptions!$A$44:$A$46,0))-$C$30)*MIN(1,R$45/$C$29))</f>
        <v>19.176</v>
      </c>
      <c r="S143" s="24" t="n">
        <f aca="false">S55*($C$30+(INDEX(Assumptions!$F$44:$F$46,MATCH($C55,Assumptions!$A$44:$A$46,0))-$C$30)*MIN(1,S$45/$C$29))</f>
        <v>19.176</v>
      </c>
      <c r="T143" s="24" t="n">
        <f aca="false">T55*($C$30+(INDEX(Assumptions!$F$44:$F$46,MATCH($C55,Assumptions!$A$44:$A$46,0))-$C$30)*MIN(1,T$45/$C$29))</f>
        <v>19.176</v>
      </c>
      <c r="U143" s="24" t="n">
        <f aca="false">U55*($C$30+(INDEX(Assumptions!$F$44:$F$46,MATCH($C55,Assumptions!$A$44:$A$46,0))-$C$30)*MIN(1,U$45/$C$29))</f>
        <v>19.176</v>
      </c>
      <c r="V143" s="24" t="n">
        <f aca="false">V55*($C$30+(INDEX(Assumptions!$F$44:$F$46,MATCH($C55,Assumptions!$A$44:$A$46,0))-$C$30)*MIN(1,V$45/$C$29))</f>
        <v>19.176</v>
      </c>
      <c r="W143" s="24" t="n">
        <f aca="false">W55*($C$30+(INDEX(Assumptions!$F$44:$F$46,MATCH($C55,Assumptions!$A$44:$A$46,0))-$C$30)*MIN(1,W$45/$C$29))</f>
        <v>19.176</v>
      </c>
      <c r="X143" s="24" t="n">
        <f aca="false">X55*($C$30+(INDEX(Assumptions!$F$44:$F$46,MATCH($C55,Assumptions!$A$44:$A$46,0))-$C$30)*MIN(1,X$45/$C$29))</f>
        <v>19.176</v>
      </c>
      <c r="Y143" s="24" t="n">
        <f aca="false">Y55*($C$30+(INDEX(Assumptions!$F$44:$F$46,MATCH($C55,Assumptions!$A$44:$A$46,0))-$C$30)*MIN(1,Y$45/$C$29))</f>
        <v>19.176</v>
      </c>
    </row>
    <row r="144" customFormat="false" ht="15" hidden="false" customHeight="false" outlineLevel="0" collapsed="false">
      <c r="A144" s="2" t="n">
        <f aca="false">A56</f>
        <v>9</v>
      </c>
      <c r="B144" s="2" t="str">
        <f aca="false">B56</f>
        <v>A</v>
      </c>
      <c r="C144" s="2" t="str">
        <f aca="false">C56</f>
        <v>Assured</v>
      </c>
      <c r="D144" s="2"/>
      <c r="E144" s="2"/>
      <c r="F144" s="2"/>
      <c r="G144" s="2"/>
      <c r="H144" s="24" t="n">
        <f aca="false">H56*($C$30+(INDEX(Assumptions!$F$44:$F$46,MATCH($C56,Assumptions!$A$44:$A$46,0))-$C$30)*MIN(1,H$45/$C$29))</f>
        <v>0</v>
      </c>
      <c r="I144" s="24" t="n">
        <f aca="false">I56*($C$30+(INDEX(Assumptions!$F$44:$F$46,MATCH($C56,Assumptions!$A$44:$A$46,0))-$C$30)*MIN(1,I$45/$C$29))</f>
        <v>0</v>
      </c>
      <c r="J144" s="24" t="n">
        <f aca="false">J56*($C$30+(INDEX(Assumptions!$F$44:$F$46,MATCH($C56,Assumptions!$A$44:$A$46,0))-$C$30)*MIN(1,J$45/$C$29))</f>
        <v>0</v>
      </c>
      <c r="K144" s="24" t="n">
        <f aca="false">K56*($C$30+(INDEX(Assumptions!$F$44:$F$46,MATCH($C56,Assumptions!$A$44:$A$46,0))-$C$30)*MIN(1,K$45/$C$29))</f>
        <v>0</v>
      </c>
      <c r="L144" s="24" t="n">
        <f aca="false">L56*($C$30+(INDEX(Assumptions!$F$44:$F$46,MATCH($C56,Assumptions!$A$44:$A$46,0))-$C$30)*MIN(1,L$45/$C$29))</f>
        <v>5.5896</v>
      </c>
      <c r="M144" s="24" t="n">
        <f aca="false">M56*($C$30+(INDEX(Assumptions!$F$44:$F$46,MATCH($C56,Assumptions!$A$44:$A$46,0))-$C$30)*MIN(1,M$45/$C$29))</f>
        <v>11.5056</v>
      </c>
      <c r="N144" s="24" t="n">
        <f aca="false">N56*($C$30+(INDEX(Assumptions!$F$44:$F$46,MATCH($C56,Assumptions!$A$44:$A$46,0))-$C$30)*MIN(1,N$45/$C$29))</f>
        <v>16.2996</v>
      </c>
      <c r="O144" s="24" t="n">
        <f aca="false">O56*($C$30+(INDEX(Assumptions!$F$44:$F$46,MATCH($C56,Assumptions!$A$44:$A$46,0))-$C$30)*MIN(1,O$45/$C$29))</f>
        <v>19.176</v>
      </c>
      <c r="P144" s="24" t="n">
        <f aca="false">P56*($C$30+(INDEX(Assumptions!$F$44:$F$46,MATCH($C56,Assumptions!$A$44:$A$46,0))-$C$30)*MIN(1,P$45/$C$29))</f>
        <v>19.176</v>
      </c>
      <c r="Q144" s="24" t="n">
        <f aca="false">Q56*($C$30+(INDEX(Assumptions!$F$44:$F$46,MATCH($C56,Assumptions!$A$44:$A$46,0))-$C$30)*MIN(1,Q$45/$C$29))</f>
        <v>19.176</v>
      </c>
      <c r="R144" s="24" t="n">
        <f aca="false">R56*($C$30+(INDEX(Assumptions!$F$44:$F$46,MATCH($C56,Assumptions!$A$44:$A$46,0))-$C$30)*MIN(1,R$45/$C$29))</f>
        <v>19.176</v>
      </c>
      <c r="S144" s="24" t="n">
        <f aca="false">S56*($C$30+(INDEX(Assumptions!$F$44:$F$46,MATCH($C56,Assumptions!$A$44:$A$46,0))-$C$30)*MIN(1,S$45/$C$29))</f>
        <v>19.176</v>
      </c>
      <c r="T144" s="24" t="n">
        <f aca="false">T56*($C$30+(INDEX(Assumptions!$F$44:$F$46,MATCH($C56,Assumptions!$A$44:$A$46,0))-$C$30)*MIN(1,T$45/$C$29))</f>
        <v>19.176</v>
      </c>
      <c r="U144" s="24" t="n">
        <f aca="false">U56*($C$30+(INDEX(Assumptions!$F$44:$F$46,MATCH($C56,Assumptions!$A$44:$A$46,0))-$C$30)*MIN(1,U$45/$C$29))</f>
        <v>19.176</v>
      </c>
      <c r="V144" s="24" t="n">
        <f aca="false">V56*($C$30+(INDEX(Assumptions!$F$44:$F$46,MATCH($C56,Assumptions!$A$44:$A$46,0))-$C$30)*MIN(1,V$45/$C$29))</f>
        <v>19.176</v>
      </c>
      <c r="W144" s="24" t="n">
        <f aca="false">W56*($C$30+(INDEX(Assumptions!$F$44:$F$46,MATCH($C56,Assumptions!$A$44:$A$46,0))-$C$30)*MIN(1,W$45/$C$29))</f>
        <v>19.176</v>
      </c>
      <c r="X144" s="24" t="n">
        <f aca="false">X56*($C$30+(INDEX(Assumptions!$F$44:$F$46,MATCH($C56,Assumptions!$A$44:$A$46,0))-$C$30)*MIN(1,X$45/$C$29))</f>
        <v>19.176</v>
      </c>
      <c r="Y144" s="24" t="n">
        <f aca="false">Y56*($C$30+(INDEX(Assumptions!$F$44:$F$46,MATCH($C56,Assumptions!$A$44:$A$46,0))-$C$30)*MIN(1,Y$45/$C$29))</f>
        <v>19.176</v>
      </c>
    </row>
    <row r="145" customFormat="false" ht="15" hidden="false" customHeight="false" outlineLevel="0" collapsed="false">
      <c r="A145" s="2" t="n">
        <f aca="false">A57</f>
        <v>10</v>
      </c>
      <c r="B145" s="2" t="str">
        <f aca="false">B57</f>
        <v>C</v>
      </c>
      <c r="C145" s="2" t="str">
        <f aca="false">C57</f>
        <v>Assured</v>
      </c>
      <c r="D145" s="2"/>
      <c r="E145" s="2"/>
      <c r="F145" s="2"/>
      <c r="G145" s="2"/>
      <c r="H145" s="24" t="n">
        <f aca="false">H57*($C$30+(INDEX(Assumptions!$F$44:$F$46,MATCH($C57,Assumptions!$A$44:$A$46,0))-$C$30)*MIN(1,H$45/$C$29))</f>
        <v>0</v>
      </c>
      <c r="I145" s="24" t="n">
        <f aca="false">I57*($C$30+(INDEX(Assumptions!$F$44:$F$46,MATCH($C57,Assumptions!$A$44:$A$46,0))-$C$30)*MIN(1,I$45/$C$29))</f>
        <v>0</v>
      </c>
      <c r="J145" s="24" t="n">
        <f aca="false">J57*($C$30+(INDEX(Assumptions!$F$44:$F$46,MATCH($C57,Assumptions!$A$44:$A$46,0))-$C$30)*MIN(1,J$45/$C$29))</f>
        <v>0</v>
      </c>
      <c r="K145" s="24" t="n">
        <f aca="false">K57*($C$30+(INDEX(Assumptions!$F$44:$F$46,MATCH($C57,Assumptions!$A$44:$A$46,0))-$C$30)*MIN(1,K$45/$C$29))</f>
        <v>0</v>
      </c>
      <c r="L145" s="24" t="n">
        <f aca="false">L57*($C$30+(INDEX(Assumptions!$F$44:$F$46,MATCH($C57,Assumptions!$A$44:$A$46,0))-$C$30)*MIN(1,L$45/$C$29))</f>
        <v>0</v>
      </c>
      <c r="M145" s="24" t="n">
        <f aca="false">M57*($C$30+(INDEX(Assumptions!$F$44:$F$46,MATCH($C57,Assumptions!$A$44:$A$46,0))-$C$30)*MIN(1,M$45/$C$29))</f>
        <v>6.2322</v>
      </c>
      <c r="N145" s="24" t="n">
        <f aca="false">N57*($C$30+(INDEX(Assumptions!$F$44:$F$46,MATCH($C57,Assumptions!$A$44:$A$46,0))-$C$30)*MIN(1,N$45/$C$29))</f>
        <v>12.4644</v>
      </c>
      <c r="O145" s="24" t="n">
        <f aca="false">O57*($C$30+(INDEX(Assumptions!$F$44:$F$46,MATCH($C57,Assumptions!$A$44:$A$46,0))-$C$30)*MIN(1,O$45/$C$29))</f>
        <v>17.6579</v>
      </c>
      <c r="P145" s="24" t="n">
        <f aca="false">P57*($C$30+(INDEX(Assumptions!$F$44:$F$46,MATCH($C57,Assumptions!$A$44:$A$46,0))-$C$30)*MIN(1,P$45/$C$29))</f>
        <v>20.774</v>
      </c>
      <c r="Q145" s="24" t="n">
        <f aca="false">Q57*($C$30+(INDEX(Assumptions!$F$44:$F$46,MATCH($C57,Assumptions!$A$44:$A$46,0))-$C$30)*MIN(1,Q$45/$C$29))</f>
        <v>20.774</v>
      </c>
      <c r="R145" s="24" t="n">
        <f aca="false">R57*($C$30+(INDEX(Assumptions!$F$44:$F$46,MATCH($C57,Assumptions!$A$44:$A$46,0))-$C$30)*MIN(1,R$45/$C$29))</f>
        <v>20.774</v>
      </c>
      <c r="S145" s="24" t="n">
        <f aca="false">S57*($C$30+(INDEX(Assumptions!$F$44:$F$46,MATCH($C57,Assumptions!$A$44:$A$46,0))-$C$30)*MIN(1,S$45/$C$29))</f>
        <v>20.774</v>
      </c>
      <c r="T145" s="24" t="n">
        <f aca="false">T57*($C$30+(INDEX(Assumptions!$F$44:$F$46,MATCH($C57,Assumptions!$A$44:$A$46,0))-$C$30)*MIN(1,T$45/$C$29))</f>
        <v>20.774</v>
      </c>
      <c r="U145" s="24" t="n">
        <f aca="false">U57*($C$30+(INDEX(Assumptions!$F$44:$F$46,MATCH($C57,Assumptions!$A$44:$A$46,0))-$C$30)*MIN(1,U$45/$C$29))</f>
        <v>20.774</v>
      </c>
      <c r="V145" s="24" t="n">
        <f aca="false">V57*($C$30+(INDEX(Assumptions!$F$44:$F$46,MATCH($C57,Assumptions!$A$44:$A$46,0))-$C$30)*MIN(1,V$45/$C$29))</f>
        <v>20.774</v>
      </c>
      <c r="W145" s="24" t="n">
        <f aca="false">W57*($C$30+(INDEX(Assumptions!$F$44:$F$46,MATCH($C57,Assumptions!$A$44:$A$46,0))-$C$30)*MIN(1,W$45/$C$29))</f>
        <v>20.774</v>
      </c>
      <c r="X145" s="24" t="n">
        <f aca="false">X57*($C$30+(INDEX(Assumptions!$F$44:$F$46,MATCH($C57,Assumptions!$A$44:$A$46,0))-$C$30)*MIN(1,X$45/$C$29))</f>
        <v>20.774</v>
      </c>
      <c r="Y145" s="24" t="n">
        <f aca="false">Y57*($C$30+(INDEX(Assumptions!$F$44:$F$46,MATCH($C57,Assumptions!$A$44:$A$46,0))-$C$30)*MIN(1,Y$45/$C$29))</f>
        <v>20.774</v>
      </c>
    </row>
    <row r="146" customFormat="false" ht="15" hidden="false" customHeight="false" outlineLevel="0" collapsed="false">
      <c r="A146" s="2" t="n">
        <f aca="false">A58</f>
        <v>11</v>
      </c>
      <c r="B146" s="2" t="str">
        <f aca="false">B58</f>
        <v>C</v>
      </c>
      <c r="C146" s="2" t="str">
        <f aca="false">C58</f>
        <v>Assured</v>
      </c>
      <c r="D146" s="2"/>
      <c r="E146" s="2"/>
      <c r="F146" s="2"/>
      <c r="G146" s="2"/>
      <c r="H146" s="24" t="n">
        <f aca="false">H58*($C$30+(INDEX(Assumptions!$F$44:$F$46,MATCH($C58,Assumptions!$A$44:$A$46,0))-$C$30)*MIN(1,H$45/$C$29))</f>
        <v>0</v>
      </c>
      <c r="I146" s="24" t="n">
        <f aca="false">I58*($C$30+(INDEX(Assumptions!$F$44:$F$46,MATCH($C58,Assumptions!$A$44:$A$46,0))-$C$30)*MIN(1,I$45/$C$29))</f>
        <v>0</v>
      </c>
      <c r="J146" s="24" t="n">
        <f aca="false">J58*($C$30+(INDEX(Assumptions!$F$44:$F$46,MATCH($C58,Assumptions!$A$44:$A$46,0))-$C$30)*MIN(1,J$45/$C$29))</f>
        <v>0</v>
      </c>
      <c r="K146" s="24" t="n">
        <f aca="false">K58*($C$30+(INDEX(Assumptions!$F$44:$F$46,MATCH($C58,Assumptions!$A$44:$A$46,0))-$C$30)*MIN(1,K$45/$C$29))</f>
        <v>0</v>
      </c>
      <c r="L146" s="24" t="n">
        <f aca="false">L58*($C$30+(INDEX(Assumptions!$F$44:$F$46,MATCH($C58,Assumptions!$A$44:$A$46,0))-$C$30)*MIN(1,L$45/$C$29))</f>
        <v>0</v>
      </c>
      <c r="M146" s="24" t="n">
        <f aca="false">M58*($C$30+(INDEX(Assumptions!$F$44:$F$46,MATCH($C58,Assumptions!$A$44:$A$46,0))-$C$30)*MIN(1,M$45/$C$29))</f>
        <v>0</v>
      </c>
      <c r="N146" s="24" t="n">
        <f aca="false">N58*($C$30+(INDEX(Assumptions!$F$44:$F$46,MATCH($C58,Assumptions!$A$44:$A$46,0))-$C$30)*MIN(1,N$45/$C$29))</f>
        <v>6.2322</v>
      </c>
      <c r="O146" s="24" t="n">
        <f aca="false">O58*($C$30+(INDEX(Assumptions!$F$44:$F$46,MATCH($C58,Assumptions!$A$44:$A$46,0))-$C$30)*MIN(1,O$45/$C$29))</f>
        <v>12.4644</v>
      </c>
      <c r="P146" s="24" t="n">
        <f aca="false">P58*($C$30+(INDEX(Assumptions!$F$44:$F$46,MATCH($C58,Assumptions!$A$44:$A$46,0))-$C$30)*MIN(1,P$45/$C$29))</f>
        <v>17.6579</v>
      </c>
      <c r="Q146" s="24" t="n">
        <f aca="false">Q58*($C$30+(INDEX(Assumptions!$F$44:$F$46,MATCH($C58,Assumptions!$A$44:$A$46,0))-$C$30)*MIN(1,Q$45/$C$29))</f>
        <v>20.774</v>
      </c>
      <c r="R146" s="24" t="n">
        <f aca="false">R58*($C$30+(INDEX(Assumptions!$F$44:$F$46,MATCH($C58,Assumptions!$A$44:$A$46,0))-$C$30)*MIN(1,R$45/$C$29))</f>
        <v>20.774</v>
      </c>
      <c r="S146" s="24" t="n">
        <f aca="false">S58*($C$30+(INDEX(Assumptions!$F$44:$F$46,MATCH($C58,Assumptions!$A$44:$A$46,0))-$C$30)*MIN(1,S$45/$C$29))</f>
        <v>20.774</v>
      </c>
      <c r="T146" s="24" t="n">
        <f aca="false">T58*($C$30+(INDEX(Assumptions!$F$44:$F$46,MATCH($C58,Assumptions!$A$44:$A$46,0))-$C$30)*MIN(1,T$45/$C$29))</f>
        <v>20.774</v>
      </c>
      <c r="U146" s="24" t="n">
        <f aca="false">U58*($C$30+(INDEX(Assumptions!$F$44:$F$46,MATCH($C58,Assumptions!$A$44:$A$46,0))-$C$30)*MIN(1,U$45/$C$29))</f>
        <v>20.774</v>
      </c>
      <c r="V146" s="24" t="n">
        <f aca="false">V58*($C$30+(INDEX(Assumptions!$F$44:$F$46,MATCH($C58,Assumptions!$A$44:$A$46,0))-$C$30)*MIN(1,V$45/$C$29))</f>
        <v>20.774</v>
      </c>
      <c r="W146" s="24" t="n">
        <f aca="false">W58*($C$30+(INDEX(Assumptions!$F$44:$F$46,MATCH($C58,Assumptions!$A$44:$A$46,0))-$C$30)*MIN(1,W$45/$C$29))</f>
        <v>20.774</v>
      </c>
      <c r="X146" s="24" t="n">
        <f aca="false">X58*($C$30+(INDEX(Assumptions!$F$44:$F$46,MATCH($C58,Assumptions!$A$44:$A$46,0))-$C$30)*MIN(1,X$45/$C$29))</f>
        <v>20.774</v>
      </c>
      <c r="Y146" s="24" t="n">
        <f aca="false">Y58*($C$30+(INDEX(Assumptions!$F$44:$F$46,MATCH($C58,Assumptions!$A$44:$A$46,0))-$C$30)*MIN(1,Y$45/$C$29))</f>
        <v>20.774</v>
      </c>
    </row>
    <row r="147" customFormat="false" ht="15" hidden="false" customHeight="false" outlineLevel="0" collapsed="false">
      <c r="A147" s="2" t="n">
        <f aca="false">A59</f>
        <v>12</v>
      </c>
      <c r="B147" s="2" t="str">
        <f aca="false">B59</f>
        <v>C</v>
      </c>
      <c r="C147" s="2" t="str">
        <f aca="false">C59</f>
        <v>Assured</v>
      </c>
      <c r="D147" s="2"/>
      <c r="E147" s="2"/>
      <c r="F147" s="2"/>
      <c r="G147" s="2"/>
      <c r="H147" s="24" t="n">
        <f aca="false">H59*($C$30+(INDEX(Assumptions!$F$44:$F$46,MATCH($C59,Assumptions!$A$44:$A$46,0))-$C$30)*MIN(1,H$45/$C$29))</f>
        <v>0</v>
      </c>
      <c r="I147" s="24" t="n">
        <f aca="false">I59*($C$30+(INDEX(Assumptions!$F$44:$F$46,MATCH($C59,Assumptions!$A$44:$A$46,0))-$C$30)*MIN(1,I$45/$C$29))</f>
        <v>0</v>
      </c>
      <c r="J147" s="24" t="n">
        <f aca="false">J59*($C$30+(INDEX(Assumptions!$F$44:$F$46,MATCH($C59,Assumptions!$A$44:$A$46,0))-$C$30)*MIN(1,J$45/$C$29))</f>
        <v>0</v>
      </c>
      <c r="K147" s="24" t="n">
        <f aca="false">K59*($C$30+(INDEX(Assumptions!$F$44:$F$46,MATCH($C59,Assumptions!$A$44:$A$46,0))-$C$30)*MIN(1,K$45/$C$29))</f>
        <v>0</v>
      </c>
      <c r="L147" s="24" t="n">
        <f aca="false">L59*($C$30+(INDEX(Assumptions!$F$44:$F$46,MATCH($C59,Assumptions!$A$44:$A$46,0))-$C$30)*MIN(1,L$45/$C$29))</f>
        <v>0</v>
      </c>
      <c r="M147" s="24" t="n">
        <f aca="false">M59*($C$30+(INDEX(Assumptions!$F$44:$F$46,MATCH($C59,Assumptions!$A$44:$A$46,0))-$C$30)*MIN(1,M$45/$C$29))</f>
        <v>0</v>
      </c>
      <c r="N147" s="24" t="n">
        <f aca="false">N59*($C$30+(INDEX(Assumptions!$F$44:$F$46,MATCH($C59,Assumptions!$A$44:$A$46,0))-$C$30)*MIN(1,N$45/$C$29))</f>
        <v>6.2322</v>
      </c>
      <c r="O147" s="24" t="n">
        <f aca="false">O59*($C$30+(INDEX(Assumptions!$F$44:$F$46,MATCH($C59,Assumptions!$A$44:$A$46,0))-$C$30)*MIN(1,O$45/$C$29))</f>
        <v>12.4644</v>
      </c>
      <c r="P147" s="24" t="n">
        <f aca="false">P59*($C$30+(INDEX(Assumptions!$F$44:$F$46,MATCH($C59,Assumptions!$A$44:$A$46,0))-$C$30)*MIN(1,P$45/$C$29))</f>
        <v>17.6579</v>
      </c>
      <c r="Q147" s="24" t="n">
        <f aca="false">Q59*($C$30+(INDEX(Assumptions!$F$44:$F$46,MATCH($C59,Assumptions!$A$44:$A$46,0))-$C$30)*MIN(1,Q$45/$C$29))</f>
        <v>20.774</v>
      </c>
      <c r="R147" s="24" t="n">
        <f aca="false">R59*($C$30+(INDEX(Assumptions!$F$44:$F$46,MATCH($C59,Assumptions!$A$44:$A$46,0))-$C$30)*MIN(1,R$45/$C$29))</f>
        <v>20.774</v>
      </c>
      <c r="S147" s="24" t="n">
        <f aca="false">S59*($C$30+(INDEX(Assumptions!$F$44:$F$46,MATCH($C59,Assumptions!$A$44:$A$46,0))-$C$30)*MIN(1,S$45/$C$29))</f>
        <v>20.774</v>
      </c>
      <c r="T147" s="24" t="n">
        <f aca="false">T59*($C$30+(INDEX(Assumptions!$F$44:$F$46,MATCH($C59,Assumptions!$A$44:$A$46,0))-$C$30)*MIN(1,T$45/$C$29))</f>
        <v>20.774</v>
      </c>
      <c r="U147" s="24" t="n">
        <f aca="false">U59*($C$30+(INDEX(Assumptions!$F$44:$F$46,MATCH($C59,Assumptions!$A$44:$A$46,0))-$C$30)*MIN(1,U$45/$C$29))</f>
        <v>20.774</v>
      </c>
      <c r="V147" s="24" t="n">
        <f aca="false">V59*($C$30+(INDEX(Assumptions!$F$44:$F$46,MATCH($C59,Assumptions!$A$44:$A$46,0))-$C$30)*MIN(1,V$45/$C$29))</f>
        <v>20.774</v>
      </c>
      <c r="W147" s="24" t="n">
        <f aca="false">W59*($C$30+(INDEX(Assumptions!$F$44:$F$46,MATCH($C59,Assumptions!$A$44:$A$46,0))-$C$30)*MIN(1,W$45/$C$29))</f>
        <v>20.774</v>
      </c>
      <c r="X147" s="24" t="n">
        <f aca="false">X59*($C$30+(INDEX(Assumptions!$F$44:$F$46,MATCH($C59,Assumptions!$A$44:$A$46,0))-$C$30)*MIN(1,X$45/$C$29))</f>
        <v>20.774</v>
      </c>
      <c r="Y147" s="24" t="n">
        <f aca="false">Y59*($C$30+(INDEX(Assumptions!$F$44:$F$46,MATCH($C59,Assumptions!$A$44:$A$46,0))-$C$30)*MIN(1,Y$45/$C$29))</f>
        <v>20.774</v>
      </c>
    </row>
    <row r="148" customFormat="false" ht="15" hidden="false" customHeight="false" outlineLevel="0" collapsed="false">
      <c r="A148" s="2" t="n">
        <f aca="false">A60</f>
        <v>13</v>
      </c>
      <c r="B148" s="2" t="str">
        <f aca="false">B60</f>
        <v>C</v>
      </c>
      <c r="C148" s="2" t="str">
        <f aca="false">C60</f>
        <v>Assured</v>
      </c>
      <c r="D148" s="2"/>
      <c r="E148" s="2"/>
      <c r="F148" s="2"/>
      <c r="G148" s="2"/>
      <c r="H148" s="24" t="n">
        <f aca="false">H60*($C$30+(INDEX(Assumptions!$F$44:$F$46,MATCH($C60,Assumptions!$A$44:$A$46,0))-$C$30)*MIN(1,H$45/$C$29))</f>
        <v>0</v>
      </c>
      <c r="I148" s="24" t="n">
        <f aca="false">I60*($C$30+(INDEX(Assumptions!$F$44:$F$46,MATCH($C60,Assumptions!$A$44:$A$46,0))-$C$30)*MIN(1,I$45/$C$29))</f>
        <v>0</v>
      </c>
      <c r="J148" s="24" t="n">
        <f aca="false">J60*($C$30+(INDEX(Assumptions!$F$44:$F$46,MATCH($C60,Assumptions!$A$44:$A$46,0))-$C$30)*MIN(1,J$45/$C$29))</f>
        <v>0</v>
      </c>
      <c r="K148" s="24" t="n">
        <f aca="false">K60*($C$30+(INDEX(Assumptions!$F$44:$F$46,MATCH($C60,Assumptions!$A$44:$A$46,0))-$C$30)*MIN(1,K$45/$C$29))</f>
        <v>0</v>
      </c>
      <c r="L148" s="24" t="n">
        <f aca="false">L60*($C$30+(INDEX(Assumptions!$F$44:$F$46,MATCH($C60,Assumptions!$A$44:$A$46,0))-$C$30)*MIN(1,L$45/$C$29))</f>
        <v>0</v>
      </c>
      <c r="M148" s="24" t="n">
        <f aca="false">M60*($C$30+(INDEX(Assumptions!$F$44:$F$46,MATCH($C60,Assumptions!$A$44:$A$46,0))-$C$30)*MIN(1,M$45/$C$29))</f>
        <v>0</v>
      </c>
      <c r="N148" s="24" t="n">
        <f aca="false">N60*($C$30+(INDEX(Assumptions!$F$44:$F$46,MATCH($C60,Assumptions!$A$44:$A$46,0))-$C$30)*MIN(1,N$45/$C$29))</f>
        <v>0</v>
      </c>
      <c r="O148" s="24" t="n">
        <f aca="false">O60*($C$30+(INDEX(Assumptions!$F$44:$F$46,MATCH($C60,Assumptions!$A$44:$A$46,0))-$C$30)*MIN(1,O$45/$C$29))</f>
        <v>6.2322</v>
      </c>
      <c r="P148" s="24" t="n">
        <f aca="false">P60*($C$30+(INDEX(Assumptions!$F$44:$F$46,MATCH($C60,Assumptions!$A$44:$A$46,0))-$C$30)*MIN(1,P$45/$C$29))</f>
        <v>12.4644</v>
      </c>
      <c r="Q148" s="24" t="n">
        <f aca="false">Q60*($C$30+(INDEX(Assumptions!$F$44:$F$46,MATCH($C60,Assumptions!$A$44:$A$46,0))-$C$30)*MIN(1,Q$45/$C$29))</f>
        <v>17.6579</v>
      </c>
      <c r="R148" s="24" t="n">
        <f aca="false">R60*($C$30+(INDEX(Assumptions!$F$44:$F$46,MATCH($C60,Assumptions!$A$44:$A$46,0))-$C$30)*MIN(1,R$45/$C$29))</f>
        <v>20.774</v>
      </c>
      <c r="S148" s="24" t="n">
        <f aca="false">S60*($C$30+(INDEX(Assumptions!$F$44:$F$46,MATCH($C60,Assumptions!$A$44:$A$46,0))-$C$30)*MIN(1,S$45/$C$29))</f>
        <v>20.774</v>
      </c>
      <c r="T148" s="24" t="n">
        <f aca="false">T60*($C$30+(INDEX(Assumptions!$F$44:$F$46,MATCH($C60,Assumptions!$A$44:$A$46,0))-$C$30)*MIN(1,T$45/$C$29))</f>
        <v>20.774</v>
      </c>
      <c r="U148" s="24" t="n">
        <f aca="false">U60*($C$30+(INDEX(Assumptions!$F$44:$F$46,MATCH($C60,Assumptions!$A$44:$A$46,0))-$C$30)*MIN(1,U$45/$C$29))</f>
        <v>20.774</v>
      </c>
      <c r="V148" s="24" t="n">
        <f aca="false">V60*($C$30+(INDEX(Assumptions!$F$44:$F$46,MATCH($C60,Assumptions!$A$44:$A$46,0))-$C$30)*MIN(1,V$45/$C$29))</f>
        <v>20.774</v>
      </c>
      <c r="W148" s="24" t="n">
        <f aca="false">W60*($C$30+(INDEX(Assumptions!$F$44:$F$46,MATCH($C60,Assumptions!$A$44:$A$46,0))-$C$30)*MIN(1,W$45/$C$29))</f>
        <v>20.774</v>
      </c>
      <c r="X148" s="24" t="n">
        <f aca="false">X60*($C$30+(INDEX(Assumptions!$F$44:$F$46,MATCH($C60,Assumptions!$A$44:$A$46,0))-$C$30)*MIN(1,X$45/$C$29))</f>
        <v>20.774</v>
      </c>
      <c r="Y148" s="24" t="n">
        <f aca="false">Y60*($C$30+(INDEX(Assumptions!$F$44:$F$46,MATCH($C60,Assumptions!$A$44:$A$46,0))-$C$30)*MIN(1,Y$45/$C$29))</f>
        <v>20.774</v>
      </c>
    </row>
    <row r="149" customFormat="false" ht="15" hidden="false" customHeight="false" outlineLevel="0" collapsed="false">
      <c r="A149" s="2" t="n">
        <f aca="false">A61</f>
        <v>14</v>
      </c>
      <c r="B149" s="2" t="str">
        <f aca="false">B61</f>
        <v>B</v>
      </c>
      <c r="C149" s="2" t="str">
        <f aca="false">C61</f>
        <v>Connect</v>
      </c>
      <c r="D149" s="2"/>
      <c r="E149" s="2"/>
      <c r="F149" s="2"/>
      <c r="G149" s="2"/>
      <c r="H149" s="24" t="n">
        <f aca="false">H61*($C$30+(INDEX(Assumptions!$F$44:$F$46,MATCH($C61,Assumptions!$A$44:$A$46,0))-$C$30)*MIN(1,H$45/$C$29))</f>
        <v>0</v>
      </c>
      <c r="I149" s="24" t="n">
        <f aca="false">I61*($C$30+(INDEX(Assumptions!$F$44:$F$46,MATCH($C61,Assumptions!$A$44:$A$46,0))-$C$30)*MIN(1,I$45/$C$29))</f>
        <v>0</v>
      </c>
      <c r="J149" s="24" t="n">
        <f aca="false">J61*($C$30+(INDEX(Assumptions!$F$44:$F$46,MATCH($C61,Assumptions!$A$44:$A$46,0))-$C$30)*MIN(1,J$45/$C$29))</f>
        <v>0</v>
      </c>
      <c r="K149" s="24" t="n">
        <f aca="false">K61*($C$30+(INDEX(Assumptions!$F$44:$F$46,MATCH($C61,Assumptions!$A$44:$A$46,0))-$C$30)*MIN(1,K$45/$C$29))</f>
        <v>0</v>
      </c>
      <c r="L149" s="24" t="n">
        <f aca="false">L61*($C$30+(INDEX(Assumptions!$F$44:$F$46,MATCH($C61,Assumptions!$A$44:$A$46,0))-$C$30)*MIN(1,L$45/$C$29))</f>
        <v>0</v>
      </c>
      <c r="M149" s="24" t="n">
        <f aca="false">M61*($C$30+(INDEX(Assumptions!$F$44:$F$46,MATCH($C61,Assumptions!$A$44:$A$46,0))-$C$30)*MIN(1,M$45/$C$29))</f>
        <v>0</v>
      </c>
      <c r="N149" s="24" t="n">
        <f aca="false">N61*($C$30+(INDEX(Assumptions!$F$44:$F$46,MATCH($C61,Assumptions!$A$44:$A$46,0))-$C$30)*MIN(1,N$45/$C$29))</f>
        <v>0</v>
      </c>
      <c r="O149" s="24" t="n">
        <f aca="false">O61*($C$30+(INDEX(Assumptions!$F$44:$F$46,MATCH($C61,Assumptions!$A$44:$A$46,0))-$C$30)*MIN(1,O$45/$C$29))</f>
        <v>0</v>
      </c>
      <c r="P149" s="24" t="n">
        <f aca="false">P61*($C$30+(INDEX(Assumptions!$F$44:$F$46,MATCH($C61,Assumptions!$A$44:$A$46,0))-$C$30)*MIN(1,P$45/$C$29))</f>
        <v>6.579</v>
      </c>
      <c r="Q149" s="24" t="n">
        <f aca="false">Q61*($C$30+(INDEX(Assumptions!$F$44:$F$46,MATCH($C61,Assumptions!$A$44:$A$46,0))-$C$30)*MIN(1,Q$45/$C$29))</f>
        <v>13.158</v>
      </c>
      <c r="R149" s="24" t="n">
        <f aca="false">R61*($C$30+(INDEX(Assumptions!$F$44:$F$46,MATCH($C61,Assumptions!$A$44:$A$46,0))-$C$30)*MIN(1,R$45/$C$29))</f>
        <v>18.6405</v>
      </c>
      <c r="S149" s="24" t="n">
        <f aca="false">S61*($C$30+(INDEX(Assumptions!$F$44:$F$46,MATCH($C61,Assumptions!$A$44:$A$46,0))-$C$30)*MIN(1,S$45/$C$29))</f>
        <v>21.93</v>
      </c>
      <c r="T149" s="24" t="n">
        <f aca="false">T61*($C$30+(INDEX(Assumptions!$F$44:$F$46,MATCH($C61,Assumptions!$A$44:$A$46,0))-$C$30)*MIN(1,T$45/$C$29))</f>
        <v>21.93</v>
      </c>
      <c r="U149" s="24" t="n">
        <f aca="false">U61*($C$30+(INDEX(Assumptions!$F$44:$F$46,MATCH($C61,Assumptions!$A$44:$A$46,0))-$C$30)*MIN(1,U$45/$C$29))</f>
        <v>21.93</v>
      </c>
      <c r="V149" s="24" t="n">
        <f aca="false">V61*($C$30+(INDEX(Assumptions!$F$44:$F$46,MATCH($C61,Assumptions!$A$44:$A$46,0))-$C$30)*MIN(1,V$45/$C$29))</f>
        <v>21.93</v>
      </c>
      <c r="W149" s="24" t="n">
        <f aca="false">W61*($C$30+(INDEX(Assumptions!$F$44:$F$46,MATCH($C61,Assumptions!$A$44:$A$46,0))-$C$30)*MIN(1,W$45/$C$29))</f>
        <v>21.93</v>
      </c>
      <c r="X149" s="24" t="n">
        <f aca="false">X61*($C$30+(INDEX(Assumptions!$F$44:$F$46,MATCH($C61,Assumptions!$A$44:$A$46,0))-$C$30)*MIN(1,X$45/$C$29))</f>
        <v>21.93</v>
      </c>
      <c r="Y149" s="24" t="n">
        <f aca="false">Y61*($C$30+(INDEX(Assumptions!$F$44:$F$46,MATCH($C61,Assumptions!$A$44:$A$46,0))-$C$30)*MIN(1,Y$45/$C$29))</f>
        <v>21.93</v>
      </c>
    </row>
    <row r="150" customFormat="false" ht="15" hidden="false" customHeight="false" outlineLevel="0" collapsed="false">
      <c r="A150" s="2" t="n">
        <f aca="false">A62</f>
        <v>15</v>
      </c>
      <c r="B150" s="2" t="str">
        <f aca="false">B62</f>
        <v>B</v>
      </c>
      <c r="C150" s="2" t="str">
        <f aca="false">C62</f>
        <v>Connect</v>
      </c>
      <c r="D150" s="2"/>
      <c r="E150" s="2"/>
      <c r="F150" s="2"/>
      <c r="G150" s="2"/>
      <c r="H150" s="24" t="n">
        <f aca="false">H62*($C$30+(INDEX(Assumptions!$F$44:$F$46,MATCH($C62,Assumptions!$A$44:$A$46,0))-$C$30)*MIN(1,H$45/$C$29))</f>
        <v>0</v>
      </c>
      <c r="I150" s="24" t="n">
        <f aca="false">I62*($C$30+(INDEX(Assumptions!$F$44:$F$46,MATCH($C62,Assumptions!$A$44:$A$46,0))-$C$30)*MIN(1,I$45/$C$29))</f>
        <v>0</v>
      </c>
      <c r="J150" s="24" t="n">
        <f aca="false">J62*($C$30+(INDEX(Assumptions!$F$44:$F$46,MATCH($C62,Assumptions!$A$44:$A$46,0))-$C$30)*MIN(1,J$45/$C$29))</f>
        <v>0</v>
      </c>
      <c r="K150" s="24" t="n">
        <f aca="false">K62*($C$30+(INDEX(Assumptions!$F$44:$F$46,MATCH($C62,Assumptions!$A$44:$A$46,0))-$C$30)*MIN(1,K$45/$C$29))</f>
        <v>0</v>
      </c>
      <c r="L150" s="24" t="n">
        <f aca="false">L62*($C$30+(INDEX(Assumptions!$F$44:$F$46,MATCH($C62,Assumptions!$A$44:$A$46,0))-$C$30)*MIN(1,L$45/$C$29))</f>
        <v>0</v>
      </c>
      <c r="M150" s="24" t="n">
        <f aca="false">M62*($C$30+(INDEX(Assumptions!$F$44:$F$46,MATCH($C62,Assumptions!$A$44:$A$46,0))-$C$30)*MIN(1,M$45/$C$29))</f>
        <v>0</v>
      </c>
      <c r="N150" s="24" t="n">
        <f aca="false">N62*($C$30+(INDEX(Assumptions!$F$44:$F$46,MATCH($C62,Assumptions!$A$44:$A$46,0))-$C$30)*MIN(1,N$45/$C$29))</f>
        <v>0</v>
      </c>
      <c r="O150" s="24" t="n">
        <f aca="false">O62*($C$30+(INDEX(Assumptions!$F$44:$F$46,MATCH($C62,Assumptions!$A$44:$A$46,0))-$C$30)*MIN(1,O$45/$C$29))</f>
        <v>0</v>
      </c>
      <c r="P150" s="24" t="n">
        <f aca="false">P62*($C$30+(INDEX(Assumptions!$F$44:$F$46,MATCH($C62,Assumptions!$A$44:$A$46,0))-$C$30)*MIN(1,P$45/$C$29))</f>
        <v>0</v>
      </c>
      <c r="Q150" s="24" t="n">
        <f aca="false">Q62*($C$30+(INDEX(Assumptions!$F$44:$F$46,MATCH($C62,Assumptions!$A$44:$A$46,0))-$C$30)*MIN(1,Q$45/$C$29))</f>
        <v>6.579</v>
      </c>
      <c r="R150" s="24" t="n">
        <f aca="false">R62*($C$30+(INDEX(Assumptions!$F$44:$F$46,MATCH($C62,Assumptions!$A$44:$A$46,0))-$C$30)*MIN(1,R$45/$C$29))</f>
        <v>13.158</v>
      </c>
      <c r="S150" s="24" t="n">
        <f aca="false">S62*($C$30+(INDEX(Assumptions!$F$44:$F$46,MATCH($C62,Assumptions!$A$44:$A$46,0))-$C$30)*MIN(1,S$45/$C$29))</f>
        <v>18.6405</v>
      </c>
      <c r="T150" s="24" t="n">
        <f aca="false">T62*($C$30+(INDEX(Assumptions!$F$44:$F$46,MATCH($C62,Assumptions!$A$44:$A$46,0))-$C$30)*MIN(1,T$45/$C$29))</f>
        <v>21.93</v>
      </c>
      <c r="U150" s="24" t="n">
        <f aca="false">U62*($C$30+(INDEX(Assumptions!$F$44:$F$46,MATCH($C62,Assumptions!$A$44:$A$46,0))-$C$30)*MIN(1,U$45/$C$29))</f>
        <v>21.93</v>
      </c>
      <c r="V150" s="24" t="n">
        <f aca="false">V62*($C$30+(INDEX(Assumptions!$F$44:$F$46,MATCH($C62,Assumptions!$A$44:$A$46,0))-$C$30)*MIN(1,V$45/$C$29))</f>
        <v>21.93</v>
      </c>
      <c r="W150" s="24" t="n">
        <f aca="false">W62*($C$30+(INDEX(Assumptions!$F$44:$F$46,MATCH($C62,Assumptions!$A$44:$A$46,0))-$C$30)*MIN(1,W$45/$C$29))</f>
        <v>21.93</v>
      </c>
      <c r="X150" s="24" t="n">
        <f aca="false">X62*($C$30+(INDEX(Assumptions!$F$44:$F$46,MATCH($C62,Assumptions!$A$44:$A$46,0))-$C$30)*MIN(1,X$45/$C$29))</f>
        <v>21.93</v>
      </c>
      <c r="Y150" s="24" t="n">
        <f aca="false">Y62*($C$30+(INDEX(Assumptions!$F$44:$F$46,MATCH($C62,Assumptions!$A$44:$A$46,0))-$C$30)*MIN(1,Y$45/$C$29))</f>
        <v>21.93</v>
      </c>
    </row>
    <row r="151" customFormat="false" ht="15" hidden="false" customHeight="false" outlineLevel="0" collapsed="false">
      <c r="A151" s="2" t="n">
        <f aca="false">A63</f>
        <v>16</v>
      </c>
      <c r="B151" s="2" t="str">
        <f aca="false">B63</f>
        <v>B</v>
      </c>
      <c r="C151" s="2" t="str">
        <f aca="false">C63</f>
        <v>Connect</v>
      </c>
      <c r="D151" s="2"/>
      <c r="E151" s="2"/>
      <c r="F151" s="2"/>
      <c r="G151" s="2"/>
      <c r="H151" s="24" t="n">
        <f aca="false">H63*($C$30+(INDEX(Assumptions!$F$44:$F$46,MATCH($C63,Assumptions!$A$44:$A$46,0))-$C$30)*MIN(1,H$45/$C$29))</f>
        <v>0</v>
      </c>
      <c r="I151" s="24" t="n">
        <f aca="false">I63*($C$30+(INDEX(Assumptions!$F$44:$F$46,MATCH($C63,Assumptions!$A$44:$A$46,0))-$C$30)*MIN(1,I$45/$C$29))</f>
        <v>0</v>
      </c>
      <c r="J151" s="24" t="n">
        <f aca="false">J63*($C$30+(INDEX(Assumptions!$F$44:$F$46,MATCH($C63,Assumptions!$A$44:$A$46,0))-$C$30)*MIN(1,J$45/$C$29))</f>
        <v>0</v>
      </c>
      <c r="K151" s="24" t="n">
        <f aca="false">K63*($C$30+(INDEX(Assumptions!$F$44:$F$46,MATCH($C63,Assumptions!$A$44:$A$46,0))-$C$30)*MIN(1,K$45/$C$29))</f>
        <v>0</v>
      </c>
      <c r="L151" s="24" t="n">
        <f aca="false">L63*($C$30+(INDEX(Assumptions!$F$44:$F$46,MATCH($C63,Assumptions!$A$44:$A$46,0))-$C$30)*MIN(1,L$45/$C$29))</f>
        <v>0</v>
      </c>
      <c r="M151" s="24" t="n">
        <f aca="false">M63*($C$30+(INDEX(Assumptions!$F$44:$F$46,MATCH($C63,Assumptions!$A$44:$A$46,0))-$C$30)*MIN(1,M$45/$C$29))</f>
        <v>0</v>
      </c>
      <c r="N151" s="24" t="n">
        <f aca="false">N63*($C$30+(INDEX(Assumptions!$F$44:$F$46,MATCH($C63,Assumptions!$A$44:$A$46,0))-$C$30)*MIN(1,N$45/$C$29))</f>
        <v>0</v>
      </c>
      <c r="O151" s="24" t="n">
        <f aca="false">O63*($C$30+(INDEX(Assumptions!$F$44:$F$46,MATCH($C63,Assumptions!$A$44:$A$46,0))-$C$30)*MIN(1,O$45/$C$29))</f>
        <v>0</v>
      </c>
      <c r="P151" s="24" t="n">
        <f aca="false">P63*($C$30+(INDEX(Assumptions!$F$44:$F$46,MATCH($C63,Assumptions!$A$44:$A$46,0))-$C$30)*MIN(1,P$45/$C$29))</f>
        <v>0</v>
      </c>
      <c r="Q151" s="24" t="n">
        <f aca="false">Q63*($C$30+(INDEX(Assumptions!$F$44:$F$46,MATCH($C63,Assumptions!$A$44:$A$46,0))-$C$30)*MIN(1,Q$45/$C$29))</f>
        <v>0</v>
      </c>
      <c r="R151" s="24" t="n">
        <f aca="false">R63*($C$30+(INDEX(Assumptions!$F$44:$F$46,MATCH($C63,Assumptions!$A$44:$A$46,0))-$C$30)*MIN(1,R$45/$C$29))</f>
        <v>6.579</v>
      </c>
      <c r="S151" s="24" t="n">
        <f aca="false">S63*($C$30+(INDEX(Assumptions!$F$44:$F$46,MATCH($C63,Assumptions!$A$44:$A$46,0))-$C$30)*MIN(1,S$45/$C$29))</f>
        <v>13.158</v>
      </c>
      <c r="T151" s="24" t="n">
        <f aca="false">T63*($C$30+(INDEX(Assumptions!$F$44:$F$46,MATCH($C63,Assumptions!$A$44:$A$46,0))-$C$30)*MIN(1,T$45/$C$29))</f>
        <v>18.6405</v>
      </c>
      <c r="U151" s="24" t="n">
        <f aca="false">U63*($C$30+(INDEX(Assumptions!$F$44:$F$46,MATCH($C63,Assumptions!$A$44:$A$46,0))-$C$30)*MIN(1,U$45/$C$29))</f>
        <v>21.93</v>
      </c>
      <c r="V151" s="24" t="n">
        <f aca="false">V63*($C$30+(INDEX(Assumptions!$F$44:$F$46,MATCH($C63,Assumptions!$A$44:$A$46,0))-$C$30)*MIN(1,V$45/$C$29))</f>
        <v>21.93</v>
      </c>
      <c r="W151" s="24" t="n">
        <f aca="false">W63*($C$30+(INDEX(Assumptions!$F$44:$F$46,MATCH($C63,Assumptions!$A$44:$A$46,0))-$C$30)*MIN(1,W$45/$C$29))</f>
        <v>21.93</v>
      </c>
      <c r="X151" s="24" t="n">
        <f aca="false">X63*($C$30+(INDEX(Assumptions!$F$44:$F$46,MATCH($C63,Assumptions!$A$44:$A$46,0))-$C$30)*MIN(1,X$45/$C$29))</f>
        <v>21.93</v>
      </c>
      <c r="Y151" s="24" t="n">
        <f aca="false">Y63*($C$30+(INDEX(Assumptions!$F$44:$F$46,MATCH($C63,Assumptions!$A$44:$A$46,0))-$C$30)*MIN(1,Y$45/$C$29))</f>
        <v>21.93</v>
      </c>
    </row>
    <row r="152" customFormat="false" ht="15" hidden="false" customHeight="false" outlineLevel="0" collapsed="false">
      <c r="A152" s="2" t="n">
        <f aca="false">A64</f>
        <v>17</v>
      </c>
      <c r="B152" s="2" t="str">
        <f aca="false">B64</f>
        <v>B</v>
      </c>
      <c r="C152" s="2" t="str">
        <f aca="false">C64</f>
        <v>Verified</v>
      </c>
      <c r="D152" s="2"/>
      <c r="E152" s="2"/>
      <c r="F152" s="2"/>
      <c r="G152" s="2"/>
      <c r="H152" s="24" t="n">
        <f aca="false">H64*($C$30+(INDEX(Assumptions!$F$44:$F$46,MATCH($C64,Assumptions!$A$44:$A$46,0))-$C$30)*MIN(1,H$45/$C$29))</f>
        <v>0</v>
      </c>
      <c r="I152" s="24" t="n">
        <f aca="false">I64*($C$30+(INDEX(Assumptions!$F$44:$F$46,MATCH($C64,Assumptions!$A$44:$A$46,0))-$C$30)*MIN(1,I$45/$C$29))</f>
        <v>0</v>
      </c>
      <c r="J152" s="24" t="n">
        <f aca="false">J64*($C$30+(INDEX(Assumptions!$F$44:$F$46,MATCH($C64,Assumptions!$A$44:$A$46,0))-$C$30)*MIN(1,J$45/$C$29))</f>
        <v>0</v>
      </c>
      <c r="K152" s="24" t="n">
        <f aca="false">K64*($C$30+(INDEX(Assumptions!$F$44:$F$46,MATCH($C64,Assumptions!$A$44:$A$46,0))-$C$30)*MIN(1,K$45/$C$29))</f>
        <v>0</v>
      </c>
      <c r="L152" s="24" t="n">
        <f aca="false">L64*($C$30+(INDEX(Assumptions!$F$44:$F$46,MATCH($C64,Assumptions!$A$44:$A$46,0))-$C$30)*MIN(1,L$45/$C$29))</f>
        <v>0</v>
      </c>
      <c r="M152" s="24" t="n">
        <f aca="false">M64*($C$30+(INDEX(Assumptions!$F$44:$F$46,MATCH($C64,Assumptions!$A$44:$A$46,0))-$C$30)*MIN(1,M$45/$C$29))</f>
        <v>0</v>
      </c>
      <c r="N152" s="24" t="n">
        <f aca="false">N64*($C$30+(INDEX(Assumptions!$F$44:$F$46,MATCH($C64,Assumptions!$A$44:$A$46,0))-$C$30)*MIN(1,N$45/$C$29))</f>
        <v>0</v>
      </c>
      <c r="O152" s="24" t="n">
        <f aca="false">O64*($C$30+(INDEX(Assumptions!$F$44:$F$46,MATCH($C64,Assumptions!$A$44:$A$46,0))-$C$30)*MIN(1,O$45/$C$29))</f>
        <v>0</v>
      </c>
      <c r="P152" s="24" t="n">
        <f aca="false">P64*($C$30+(INDEX(Assumptions!$F$44:$F$46,MATCH($C64,Assumptions!$A$44:$A$46,0))-$C$30)*MIN(1,P$45/$C$29))</f>
        <v>0</v>
      </c>
      <c r="Q152" s="24" t="n">
        <f aca="false">Q64*($C$30+(INDEX(Assumptions!$F$44:$F$46,MATCH($C64,Assumptions!$A$44:$A$46,0))-$C$30)*MIN(1,Q$45/$C$29))</f>
        <v>0</v>
      </c>
      <c r="R152" s="24" t="n">
        <f aca="false">R64*($C$30+(INDEX(Assumptions!$F$44:$F$46,MATCH($C64,Assumptions!$A$44:$A$46,0))-$C$30)*MIN(1,R$45/$C$29))</f>
        <v>0</v>
      </c>
      <c r="S152" s="24" t="n">
        <f aca="false">S64*($C$30+(INDEX(Assumptions!$F$44:$F$46,MATCH($C64,Assumptions!$A$44:$A$46,0))-$C$30)*MIN(1,S$45/$C$29))</f>
        <v>6.273</v>
      </c>
      <c r="T152" s="24" t="n">
        <f aca="false">T64*($C$30+(INDEX(Assumptions!$F$44:$F$46,MATCH($C64,Assumptions!$A$44:$A$46,0))-$C$30)*MIN(1,T$45/$C$29))</f>
        <v>12.546</v>
      </c>
      <c r="U152" s="24" t="n">
        <f aca="false">U64*($C$30+(INDEX(Assumptions!$F$44:$F$46,MATCH($C64,Assumptions!$A$44:$A$46,0))-$C$30)*MIN(1,U$45/$C$29))</f>
        <v>17.7735</v>
      </c>
      <c r="V152" s="24" t="n">
        <f aca="false">V64*($C$30+(INDEX(Assumptions!$F$44:$F$46,MATCH($C64,Assumptions!$A$44:$A$46,0))-$C$30)*MIN(1,V$45/$C$29))</f>
        <v>20.91</v>
      </c>
      <c r="W152" s="24" t="n">
        <f aca="false">W64*($C$30+(INDEX(Assumptions!$F$44:$F$46,MATCH($C64,Assumptions!$A$44:$A$46,0))-$C$30)*MIN(1,W$45/$C$29))</f>
        <v>20.91</v>
      </c>
      <c r="X152" s="24" t="n">
        <f aca="false">X64*($C$30+(INDEX(Assumptions!$F$44:$F$46,MATCH($C64,Assumptions!$A$44:$A$46,0))-$C$30)*MIN(1,X$45/$C$29))</f>
        <v>20.91</v>
      </c>
      <c r="Y152" s="24" t="n">
        <f aca="false">Y64*($C$30+(INDEX(Assumptions!$F$44:$F$46,MATCH($C64,Assumptions!$A$44:$A$46,0))-$C$30)*MIN(1,Y$45/$C$29))</f>
        <v>20.91</v>
      </c>
    </row>
    <row r="153" customFormat="false" ht="15" hidden="false" customHeight="false" outlineLevel="0" collapsed="false">
      <c r="A153" s="2" t="n">
        <f aca="false">A65</f>
        <v>18</v>
      </c>
      <c r="B153" s="2" t="str">
        <f aca="false">B65</f>
        <v>B</v>
      </c>
      <c r="C153" s="2" t="str">
        <f aca="false">C65</f>
        <v>Verified</v>
      </c>
      <c r="D153" s="2"/>
      <c r="E153" s="2"/>
      <c r="F153" s="2"/>
      <c r="G153" s="2"/>
      <c r="H153" s="24" t="n">
        <f aca="false">H65*($C$30+(INDEX(Assumptions!$F$44:$F$46,MATCH($C65,Assumptions!$A$44:$A$46,0))-$C$30)*MIN(1,H$45/$C$29))</f>
        <v>0</v>
      </c>
      <c r="I153" s="24" t="n">
        <f aca="false">I65*($C$30+(INDEX(Assumptions!$F$44:$F$46,MATCH($C65,Assumptions!$A$44:$A$46,0))-$C$30)*MIN(1,I$45/$C$29))</f>
        <v>0</v>
      </c>
      <c r="J153" s="24" t="n">
        <f aca="false">J65*($C$30+(INDEX(Assumptions!$F$44:$F$46,MATCH($C65,Assumptions!$A$44:$A$46,0))-$C$30)*MIN(1,J$45/$C$29))</f>
        <v>0</v>
      </c>
      <c r="K153" s="24" t="n">
        <f aca="false">K65*($C$30+(INDEX(Assumptions!$F$44:$F$46,MATCH($C65,Assumptions!$A$44:$A$46,0))-$C$30)*MIN(1,K$45/$C$29))</f>
        <v>0</v>
      </c>
      <c r="L153" s="24" t="n">
        <f aca="false">L65*($C$30+(INDEX(Assumptions!$F$44:$F$46,MATCH($C65,Assumptions!$A$44:$A$46,0))-$C$30)*MIN(1,L$45/$C$29))</f>
        <v>0</v>
      </c>
      <c r="M153" s="24" t="n">
        <f aca="false">M65*($C$30+(INDEX(Assumptions!$F$44:$F$46,MATCH($C65,Assumptions!$A$44:$A$46,0))-$C$30)*MIN(1,M$45/$C$29))</f>
        <v>0</v>
      </c>
      <c r="N153" s="24" t="n">
        <f aca="false">N65*($C$30+(INDEX(Assumptions!$F$44:$F$46,MATCH($C65,Assumptions!$A$44:$A$46,0))-$C$30)*MIN(1,N$45/$C$29))</f>
        <v>0</v>
      </c>
      <c r="O153" s="24" t="n">
        <f aca="false">O65*($C$30+(INDEX(Assumptions!$F$44:$F$46,MATCH($C65,Assumptions!$A$44:$A$46,0))-$C$30)*MIN(1,O$45/$C$29))</f>
        <v>0</v>
      </c>
      <c r="P153" s="24" t="n">
        <f aca="false">P65*($C$30+(INDEX(Assumptions!$F$44:$F$46,MATCH($C65,Assumptions!$A$44:$A$46,0))-$C$30)*MIN(1,P$45/$C$29))</f>
        <v>0</v>
      </c>
      <c r="Q153" s="24" t="n">
        <f aca="false">Q65*($C$30+(INDEX(Assumptions!$F$44:$F$46,MATCH($C65,Assumptions!$A$44:$A$46,0))-$C$30)*MIN(1,Q$45/$C$29))</f>
        <v>0</v>
      </c>
      <c r="R153" s="24" t="n">
        <f aca="false">R65*($C$30+(INDEX(Assumptions!$F$44:$F$46,MATCH($C65,Assumptions!$A$44:$A$46,0))-$C$30)*MIN(1,R$45/$C$29))</f>
        <v>0</v>
      </c>
      <c r="S153" s="24" t="n">
        <f aca="false">S65*($C$30+(INDEX(Assumptions!$F$44:$F$46,MATCH($C65,Assumptions!$A$44:$A$46,0))-$C$30)*MIN(1,S$45/$C$29))</f>
        <v>0</v>
      </c>
      <c r="T153" s="24" t="n">
        <f aca="false">T65*($C$30+(INDEX(Assumptions!$F$44:$F$46,MATCH($C65,Assumptions!$A$44:$A$46,0))-$C$30)*MIN(1,T$45/$C$29))</f>
        <v>6.273</v>
      </c>
      <c r="U153" s="24" t="n">
        <f aca="false">U65*($C$30+(INDEX(Assumptions!$F$44:$F$46,MATCH($C65,Assumptions!$A$44:$A$46,0))-$C$30)*MIN(1,U$45/$C$29))</f>
        <v>12.546</v>
      </c>
      <c r="V153" s="24" t="n">
        <f aca="false">V65*($C$30+(INDEX(Assumptions!$F$44:$F$46,MATCH($C65,Assumptions!$A$44:$A$46,0))-$C$30)*MIN(1,V$45/$C$29))</f>
        <v>17.7735</v>
      </c>
      <c r="W153" s="24" t="n">
        <f aca="false">W65*($C$30+(INDEX(Assumptions!$F$44:$F$46,MATCH($C65,Assumptions!$A$44:$A$46,0))-$C$30)*MIN(1,W$45/$C$29))</f>
        <v>20.91</v>
      </c>
      <c r="X153" s="24" t="n">
        <f aca="false">X65*($C$30+(INDEX(Assumptions!$F$44:$F$46,MATCH($C65,Assumptions!$A$44:$A$46,0))-$C$30)*MIN(1,X$45/$C$29))</f>
        <v>20.91</v>
      </c>
      <c r="Y153" s="24" t="n">
        <f aca="false">Y65*($C$30+(INDEX(Assumptions!$F$44:$F$46,MATCH($C65,Assumptions!$A$44:$A$46,0))-$C$30)*MIN(1,Y$45/$C$29))</f>
        <v>20.91</v>
      </c>
    </row>
    <row r="154" customFormat="false" ht="15" hidden="false" customHeight="false" outlineLevel="0" collapsed="false">
      <c r="A154" s="2" t="n">
        <f aca="false">A66</f>
        <v>19</v>
      </c>
      <c r="B154" s="2" t="str">
        <f aca="false">B66</f>
        <v>B</v>
      </c>
      <c r="C154" s="2" t="str">
        <f aca="false">C66</f>
        <v>Verified</v>
      </c>
      <c r="D154" s="2"/>
      <c r="E154" s="2"/>
      <c r="F154" s="2"/>
      <c r="G154" s="2"/>
      <c r="H154" s="24" t="n">
        <f aca="false">H66*($C$30+(INDEX(Assumptions!$F$44:$F$46,MATCH($C66,Assumptions!$A$44:$A$46,0))-$C$30)*MIN(1,H$45/$C$29))</f>
        <v>0</v>
      </c>
      <c r="I154" s="24" t="n">
        <f aca="false">I66*($C$30+(INDEX(Assumptions!$F$44:$F$46,MATCH($C66,Assumptions!$A$44:$A$46,0))-$C$30)*MIN(1,I$45/$C$29))</f>
        <v>0</v>
      </c>
      <c r="J154" s="24" t="n">
        <f aca="false">J66*($C$30+(INDEX(Assumptions!$F$44:$F$46,MATCH($C66,Assumptions!$A$44:$A$46,0))-$C$30)*MIN(1,J$45/$C$29))</f>
        <v>0</v>
      </c>
      <c r="K154" s="24" t="n">
        <f aca="false">K66*($C$30+(INDEX(Assumptions!$F$44:$F$46,MATCH($C66,Assumptions!$A$44:$A$46,0))-$C$30)*MIN(1,K$45/$C$29))</f>
        <v>0</v>
      </c>
      <c r="L154" s="24" t="n">
        <f aca="false">L66*($C$30+(INDEX(Assumptions!$F$44:$F$46,MATCH($C66,Assumptions!$A$44:$A$46,0))-$C$30)*MIN(1,L$45/$C$29))</f>
        <v>0</v>
      </c>
      <c r="M154" s="24" t="n">
        <f aca="false">M66*($C$30+(INDEX(Assumptions!$F$44:$F$46,MATCH($C66,Assumptions!$A$44:$A$46,0))-$C$30)*MIN(1,M$45/$C$29))</f>
        <v>0</v>
      </c>
      <c r="N154" s="24" t="n">
        <f aca="false">N66*($C$30+(INDEX(Assumptions!$F$44:$F$46,MATCH($C66,Assumptions!$A$44:$A$46,0))-$C$30)*MIN(1,N$45/$C$29))</f>
        <v>0</v>
      </c>
      <c r="O154" s="24" t="n">
        <f aca="false">O66*($C$30+(INDEX(Assumptions!$F$44:$F$46,MATCH($C66,Assumptions!$A$44:$A$46,0))-$C$30)*MIN(1,O$45/$C$29))</f>
        <v>0</v>
      </c>
      <c r="P154" s="24" t="n">
        <f aca="false">P66*($C$30+(INDEX(Assumptions!$F$44:$F$46,MATCH($C66,Assumptions!$A$44:$A$46,0))-$C$30)*MIN(1,P$45/$C$29))</f>
        <v>0</v>
      </c>
      <c r="Q154" s="24" t="n">
        <f aca="false">Q66*($C$30+(INDEX(Assumptions!$F$44:$F$46,MATCH($C66,Assumptions!$A$44:$A$46,0))-$C$30)*MIN(1,Q$45/$C$29))</f>
        <v>0</v>
      </c>
      <c r="R154" s="24" t="n">
        <f aca="false">R66*($C$30+(INDEX(Assumptions!$F$44:$F$46,MATCH($C66,Assumptions!$A$44:$A$46,0))-$C$30)*MIN(1,R$45/$C$29))</f>
        <v>0</v>
      </c>
      <c r="S154" s="24" t="n">
        <f aca="false">S66*($C$30+(INDEX(Assumptions!$F$44:$F$46,MATCH($C66,Assumptions!$A$44:$A$46,0))-$C$30)*MIN(1,S$45/$C$29))</f>
        <v>0</v>
      </c>
      <c r="T154" s="24" t="n">
        <f aca="false">T66*($C$30+(INDEX(Assumptions!$F$44:$F$46,MATCH($C66,Assumptions!$A$44:$A$46,0))-$C$30)*MIN(1,T$45/$C$29))</f>
        <v>0</v>
      </c>
      <c r="U154" s="24" t="n">
        <f aca="false">U66*($C$30+(INDEX(Assumptions!$F$44:$F$46,MATCH($C66,Assumptions!$A$44:$A$46,0))-$C$30)*MIN(1,U$45/$C$29))</f>
        <v>6.273</v>
      </c>
      <c r="V154" s="24" t="n">
        <f aca="false">V66*($C$30+(INDEX(Assumptions!$F$44:$F$46,MATCH($C66,Assumptions!$A$44:$A$46,0))-$C$30)*MIN(1,V$45/$C$29))</f>
        <v>12.546</v>
      </c>
      <c r="W154" s="24" t="n">
        <f aca="false">W66*($C$30+(INDEX(Assumptions!$F$44:$F$46,MATCH($C66,Assumptions!$A$44:$A$46,0))-$C$30)*MIN(1,W$45/$C$29))</f>
        <v>17.7735</v>
      </c>
      <c r="X154" s="24" t="n">
        <f aca="false">X66*($C$30+(INDEX(Assumptions!$F$44:$F$46,MATCH($C66,Assumptions!$A$44:$A$46,0))-$C$30)*MIN(1,X$45/$C$29))</f>
        <v>20.91</v>
      </c>
      <c r="Y154" s="24" t="n">
        <f aca="false">Y66*($C$30+(INDEX(Assumptions!$F$44:$F$46,MATCH($C66,Assumptions!$A$44:$A$46,0))-$C$30)*MIN(1,Y$45/$C$29))</f>
        <v>20.91</v>
      </c>
    </row>
    <row r="155" customFormat="false" ht="15" hidden="false" customHeight="false" outlineLevel="0" collapsed="false">
      <c r="A155" s="2" t="n">
        <f aca="false">A67</f>
        <v>20</v>
      </c>
      <c r="B155" s="2" t="str">
        <f aca="false">B67</f>
        <v>B</v>
      </c>
      <c r="C155" s="2" t="str">
        <f aca="false">C67</f>
        <v>Verified</v>
      </c>
      <c r="D155" s="2"/>
      <c r="E155" s="2"/>
      <c r="F155" s="2"/>
      <c r="G155" s="2"/>
      <c r="H155" s="24" t="n">
        <f aca="false">H67*($C$30+(INDEX(Assumptions!$F$44:$F$46,MATCH($C67,Assumptions!$A$44:$A$46,0))-$C$30)*MIN(1,H$45/$C$29))</f>
        <v>0</v>
      </c>
      <c r="I155" s="24" t="n">
        <f aca="false">I67*($C$30+(INDEX(Assumptions!$F$44:$F$46,MATCH($C67,Assumptions!$A$44:$A$46,0))-$C$30)*MIN(1,I$45/$C$29))</f>
        <v>0</v>
      </c>
      <c r="J155" s="24" t="n">
        <f aca="false">J67*($C$30+(INDEX(Assumptions!$F$44:$F$46,MATCH($C67,Assumptions!$A$44:$A$46,0))-$C$30)*MIN(1,J$45/$C$29))</f>
        <v>0</v>
      </c>
      <c r="K155" s="24" t="n">
        <f aca="false">K67*($C$30+(INDEX(Assumptions!$F$44:$F$46,MATCH($C67,Assumptions!$A$44:$A$46,0))-$C$30)*MIN(1,K$45/$C$29))</f>
        <v>0</v>
      </c>
      <c r="L155" s="24" t="n">
        <f aca="false">L67*($C$30+(INDEX(Assumptions!$F$44:$F$46,MATCH($C67,Assumptions!$A$44:$A$46,0))-$C$30)*MIN(1,L$45/$C$29))</f>
        <v>0</v>
      </c>
      <c r="M155" s="24" t="n">
        <f aca="false">M67*($C$30+(INDEX(Assumptions!$F$44:$F$46,MATCH($C67,Assumptions!$A$44:$A$46,0))-$C$30)*MIN(1,M$45/$C$29))</f>
        <v>0</v>
      </c>
      <c r="N155" s="24" t="n">
        <f aca="false">N67*($C$30+(INDEX(Assumptions!$F$44:$F$46,MATCH($C67,Assumptions!$A$44:$A$46,0))-$C$30)*MIN(1,N$45/$C$29))</f>
        <v>0</v>
      </c>
      <c r="O155" s="24" t="n">
        <f aca="false">O67*($C$30+(INDEX(Assumptions!$F$44:$F$46,MATCH($C67,Assumptions!$A$44:$A$46,0))-$C$30)*MIN(1,O$45/$C$29))</f>
        <v>0</v>
      </c>
      <c r="P155" s="24" t="n">
        <f aca="false">P67*($C$30+(INDEX(Assumptions!$F$44:$F$46,MATCH($C67,Assumptions!$A$44:$A$46,0))-$C$30)*MIN(1,P$45/$C$29))</f>
        <v>0</v>
      </c>
      <c r="Q155" s="24" t="n">
        <f aca="false">Q67*($C$30+(INDEX(Assumptions!$F$44:$F$46,MATCH($C67,Assumptions!$A$44:$A$46,0))-$C$30)*MIN(1,Q$45/$C$29))</f>
        <v>0</v>
      </c>
      <c r="R155" s="24" t="n">
        <f aca="false">R67*($C$30+(INDEX(Assumptions!$F$44:$F$46,MATCH($C67,Assumptions!$A$44:$A$46,0))-$C$30)*MIN(1,R$45/$C$29))</f>
        <v>0</v>
      </c>
      <c r="S155" s="24" t="n">
        <f aca="false">S67*($C$30+(INDEX(Assumptions!$F$44:$F$46,MATCH($C67,Assumptions!$A$44:$A$46,0))-$C$30)*MIN(1,S$45/$C$29))</f>
        <v>0</v>
      </c>
      <c r="T155" s="24" t="n">
        <f aca="false">T67*($C$30+(INDEX(Assumptions!$F$44:$F$46,MATCH($C67,Assumptions!$A$44:$A$46,0))-$C$30)*MIN(1,T$45/$C$29))</f>
        <v>0</v>
      </c>
      <c r="U155" s="24" t="n">
        <f aca="false">U67*($C$30+(INDEX(Assumptions!$F$44:$F$46,MATCH($C67,Assumptions!$A$44:$A$46,0))-$C$30)*MIN(1,U$45/$C$29))</f>
        <v>6.273</v>
      </c>
      <c r="V155" s="24" t="n">
        <f aca="false">V67*($C$30+(INDEX(Assumptions!$F$44:$F$46,MATCH($C67,Assumptions!$A$44:$A$46,0))-$C$30)*MIN(1,V$45/$C$29))</f>
        <v>12.546</v>
      </c>
      <c r="W155" s="24" t="n">
        <f aca="false">W67*($C$30+(INDEX(Assumptions!$F$44:$F$46,MATCH($C67,Assumptions!$A$44:$A$46,0))-$C$30)*MIN(1,W$45/$C$29))</f>
        <v>17.7735</v>
      </c>
      <c r="X155" s="24" t="n">
        <f aca="false">X67*($C$30+(INDEX(Assumptions!$F$44:$F$46,MATCH($C67,Assumptions!$A$44:$A$46,0))-$C$30)*MIN(1,X$45/$C$29))</f>
        <v>20.91</v>
      </c>
      <c r="Y155" s="24" t="n">
        <f aca="false">Y67*($C$30+(INDEX(Assumptions!$F$44:$F$46,MATCH($C67,Assumptions!$A$44:$A$46,0))-$C$30)*MIN(1,Y$45/$C$29))</f>
        <v>20.91</v>
      </c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" hidden="false" customHeight="false" outlineLevel="0" collapsed="false">
      <c r="A157" s="37" t="s">
        <v>203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customFormat="false" ht="15" hidden="false" customHeight="false" outlineLevel="0" collapsed="false">
      <c r="A158" s="5" t="s">
        <v>204</v>
      </c>
      <c r="B158" s="2"/>
      <c r="C158" s="2"/>
      <c r="D158" s="2"/>
      <c r="E158" s="2"/>
      <c r="F158" s="2"/>
      <c r="G158" s="2"/>
      <c r="H158" s="26" t="n">
        <f aca="false">COUNTIF($G$48:$G$67,"&lt;="&amp;H$45)</f>
        <v>4</v>
      </c>
      <c r="I158" s="26" t="n">
        <f aca="false">COUNTIF($G$48:$G$67,"&lt;="&amp;I$45)</f>
        <v>4</v>
      </c>
      <c r="J158" s="26" t="n">
        <f aca="false">COUNTIF($G$48:$G$67,"&lt;="&amp;J$45)</f>
        <v>6</v>
      </c>
      <c r="K158" s="26" t="n">
        <f aca="false">COUNTIF($G$48:$G$67,"&lt;="&amp;K$45)</f>
        <v>8</v>
      </c>
      <c r="L158" s="26" t="n">
        <f aca="false">COUNTIF($G$48:$G$67,"&lt;="&amp;L$45)</f>
        <v>9</v>
      </c>
      <c r="M158" s="26" t="n">
        <f aca="false">COUNTIF($G$48:$G$67,"&lt;="&amp;M$45)</f>
        <v>10</v>
      </c>
      <c r="N158" s="26" t="n">
        <f aca="false">COUNTIF($G$48:$G$67,"&lt;="&amp;N$45)</f>
        <v>12</v>
      </c>
      <c r="O158" s="26" t="n">
        <f aca="false">COUNTIF($G$48:$G$67,"&lt;="&amp;O$45)</f>
        <v>13</v>
      </c>
      <c r="P158" s="26" t="n">
        <f aca="false">COUNTIF($G$48:$G$67,"&lt;="&amp;P$45)</f>
        <v>14</v>
      </c>
      <c r="Q158" s="26" t="n">
        <f aca="false">COUNTIF($G$48:$G$67,"&lt;="&amp;Q$45)</f>
        <v>15</v>
      </c>
      <c r="R158" s="26" t="n">
        <f aca="false">COUNTIF($G$48:$G$67,"&lt;="&amp;R$45)</f>
        <v>16</v>
      </c>
      <c r="S158" s="26" t="n">
        <f aca="false">COUNTIF($G$48:$G$67,"&lt;="&amp;S$45)</f>
        <v>17</v>
      </c>
      <c r="T158" s="26" t="n">
        <f aca="false">COUNTIF($G$48:$G$67,"&lt;="&amp;T$45)</f>
        <v>18</v>
      </c>
      <c r="U158" s="26" t="n">
        <f aca="false">COUNTIF($G$48:$G$67,"&lt;="&amp;U$45)</f>
        <v>20</v>
      </c>
      <c r="V158" s="26" t="n">
        <f aca="false">COUNTIF($G$48:$G$67,"&lt;="&amp;V$45)</f>
        <v>20</v>
      </c>
      <c r="W158" s="26" t="n">
        <f aca="false">COUNTIF($G$48:$G$67,"&lt;="&amp;W$45)</f>
        <v>20</v>
      </c>
      <c r="X158" s="26" t="n">
        <f aca="false">COUNTIF($G$48:$G$67,"&lt;="&amp;X$45)</f>
        <v>20</v>
      </c>
      <c r="Y158" s="26" t="n">
        <f aca="false">COUNTIF($G$48:$G$67,"&lt;="&amp;Y$45)</f>
        <v>20</v>
      </c>
    </row>
    <row r="159" customFormat="false" ht="15" hidden="false" customHeight="false" outlineLevel="0" collapsed="false">
      <c r="A159" s="5" t="s">
        <v>205</v>
      </c>
      <c r="B159" s="2"/>
      <c r="C159" s="2"/>
      <c r="D159" s="2"/>
      <c r="E159" s="2"/>
      <c r="F159" s="2"/>
      <c r="G159" s="2"/>
      <c r="H159" s="26" t="n">
        <f aca="false">SUM(H48:H67)</f>
        <v>70</v>
      </c>
      <c r="I159" s="26" t="n">
        <f aca="false">SUM(I48:I67)</f>
        <v>73.3333333333333</v>
      </c>
      <c r="J159" s="26" t="n">
        <f aca="false">SUM(J48:J67)</f>
        <v>88.9066666666667</v>
      </c>
      <c r="K159" s="26" t="n">
        <f aca="false">SUM(K48:K67)</f>
        <v>116.72</v>
      </c>
      <c r="L159" s="26" t="n">
        <f aca="false">SUM(L48:L67)</f>
        <v>145.28</v>
      </c>
      <c r="M159" s="26" t="n">
        <f aca="false">SUM(M48:M67)</f>
        <v>174.35</v>
      </c>
      <c r="N159" s="26" t="n">
        <f aca="false">SUM(N48:N67)</f>
        <v>205.46</v>
      </c>
      <c r="O159" s="26" t="n">
        <f aca="false">SUM(O48:O67)</f>
        <v>233.935</v>
      </c>
      <c r="P159" s="26" t="n">
        <f aca="false">SUM(P48:P67)</f>
        <v>262.58</v>
      </c>
      <c r="Q159" s="26" t="n">
        <f aca="false">SUM(Q48:Q67)</f>
        <v>290.035</v>
      </c>
      <c r="R159" s="26" t="n">
        <f aca="false">SUM(R48:R67)</f>
        <v>315.025</v>
      </c>
      <c r="S159" s="26" t="n">
        <f aca="false">SUM(S48:S67)</f>
        <v>340.525</v>
      </c>
      <c r="T159" s="26" t="n">
        <f aca="false">SUM(T48:T67)</f>
        <v>366.025</v>
      </c>
      <c r="U159" s="26" t="n">
        <f aca="false">SUM(U48:U67)</f>
        <v>399.175</v>
      </c>
      <c r="V159" s="26" t="n">
        <f aca="false">SUM(V48:V67)</f>
        <v>424.675</v>
      </c>
      <c r="W159" s="26" t="n">
        <f aca="false">SUM(W48:W67)</f>
        <v>441.25</v>
      </c>
      <c r="X159" s="26" t="n">
        <f aca="false">SUM(X48:X67)</f>
        <v>448.9</v>
      </c>
      <c r="Y159" s="26" t="n">
        <f aca="false">SUM(Y48:Y67)</f>
        <v>448.9</v>
      </c>
    </row>
    <row r="160" customFormat="false" ht="15" hidden="false" customHeight="false" outlineLevel="0" collapsed="false">
      <c r="A160" s="5" t="s">
        <v>206</v>
      </c>
      <c r="B160" s="2"/>
      <c r="C160" s="2"/>
      <c r="D160" s="2"/>
      <c r="E160" s="2"/>
      <c r="F160" s="2"/>
      <c r="G160" s="2"/>
      <c r="H160" s="26" t="n">
        <f aca="false">H159</f>
        <v>70</v>
      </c>
      <c r="I160" s="26" t="n">
        <f aca="false">H160+I159</f>
        <v>143.333333333333</v>
      </c>
      <c r="J160" s="26" t="n">
        <f aca="false">I160+J159</f>
        <v>232.24</v>
      </c>
      <c r="K160" s="26" t="n">
        <f aca="false">J160+K159</f>
        <v>348.96</v>
      </c>
      <c r="L160" s="26" t="n">
        <f aca="false">K160+L159</f>
        <v>494.24</v>
      </c>
      <c r="M160" s="26" t="n">
        <f aca="false">L160+M159</f>
        <v>668.59</v>
      </c>
      <c r="N160" s="26" t="n">
        <f aca="false">M160+N159</f>
        <v>874.05</v>
      </c>
      <c r="O160" s="26" t="n">
        <f aca="false">N160+O159</f>
        <v>1107.985</v>
      </c>
      <c r="P160" s="26" t="n">
        <f aca="false">O160+P159</f>
        <v>1370.565</v>
      </c>
      <c r="Q160" s="26" t="n">
        <f aca="false">P160+Q159</f>
        <v>1660.6</v>
      </c>
      <c r="R160" s="26" t="n">
        <f aca="false">Q160+R159</f>
        <v>1975.625</v>
      </c>
      <c r="S160" s="26" t="n">
        <f aca="false">R160+S159</f>
        <v>2316.15</v>
      </c>
      <c r="T160" s="26" t="n">
        <f aca="false">S160+T159</f>
        <v>2682.175</v>
      </c>
      <c r="U160" s="26" t="n">
        <f aca="false">T160+U159</f>
        <v>3081.35</v>
      </c>
      <c r="V160" s="26" t="n">
        <f aca="false">U160+V159</f>
        <v>3506.025</v>
      </c>
      <c r="W160" s="26" t="n">
        <f aca="false">V160+W159</f>
        <v>3947.275</v>
      </c>
      <c r="X160" s="26" t="n">
        <f aca="false">W160+X159</f>
        <v>4396.175</v>
      </c>
      <c r="Y160" s="26" t="n">
        <f aca="false">X160+Y159</f>
        <v>4845.075</v>
      </c>
    </row>
    <row r="161" customFormat="false" ht="15" hidden="false" customHeight="false" outlineLevel="0" collapsed="false">
      <c r="A161" s="5" t="s">
        <v>207</v>
      </c>
      <c r="B161" s="2"/>
      <c r="C161" s="2"/>
      <c r="D161" s="2"/>
      <c r="E161" s="2"/>
      <c r="F161" s="2"/>
      <c r="G161" s="2"/>
      <c r="H161" s="23" t="n">
        <f aca="false">SUMPRODUCT(H48:H67,$D$48:$D$67)*$C$13</f>
        <v>595000</v>
      </c>
      <c r="I161" s="23" t="n">
        <f aca="false">SUMPRODUCT(I48:I67,$D$48:$D$67)*$C$13</f>
        <v>623333.333333333</v>
      </c>
      <c r="J161" s="23" t="n">
        <f aca="false">SUMPRODUCT(J48:J67,$D$48:$D$67)*$C$13</f>
        <v>798546.666666667</v>
      </c>
      <c r="K161" s="23" t="n">
        <f aca="false">SUMPRODUCT(K48:K67,$D$48:$D$67)*$C$13</f>
        <v>1120640</v>
      </c>
      <c r="L161" s="23" t="n">
        <f aca="false">SUMPRODUCT(L48:L67,$D$48:$D$67)*$C$13</f>
        <v>1463360</v>
      </c>
      <c r="M161" s="23" t="n">
        <f aca="false">SUMPRODUCT(M48:M67,$D$48:$D$67)*$C$13</f>
        <v>1785680</v>
      </c>
      <c r="N161" s="23" t="n">
        <f aca="false">SUMPRODUCT(N48:N67,$D$48:$D$67)*$C$13</f>
        <v>2079440</v>
      </c>
      <c r="O161" s="23" t="n">
        <f aca="false">SUMPRODUCT(O48:O67,$D$48:$D$67)*$C$13</f>
        <v>2319480</v>
      </c>
      <c r="P161" s="23" t="n">
        <f aca="false">SUMPRODUCT(P48:P67,$D$48:$D$67)*$C$13</f>
        <v>2537165</v>
      </c>
      <c r="Q161" s="23" t="n">
        <f aca="false">SUMPRODUCT(Q48:Q67,$D$48:$D$67)*$C$13</f>
        <v>2733855</v>
      </c>
      <c r="R161" s="23" t="n">
        <f aca="false">SUMPRODUCT(R48:R67,$D$48:$D$67)*$C$13</f>
        <v>2901262.5</v>
      </c>
      <c r="S161" s="23" t="n">
        <f aca="false">SUMPRODUCT(S48:S67,$D$48:$D$67)*$C$13</f>
        <v>3067012.5</v>
      </c>
      <c r="T161" s="23" t="n">
        <f aca="false">SUMPRODUCT(T48:T67,$D$48:$D$67)*$C$13</f>
        <v>3232762.5</v>
      </c>
      <c r="U161" s="23" t="n">
        <f aca="false">SUMPRODUCT(U48:U67,$D$48:$D$67)*$C$13</f>
        <v>3448237.5</v>
      </c>
      <c r="V161" s="23" t="n">
        <f aca="false">SUMPRODUCT(V48:V67,$D$48:$D$67)*$C$13</f>
        <v>3613987.5</v>
      </c>
      <c r="W161" s="23" t="n">
        <f aca="false">SUMPRODUCT(W48:W67,$D$48:$D$67)*$C$13</f>
        <v>3721725</v>
      </c>
      <c r="X161" s="23" t="n">
        <f aca="false">SUMPRODUCT(X48:X67,$D$48:$D$67)*$C$13</f>
        <v>3771450</v>
      </c>
      <c r="Y161" s="23" t="n">
        <f aca="false">SUMPRODUCT(Y48:Y67,$D$48:$D$67)*$C$13</f>
        <v>3771450</v>
      </c>
    </row>
    <row r="162" customFormat="false" ht="15" hidden="false" customHeight="false" outlineLevel="0" collapsed="false">
      <c r="A162" s="5" t="s">
        <v>208</v>
      </c>
      <c r="B162" s="2"/>
      <c r="C162" s="2"/>
      <c r="D162" s="2"/>
      <c r="E162" s="2"/>
      <c r="F162" s="2"/>
      <c r="G162" s="2"/>
      <c r="H162" s="23" t="n">
        <f aca="false">SUM(H70:H89)</f>
        <v>188912.5</v>
      </c>
      <c r="I162" s="23" t="n">
        <f aca="false">SUM(I70:I89)</f>
        <v>197908.333333333</v>
      </c>
      <c r="J162" s="23" t="n">
        <f aca="false">SUM(J70:J89)</f>
        <v>253538.566666667</v>
      </c>
      <c r="K162" s="23" t="n">
        <f aca="false">SUM(K70:K89)</f>
        <v>355803.2</v>
      </c>
      <c r="L162" s="23" t="n">
        <f aca="false">SUM(L70:L89)</f>
        <v>464616.8</v>
      </c>
      <c r="M162" s="23" t="n">
        <f aca="false">SUM(M70:M89)</f>
        <v>566953.4</v>
      </c>
      <c r="N162" s="23" t="n">
        <f aca="false">SUM(N70:N89)</f>
        <v>660222.2</v>
      </c>
      <c r="O162" s="23" t="n">
        <f aca="false">SUM(O70:O89)</f>
        <v>736434.9</v>
      </c>
      <c r="P162" s="23" t="n">
        <f aca="false">SUM(P70:P89)</f>
        <v>805740.2</v>
      </c>
      <c r="Q162" s="23" t="n">
        <f aca="false">SUM(Q70:Q89)</f>
        <v>856569.9</v>
      </c>
      <c r="R162" s="23" t="n">
        <f aca="false">SUM(R70:R89)</f>
        <v>888261</v>
      </c>
      <c r="S162" s="23" t="n">
        <f aca="false">SUM(S70:S89)</f>
        <v>906493.5</v>
      </c>
      <c r="T162" s="23" t="n">
        <f aca="false">SUM(T70:T89)</f>
        <v>929698.5</v>
      </c>
      <c r="U162" s="23" t="n">
        <f aca="false">SUM(U70:U89)</f>
        <v>965997.75</v>
      </c>
      <c r="V162" s="23" t="n">
        <f aca="false">SUM(V70:V89)</f>
        <v>995832.75</v>
      </c>
      <c r="W162" s="23" t="n">
        <f aca="false">SUM(W70:W89)</f>
        <v>1015225.5</v>
      </c>
      <c r="X162" s="23" t="n">
        <f aca="false">SUM(X70:X89)</f>
        <v>1024176</v>
      </c>
      <c r="Y162" s="23" t="n">
        <f aca="false">SUM(Y70:Y89)</f>
        <v>1024176</v>
      </c>
    </row>
    <row r="163" customFormat="false" ht="15" hidden="false" customHeight="false" outlineLevel="0" collapsed="false">
      <c r="A163" s="5" t="s">
        <v>209</v>
      </c>
      <c r="B163" s="2"/>
      <c r="C163" s="2"/>
      <c r="D163" s="2"/>
      <c r="E163" s="2"/>
      <c r="F163" s="2"/>
      <c r="G163" s="2"/>
      <c r="H163" s="28" t="n">
        <f aca="false">IF(H161=0,0,H162/H161)</f>
        <v>0.3175</v>
      </c>
      <c r="I163" s="28" t="n">
        <f aca="false">IF(I161=0,0,I162/I161)</f>
        <v>0.3175</v>
      </c>
      <c r="J163" s="28" t="n">
        <f aca="false">IF(J161=0,0,J162/J161)</f>
        <v>0.3175</v>
      </c>
      <c r="K163" s="28" t="n">
        <f aca="false">IF(K161=0,0,K162/K161)</f>
        <v>0.3175</v>
      </c>
      <c r="L163" s="28" t="n">
        <f aca="false">IF(L161=0,0,L162/L161)</f>
        <v>0.3175</v>
      </c>
      <c r="M163" s="28" t="n">
        <f aca="false">IF(M161=0,0,M162/M161)</f>
        <v>0.3175</v>
      </c>
      <c r="N163" s="28" t="n">
        <f aca="false">IF(N161=0,0,N162/N161)</f>
        <v>0.3175</v>
      </c>
      <c r="O163" s="28" t="n">
        <f aca="false">IF(O161=0,0,O162/O161)</f>
        <v>0.3175</v>
      </c>
      <c r="P163" s="28" t="n">
        <f aca="false">IF(P161=0,0,P162/P161)</f>
        <v>0.317575009902785</v>
      </c>
      <c r="Q163" s="28" t="n">
        <f aca="false">IF(Q161=0,0,Q162/Q161)</f>
        <v>0.313319433547134</v>
      </c>
      <c r="R163" s="28" t="n">
        <f aca="false">IF(R161=0,0,R162/R161)</f>
        <v>0.306163609807799</v>
      </c>
      <c r="S163" s="28" t="n">
        <f aca="false">IF(S161=0,0,S162/S161)</f>
        <v>0.295562375438639</v>
      </c>
      <c r="T163" s="28" t="n">
        <f aca="false">IF(T161=0,0,T162/T161)</f>
        <v>0.287586390896331</v>
      </c>
      <c r="U163" s="28" t="n">
        <f aca="false">IF(U161=0,0,U162/U161)</f>
        <v>0.280142464084913</v>
      </c>
      <c r="V163" s="28" t="n">
        <f aca="false">IF(V161=0,0,V162/V161)</f>
        <v>0.275549583389539</v>
      </c>
      <c r="W163" s="28" t="n">
        <f aca="false">IF(W161=0,0,W162/W161)</f>
        <v>0.272783588255446</v>
      </c>
      <c r="X163" s="28" t="n">
        <f aca="false">IF(X161=0,0,X162/X161)</f>
        <v>0.271560275225709</v>
      </c>
      <c r="Y163" s="28" t="n">
        <f aca="false">IF(Y161=0,0,Y162/Y161)</f>
        <v>0.271560275225709</v>
      </c>
    </row>
    <row r="164" customFormat="false" ht="15" hidden="false" customHeight="false" outlineLevel="0" collapsed="false">
      <c r="A164" s="5" t="s">
        <v>210</v>
      </c>
      <c r="B164" s="2"/>
      <c r="C164" s="2"/>
      <c r="D164" s="2"/>
      <c r="E164" s="2"/>
      <c r="F164" s="2"/>
      <c r="G164" s="2"/>
      <c r="H164" s="23" t="n">
        <f aca="false">SUM(H92:H111)</f>
        <v>94500</v>
      </c>
      <c r="I164" s="23" t="n">
        <f aca="false">SUM(I92:I111)</f>
        <v>99000</v>
      </c>
      <c r="J164" s="23" t="n">
        <f aca="false">SUM(J92:J111)</f>
        <v>120024</v>
      </c>
      <c r="K164" s="23" t="n">
        <f aca="false">SUM(K92:K111)</f>
        <v>157572</v>
      </c>
      <c r="L164" s="23" t="n">
        <f aca="false">SUM(L92:L111)</f>
        <v>196128</v>
      </c>
      <c r="M164" s="23" t="n">
        <f aca="false">SUM(M92:M111)</f>
        <v>235372.5</v>
      </c>
      <c r="N164" s="23" t="n">
        <f aca="false">SUM(N92:N111)</f>
        <v>277371</v>
      </c>
      <c r="O164" s="23" t="n">
        <f aca="false">SUM(O92:O111)</f>
        <v>315812.25</v>
      </c>
      <c r="P164" s="23" t="n">
        <f aca="false">SUM(P92:P111)</f>
        <v>347215.5</v>
      </c>
      <c r="Q164" s="23" t="n">
        <f aca="false">SUM(Q92:Q111)</f>
        <v>329682</v>
      </c>
      <c r="R164" s="23" t="n">
        <f aca="false">SUM(R92:R111)</f>
        <v>342330</v>
      </c>
      <c r="S164" s="23" t="n">
        <f aca="false">SUM(S92:S111)</f>
        <v>354060</v>
      </c>
      <c r="T164" s="23" t="n">
        <f aca="false">SUM(T92:T111)</f>
        <v>367320</v>
      </c>
      <c r="U164" s="23" t="n">
        <f aca="false">SUM(U92:U111)</f>
        <v>386445</v>
      </c>
      <c r="V164" s="23" t="n">
        <f aca="false">SUM(V92:V111)</f>
        <v>401745</v>
      </c>
      <c r="W164" s="23" t="n">
        <f aca="false">SUM(W92:W111)</f>
        <v>411690</v>
      </c>
      <c r="X164" s="23" t="n">
        <f aca="false">SUM(X92:X111)</f>
        <v>416280</v>
      </c>
      <c r="Y164" s="23" t="n">
        <f aca="false">SUM(Y92:Y111)</f>
        <v>416280</v>
      </c>
    </row>
    <row r="165" customFormat="false" ht="15" hidden="false" customHeight="false" outlineLevel="0" collapsed="false">
      <c r="A165" s="5" t="s">
        <v>211</v>
      </c>
      <c r="B165" s="2"/>
      <c r="C165" s="2"/>
      <c r="D165" s="2"/>
      <c r="E165" s="2"/>
      <c r="F165" s="2"/>
      <c r="G165" s="2"/>
      <c r="H165" s="23" t="n">
        <f aca="false">H162-H164</f>
        <v>94412.5</v>
      </c>
      <c r="I165" s="23" t="n">
        <f aca="false">I162-I164</f>
        <v>98908.3333333333</v>
      </c>
      <c r="J165" s="23" t="n">
        <f aca="false">J162-J164</f>
        <v>133514.566666667</v>
      </c>
      <c r="K165" s="23" t="n">
        <f aca="false">K162-K164</f>
        <v>198231.2</v>
      </c>
      <c r="L165" s="23" t="n">
        <f aca="false">L162-L164</f>
        <v>268488.8</v>
      </c>
      <c r="M165" s="23" t="n">
        <f aca="false">M162-M164</f>
        <v>331580.9</v>
      </c>
      <c r="N165" s="23" t="n">
        <f aca="false">N162-N164</f>
        <v>382851.2</v>
      </c>
      <c r="O165" s="23" t="n">
        <f aca="false">O162-O164</f>
        <v>420622.65</v>
      </c>
      <c r="P165" s="23" t="n">
        <f aca="false">P162-P164</f>
        <v>458524.7</v>
      </c>
      <c r="Q165" s="23" t="n">
        <f aca="false">Q162-Q164</f>
        <v>526887.9</v>
      </c>
      <c r="R165" s="23" t="n">
        <f aca="false">R162-R164</f>
        <v>545931</v>
      </c>
      <c r="S165" s="23" t="n">
        <f aca="false">S162-S164</f>
        <v>552433.5</v>
      </c>
      <c r="T165" s="23" t="n">
        <f aca="false">T162-T164</f>
        <v>562378.5</v>
      </c>
      <c r="U165" s="23" t="n">
        <f aca="false">U162-U164</f>
        <v>579552.75</v>
      </c>
      <c r="V165" s="23" t="n">
        <f aca="false">V162-V164</f>
        <v>594087.75</v>
      </c>
      <c r="W165" s="23" t="n">
        <f aca="false">W162-W164</f>
        <v>603535.5</v>
      </c>
      <c r="X165" s="23" t="n">
        <f aca="false">X162-X164</f>
        <v>607896</v>
      </c>
      <c r="Y165" s="23" t="n">
        <f aca="false">Y162-Y164</f>
        <v>607896</v>
      </c>
    </row>
    <row r="166" customFormat="false" ht="15" hidden="false" customHeight="false" outlineLevel="0" collapsed="false">
      <c r="A166" s="5" t="s">
        <v>212</v>
      </c>
      <c r="B166" s="2"/>
      <c r="C166" s="2"/>
      <c r="D166" s="2"/>
      <c r="E166" s="2"/>
      <c r="F166" s="2"/>
      <c r="G166" s="2"/>
      <c r="H166" s="23" t="n">
        <f aca="false">IF(H159=0,0,H165/H159)</f>
        <v>1348.75</v>
      </c>
      <c r="I166" s="23" t="n">
        <f aca="false">IF(I159=0,0,I165/I159)</f>
        <v>1348.75</v>
      </c>
      <c r="J166" s="23" t="n">
        <f aca="false">IF(J159=0,0,J165/J159)</f>
        <v>1501.73852729454</v>
      </c>
      <c r="K166" s="23" t="n">
        <f aca="false">IF(K159=0,0,K165/K159)</f>
        <v>1698.34818368746</v>
      </c>
      <c r="L166" s="23" t="n">
        <f aca="false">IF(L159=0,0,L165/L159)</f>
        <v>1848.0781938326</v>
      </c>
      <c r="M166" s="23" t="n">
        <f aca="false">IF(M159=0,0,M165/M159)</f>
        <v>1901.81187266992</v>
      </c>
      <c r="N166" s="23" t="n">
        <f aca="false">IF(N159=0,0,N165/N159)</f>
        <v>1863.38557383432</v>
      </c>
      <c r="O166" s="23" t="n">
        <f aca="false">IF(O159=0,0,O165/O159)</f>
        <v>1798.03214568149</v>
      </c>
      <c r="P166" s="23" t="n">
        <f aca="false">IF(P159=0,0,P165/P159)</f>
        <v>1746.22857795719</v>
      </c>
      <c r="Q166" s="23" t="n">
        <f aca="false">IF(Q159=0,0,Q165/Q159)</f>
        <v>1816.63557846467</v>
      </c>
      <c r="R166" s="23" t="n">
        <f aca="false">IF(R159=0,0,R165/R159)</f>
        <v>1732.97674787715</v>
      </c>
      <c r="S166" s="23" t="n">
        <f aca="false">IF(S159=0,0,S165/S159)</f>
        <v>1622.2993906468</v>
      </c>
      <c r="T166" s="23" t="n">
        <f aca="false">IF(T159=0,0,T165/T159)</f>
        <v>1536.4483300321</v>
      </c>
      <c r="U166" s="23" t="n">
        <f aca="false">IF(U159=0,0,U165/U159)</f>
        <v>1451.87637001315</v>
      </c>
      <c r="V166" s="23" t="n">
        <f aca="false">IF(V159=0,0,V165/V159)</f>
        <v>1398.92329428386</v>
      </c>
      <c r="W166" s="23" t="n">
        <f aca="false">IF(W159=0,0,W165/W159)</f>
        <v>1367.78583569405</v>
      </c>
      <c r="X166" s="23" t="n">
        <f aca="false">IF(X159=0,0,X165/X159)</f>
        <v>1354.19024281577</v>
      </c>
      <c r="Y166" s="23" t="n">
        <f aca="false">IF(Y159=0,0,Y165/Y159)</f>
        <v>1354.19024281577</v>
      </c>
    </row>
    <row r="167" customFormat="false" ht="15" hidden="false" customHeight="false" outlineLevel="0" collapsed="false">
      <c r="A167" s="5" t="s">
        <v>213</v>
      </c>
      <c r="B167" s="2"/>
      <c r="C167" s="2"/>
      <c r="D167" s="2"/>
      <c r="E167" s="2"/>
      <c r="F167" s="2"/>
      <c r="G167" s="2"/>
      <c r="H167" s="23" t="n">
        <f aca="false">($C$17+IF(H$45&gt;=$C$19,$C$18,0)+$C$20*((H$45&gt;=$C$21+$C$15)+(H$45&gt;=$C$22+$C$15)+(H$45&gt;=$C$23+$C$15)*(H$45&lt;$C$40)))*$C$16</f>
        <v>360000</v>
      </c>
      <c r="I167" s="23" t="n">
        <f aca="false">($C$17+IF(I$45&gt;=$C$19,$C$18,0)+$C$20*((I$45&gt;=$C$21+$C$15)+(I$45&gt;=$C$22+$C$15)+(I$45&gt;=$C$23+$C$15)*(I$45&lt;$C$40)))*$C$16</f>
        <v>450000</v>
      </c>
      <c r="J167" s="23" t="n">
        <f aca="false">($C$17+IF(J$45&gt;=$C$19,$C$18,0)+$C$20*((J$45&gt;=$C$21+$C$15)+(J$45&gt;=$C$22+$C$15)+(J$45&gt;=$C$23+$C$15)*(J$45&lt;$C$40)))*$C$16</f>
        <v>450000</v>
      </c>
      <c r="K167" s="23" t="n">
        <f aca="false">($C$17+IF(K$45&gt;=$C$19,$C$18,0)+$C$20*((K$45&gt;=$C$21+$C$15)+(K$45&gt;=$C$22+$C$15)+(K$45&gt;=$C$23+$C$15)*(K$45&lt;$C$40)))*$C$16</f>
        <v>450000</v>
      </c>
      <c r="L167" s="23" t="n">
        <f aca="false">($C$17+IF(L$45&gt;=$C$19,$C$18,0)+$C$20*((L$45&gt;=$C$21+$C$15)+(L$45&gt;=$C$22+$C$15)+(L$45&gt;=$C$23+$C$15)*(L$45&lt;$C$40)))*$C$16</f>
        <v>500000</v>
      </c>
      <c r="M167" s="23" t="n">
        <f aca="false">($C$17+IF(M$45&gt;=$C$19,$C$18,0)+$C$20*((M$45&gt;=$C$21+$C$15)+(M$45&gt;=$C$22+$C$15)+(M$45&gt;=$C$23+$C$15)*(M$45&lt;$C$40)))*$C$16</f>
        <v>500000</v>
      </c>
      <c r="N167" s="23" t="n">
        <f aca="false">($C$17+IF(N$45&gt;=$C$19,$C$18,0)+$C$20*((N$45&gt;=$C$21+$C$15)+(N$45&gt;=$C$22+$C$15)+(N$45&gt;=$C$23+$C$15)*(N$45&lt;$C$40)))*$C$16</f>
        <v>500000</v>
      </c>
      <c r="O167" s="23" t="n">
        <f aca="false">($C$17+IF(O$45&gt;=$C$19,$C$18,0)+$C$20*((O$45&gt;=$C$21+$C$15)+(O$45&gt;=$C$22+$C$15)+(O$45&gt;=$C$23+$C$15)*(O$45&lt;$C$40)))*$C$16</f>
        <v>550000</v>
      </c>
      <c r="P167" s="23" t="n">
        <f aca="false">($C$17+IF(P$45&gt;=$C$19,$C$18,0)+$C$20*((P$45&gt;=$C$21+$C$15)+(P$45&gt;=$C$22+$C$15)+(P$45&gt;=$C$23+$C$15)*(P$45&lt;$C$40)))*$C$16</f>
        <v>550000</v>
      </c>
      <c r="Q167" s="23" t="n">
        <f aca="false">($C$17+IF(Q$45&gt;=$C$19,$C$18,0)+$C$20*((Q$45&gt;=$C$21+$C$15)+(Q$45&gt;=$C$22+$C$15)+(Q$45&gt;=$C$23+$C$15)*(Q$45&lt;$C$40)))*$C$16</f>
        <v>550000</v>
      </c>
      <c r="R167" s="23" t="n">
        <f aca="false">($C$17+IF(R$45&gt;=$C$19,$C$18,0)+$C$20*((R$45&gt;=$C$21+$C$15)+(R$45&gt;=$C$22+$C$15)+(R$45&gt;=$C$23+$C$15)*(R$45&lt;$C$40)))*$C$16</f>
        <v>550000</v>
      </c>
      <c r="S167" s="23" t="n">
        <f aca="false">($C$17+IF(S$45&gt;=$C$19,$C$18,0)+$C$20*((S$45&gt;=$C$21+$C$15)+(S$45&gt;=$C$22+$C$15)+(S$45&gt;=$C$23+$C$15)*(S$45&lt;$C$40)))*$C$16</f>
        <v>550000</v>
      </c>
      <c r="T167" s="23" t="n">
        <f aca="false">($C$17+IF(T$45&gt;=$C$19,$C$18,0)+$C$20*((T$45&gt;=$C$21+$C$15)+(T$45&gt;=$C$22+$C$15)+(T$45&gt;=$C$23+$C$15)*(T$45&lt;$C$40)))*$C$16</f>
        <v>550000</v>
      </c>
      <c r="U167" s="23" t="n">
        <f aca="false">($C$17+IF(U$45&gt;=$C$19,$C$18,0)+$C$20*((U$45&gt;=$C$21+$C$15)+(U$45&gt;=$C$22+$C$15)+(U$45&gt;=$C$23+$C$15)*(U$45&lt;$C$40)))*$C$16</f>
        <v>550000</v>
      </c>
      <c r="V167" s="23" t="n">
        <f aca="false">($C$17+IF(V$45&gt;=$C$19,$C$18,0)+$C$20*((V$45&gt;=$C$21+$C$15)+(V$45&gt;=$C$22+$C$15)+(V$45&gt;=$C$23+$C$15)*(V$45&lt;$C$40)))*$C$16</f>
        <v>550000</v>
      </c>
      <c r="W167" s="23" t="n">
        <f aca="false">($C$17+IF(W$45&gt;=$C$19,$C$18,0)+$C$20*((W$45&gt;=$C$21+$C$15)+(W$45&gt;=$C$22+$C$15)+(W$45&gt;=$C$23+$C$15)*(W$45&lt;$C$40)))*$C$16</f>
        <v>550000</v>
      </c>
      <c r="X167" s="23" t="n">
        <f aca="false">($C$17+IF(X$45&gt;=$C$19,$C$18,0)+$C$20*((X$45&gt;=$C$21+$C$15)+(X$45&gt;=$C$22+$C$15)+(X$45&gt;=$C$23+$C$15)*(X$45&lt;$C$40)))*$C$16</f>
        <v>550000</v>
      </c>
      <c r="Y167" s="23" t="n">
        <f aca="false">($C$17+IF(Y$45&gt;=$C$19,$C$18,0)+$C$20*((Y$45&gt;=$C$21+$C$15)+(Y$45&gt;=$C$22+$C$15)+(Y$45&gt;=$C$23+$C$15)*(Y$45&lt;$C$40)))*$C$16</f>
        <v>550000</v>
      </c>
    </row>
    <row r="168" customFormat="false" ht="15" hidden="false" customHeight="false" outlineLevel="0" collapsed="false">
      <c r="A168" s="5" t="s">
        <v>214</v>
      </c>
      <c r="B168" s="2"/>
      <c r="C168" s="2"/>
      <c r="D168" s="2"/>
      <c r="E168" s="2"/>
      <c r="F168" s="2"/>
      <c r="G168" s="2"/>
      <c r="H168" s="24" t="n">
        <f aca="false">H159*$C$36*(1-H175)/(1-$C$32)</f>
        <v>28.35</v>
      </c>
      <c r="I168" s="24" t="n">
        <f aca="false">I159*$C$36*(1-I175)/(1-$C$32)</f>
        <v>29.7</v>
      </c>
      <c r="J168" s="24" t="n">
        <f aca="false">J159*$C$36*(1-J175)/(1-$C$32)</f>
        <v>36.0072</v>
      </c>
      <c r="K168" s="24" t="n">
        <f aca="false">K159*$C$36*(1-K175)/(1-$C$32)</f>
        <v>45.0981931034483</v>
      </c>
      <c r="L168" s="24" t="n">
        <f aca="false">L159*$C$36*(1-L175)/(1-$C$32)</f>
        <v>53.4279724137931</v>
      </c>
      <c r="M168" s="24" t="n">
        <f aca="false">M159*$C$36*(1-M175)/(1-$C$32)</f>
        <v>60.8721982758621</v>
      </c>
      <c r="N168" s="24" t="n">
        <f aca="false">N159*$C$36*(1-N175)/(1-$C$32)</f>
        <v>67.9080724137931</v>
      </c>
      <c r="O168" s="24" t="n">
        <f aca="false">O159*$C$36*(1-O175)/(1-$C$32)</f>
        <v>72.9635198275862</v>
      </c>
      <c r="P168" s="24" t="n">
        <f aca="false">P159*$C$36*(1-P175)/(1-$C$32)</f>
        <v>77.008375862069</v>
      </c>
      <c r="Q168" s="24" t="n">
        <f aca="false">Q159*$C$36*(1-Q175)/(1-$C$32)</f>
        <v>85.0602646551724</v>
      </c>
      <c r="R168" s="24" t="n">
        <f aca="false">R159*$C$36*(1-R175)/(1-$C$32)</f>
        <v>92.3892284482759</v>
      </c>
      <c r="S168" s="24" t="n">
        <f aca="false">S159*$C$36*(1-S175)/(1-$C$32)</f>
        <v>100.421962022412</v>
      </c>
      <c r="T168" s="24" t="n">
        <f aca="false">T159*$C$36*(1-T175)/(1-$C$32)</f>
        <v>108.964228599863</v>
      </c>
      <c r="U168" s="24" t="n">
        <f aca="false">U159*$C$36*(1-U175)/(1-$C$32)</f>
        <v>120.227129909982</v>
      </c>
      <c r="V168" s="24" t="n">
        <f aca="false">V159*$C$36*(1-V175)/(1-$C$32)</f>
        <v>129.698772917516</v>
      </c>
      <c r="W168" s="24" t="n">
        <f aca="false">W159*$C$36*(1-W175)/(1-$C$32)</f>
        <v>136.620384963459</v>
      </c>
      <c r="X168" s="24" t="n">
        <f aca="false">X159*$C$36*(1-X175)/(1-$C$32)</f>
        <v>141.38325775036</v>
      </c>
      <c r="Y168" s="24" t="n">
        <f aca="false">Y159*$C$36*(1-Y175)/(1-$C$32)</f>
        <v>143.057518119333</v>
      </c>
    </row>
    <row r="169" customFormat="false" ht="15" hidden="false" customHeight="false" outlineLevel="0" collapsed="false">
      <c r="A169" s="5" t="s">
        <v>215</v>
      </c>
      <c r="B169" s="2"/>
      <c r="C169" s="2"/>
      <c r="D169" s="2"/>
      <c r="E169" s="2"/>
      <c r="F169" s="2"/>
      <c r="G169" s="2"/>
      <c r="H169" s="23" t="n">
        <f aca="false">H168*$C$35*(1-$C$37)</f>
        <v>8505</v>
      </c>
      <c r="I169" s="23" t="n">
        <f aca="false">I168*$C$35*(1-$C$37)</f>
        <v>8910</v>
      </c>
      <c r="J169" s="23" t="n">
        <f aca="false">J168*$C$35*(1-$C$37)</f>
        <v>10802.16</v>
      </c>
      <c r="K169" s="23" t="n">
        <f aca="false">K168*$C$35*(1-$C$37)</f>
        <v>13529.4579310345</v>
      </c>
      <c r="L169" s="23" t="n">
        <f aca="false">L168*$C$35*(1-$C$37)</f>
        <v>16028.3917241379</v>
      </c>
      <c r="M169" s="23" t="n">
        <f aca="false">M168*$C$35*(1-$C$37)</f>
        <v>18261.6594827586</v>
      </c>
      <c r="N169" s="23" t="n">
        <f aca="false">N168*$C$35*(1-$C$37)</f>
        <v>20372.4217241379</v>
      </c>
      <c r="O169" s="23" t="n">
        <f aca="false">O168*$C$35*(1-$C$37)</f>
        <v>21889.0559482759</v>
      </c>
      <c r="P169" s="23" t="n">
        <f aca="false">P168*$C$35*(1-$C$37)</f>
        <v>23102.5127586207</v>
      </c>
      <c r="Q169" s="23" t="n">
        <f aca="false">Q168*$C$35*(1-$C$37)</f>
        <v>25518.0793965517</v>
      </c>
      <c r="R169" s="23" t="n">
        <f aca="false">R168*$C$35*(1-$C$37)</f>
        <v>27716.7685344828</v>
      </c>
      <c r="S169" s="23" t="n">
        <f aca="false">S168*$C$35*(1-$C$37)</f>
        <v>30126.5886067235</v>
      </c>
      <c r="T169" s="23" t="n">
        <f aca="false">T168*$C$35*(1-$C$37)</f>
        <v>32689.2685799588</v>
      </c>
      <c r="U169" s="23" t="n">
        <f aca="false">U168*$C$35*(1-$C$37)</f>
        <v>36068.1389729947</v>
      </c>
      <c r="V169" s="23" t="n">
        <f aca="false">V168*$C$35*(1-$C$37)</f>
        <v>38909.6318752547</v>
      </c>
      <c r="W169" s="23" t="n">
        <f aca="false">W168*$C$35*(1-$C$37)</f>
        <v>40986.1154890376</v>
      </c>
      <c r="X169" s="23" t="n">
        <f aca="false">X168*$C$35*(1-$C$37)</f>
        <v>42414.977325108</v>
      </c>
      <c r="Y169" s="23" t="n">
        <f aca="false">Y168*$C$35*(1-$C$37)</f>
        <v>42917.2554357998</v>
      </c>
    </row>
    <row r="170" customFormat="false" ht="15" hidden="false" customHeight="false" outlineLevel="0" collapsed="false">
      <c r="A170" s="5" t="s">
        <v>216</v>
      </c>
      <c r="B170" s="2"/>
      <c r="C170" s="2"/>
      <c r="D170" s="2"/>
      <c r="E170" s="2"/>
      <c r="F170" s="2"/>
      <c r="G170" s="2"/>
      <c r="H170" s="23" t="n">
        <f aca="false">H165-H167-H169</f>
        <v>-274092.5</v>
      </c>
      <c r="I170" s="23" t="n">
        <f aca="false">I165-I167-I169</f>
        <v>-360001.666666667</v>
      </c>
      <c r="J170" s="23" t="n">
        <f aca="false">J165-J167-J169</f>
        <v>-327287.593333333</v>
      </c>
      <c r="K170" s="23" t="n">
        <f aca="false">K165-K167-K169</f>
        <v>-265298.257931035</v>
      </c>
      <c r="L170" s="23" t="n">
        <f aca="false">L165-L167-L169</f>
        <v>-247539.591724138</v>
      </c>
      <c r="M170" s="23" t="n">
        <f aca="false">M165-M167-M169</f>
        <v>-186680.759482759</v>
      </c>
      <c r="N170" s="23" t="n">
        <f aca="false">N165-N167-N169</f>
        <v>-137521.221724138</v>
      </c>
      <c r="O170" s="23" t="n">
        <f aca="false">O165-O167-O169</f>
        <v>-151266.405948276</v>
      </c>
      <c r="P170" s="23" t="n">
        <f aca="false">P165-P167-P169</f>
        <v>-114577.812758621</v>
      </c>
      <c r="Q170" s="23" t="n">
        <f aca="false">Q165-Q167-Q169</f>
        <v>-48630.1793965517</v>
      </c>
      <c r="R170" s="23" t="n">
        <f aca="false">R165-R167-R169</f>
        <v>-31785.7685344828</v>
      </c>
      <c r="S170" s="23" t="n">
        <f aca="false">S165-S167-S169</f>
        <v>-27693.0886067235</v>
      </c>
      <c r="T170" s="23" t="n">
        <f aca="false">T165-T167-T169</f>
        <v>-20310.7685799588</v>
      </c>
      <c r="U170" s="23" t="n">
        <f aca="false">U165-U167-U169</f>
        <v>-6515.38897299473</v>
      </c>
      <c r="V170" s="23" t="n">
        <f aca="false">V165-V167-V169</f>
        <v>5178.11812474528</v>
      </c>
      <c r="W170" s="23" t="n">
        <f aca="false">W165-W167-W169</f>
        <v>12549.3845109624</v>
      </c>
      <c r="X170" s="23" t="n">
        <f aca="false">X165-X167-X169</f>
        <v>15481.022674892</v>
      </c>
      <c r="Y170" s="23" t="n">
        <f aca="false">Y165-Y167-Y169</f>
        <v>14978.7445642002</v>
      </c>
    </row>
    <row r="171" customFormat="false" ht="15" hidden="false" customHeight="false" outlineLevel="0" collapsed="false">
      <c r="A171" s="5" t="s">
        <v>217</v>
      </c>
      <c r="B171" s="2"/>
      <c r="C171" s="2"/>
      <c r="D171" s="2"/>
      <c r="E171" s="2"/>
      <c r="F171" s="2"/>
      <c r="G171" s="2"/>
      <c r="H171" s="23" t="n">
        <f aca="false">SUM(H114:H133)</f>
        <v>240000</v>
      </c>
      <c r="I171" s="23" t="n">
        <f aca="false">SUM(I114:I133)</f>
        <v>240000</v>
      </c>
      <c r="J171" s="23" t="n">
        <f aca="false">SUM(J114:J133)</f>
        <v>240000</v>
      </c>
      <c r="K171" s="23" t="n">
        <f aca="false">SUM(K114:K133)</f>
        <v>120000</v>
      </c>
      <c r="L171" s="23" t="n">
        <f aca="false">SUM(L114:L133)</f>
        <v>120000</v>
      </c>
      <c r="M171" s="23" t="n">
        <f aca="false">SUM(M114:M133)</f>
        <v>240000</v>
      </c>
      <c r="N171" s="23" t="n">
        <f aca="false">SUM(N114:N133)</f>
        <v>120000</v>
      </c>
      <c r="O171" s="23" t="n">
        <f aca="false">SUM(O114:O133)</f>
        <v>70000</v>
      </c>
      <c r="P171" s="23" t="n">
        <f aca="false">SUM(P114:P133)</f>
        <v>70000</v>
      </c>
      <c r="Q171" s="23" t="n">
        <f aca="false">SUM(Q114:Q133)</f>
        <v>70000</v>
      </c>
      <c r="R171" s="23" t="n">
        <f aca="false">SUM(R114:R133)</f>
        <v>45000</v>
      </c>
      <c r="S171" s="23" t="n">
        <f aca="false">SUM(S114:S133)</f>
        <v>45000</v>
      </c>
      <c r="T171" s="23" t="n">
        <f aca="false">SUM(T114:T133)</f>
        <v>90000</v>
      </c>
      <c r="U171" s="23" t="n">
        <f aca="false">SUM(U114:U133)</f>
        <v>0</v>
      </c>
      <c r="V171" s="23" t="n">
        <f aca="false">SUM(V114:V133)</f>
        <v>0</v>
      </c>
      <c r="W171" s="23" t="n">
        <f aca="false">SUM(W114:W133)</f>
        <v>0</v>
      </c>
      <c r="X171" s="23" t="n">
        <f aca="false">SUM(X114:X133)</f>
        <v>0</v>
      </c>
      <c r="Y171" s="23" t="n">
        <f aca="false">SUM(Y114:Y133)</f>
        <v>0</v>
      </c>
    </row>
    <row r="172" customFormat="false" ht="15" hidden="false" customHeight="false" outlineLevel="0" collapsed="false">
      <c r="A172" s="5" t="s">
        <v>218</v>
      </c>
      <c r="B172" s="2"/>
      <c r="C172" s="2"/>
      <c r="D172" s="2"/>
      <c r="E172" s="2"/>
      <c r="F172" s="2"/>
      <c r="G172" s="2"/>
      <c r="H172" s="23" t="n">
        <f aca="false">H170-H171</f>
        <v>-514092.5</v>
      </c>
      <c r="I172" s="23" t="n">
        <f aca="false">I170-I171</f>
        <v>-600001.666666667</v>
      </c>
      <c r="J172" s="23" t="n">
        <f aca="false">J170-J171</f>
        <v>-567287.593333333</v>
      </c>
      <c r="K172" s="23" t="n">
        <f aca="false">K170-K171</f>
        <v>-385298.257931035</v>
      </c>
      <c r="L172" s="23" t="n">
        <f aca="false">L170-L171</f>
        <v>-367539.591724138</v>
      </c>
      <c r="M172" s="23" t="n">
        <f aca="false">M170-M171</f>
        <v>-426680.759482759</v>
      </c>
      <c r="N172" s="23" t="n">
        <f aca="false">N170-N171</f>
        <v>-257521.221724138</v>
      </c>
      <c r="O172" s="23" t="n">
        <f aca="false">O170-O171</f>
        <v>-221266.405948276</v>
      </c>
      <c r="P172" s="23" t="n">
        <f aca="false">P170-P171</f>
        <v>-184577.812758621</v>
      </c>
      <c r="Q172" s="23" t="n">
        <f aca="false">Q170-Q171</f>
        <v>-118630.179396552</v>
      </c>
      <c r="R172" s="23" t="n">
        <f aca="false">R170-R171</f>
        <v>-76785.7685344828</v>
      </c>
      <c r="S172" s="23" t="n">
        <f aca="false">S170-S171</f>
        <v>-72693.0886067235</v>
      </c>
      <c r="T172" s="23" t="n">
        <f aca="false">T170-T171</f>
        <v>-110310.768579959</v>
      </c>
      <c r="U172" s="23" t="n">
        <f aca="false">U170-U171</f>
        <v>-6515.38897299473</v>
      </c>
      <c r="V172" s="23" t="n">
        <f aca="false">V170-V171</f>
        <v>5178.11812474528</v>
      </c>
      <c r="W172" s="23" t="n">
        <f aca="false">W170-W171</f>
        <v>12549.3845109624</v>
      </c>
      <c r="X172" s="23" t="n">
        <f aca="false">X170-X171</f>
        <v>15481.022674892</v>
      </c>
      <c r="Y172" s="23" t="n">
        <f aca="false">Y170-Y171</f>
        <v>14978.7445642002</v>
      </c>
    </row>
    <row r="173" customFormat="false" ht="15" hidden="false" customHeight="false" outlineLevel="0" collapsed="false">
      <c r="A173" s="5" t="s">
        <v>219</v>
      </c>
      <c r="B173" s="2"/>
      <c r="C173" s="2"/>
      <c r="D173" s="2"/>
      <c r="E173" s="2"/>
      <c r="F173" s="2"/>
      <c r="G173" s="2"/>
      <c r="H173" s="23" t="n">
        <f aca="false">$C$33+H172</f>
        <v>11485907.5</v>
      </c>
      <c r="I173" s="23" t="n">
        <f aca="false">H173+I172</f>
        <v>10885905.8333333</v>
      </c>
      <c r="J173" s="23" t="n">
        <f aca="false">I173+J172</f>
        <v>10318618.24</v>
      </c>
      <c r="K173" s="23" t="n">
        <f aca="false">J173+K172</f>
        <v>9933319.98206897</v>
      </c>
      <c r="L173" s="23" t="n">
        <f aca="false">K173+L172</f>
        <v>9565780.39034483</v>
      </c>
      <c r="M173" s="23" t="n">
        <f aca="false">L173+M172</f>
        <v>9139099.63086207</v>
      </c>
      <c r="N173" s="23" t="n">
        <f aca="false">M173+N172</f>
        <v>8881578.40913793</v>
      </c>
      <c r="O173" s="23" t="n">
        <f aca="false">N173+O172</f>
        <v>8660312.00318966</v>
      </c>
      <c r="P173" s="23" t="n">
        <f aca="false">O173+P172</f>
        <v>8475734.19043103</v>
      </c>
      <c r="Q173" s="23" t="n">
        <f aca="false">P173+Q172</f>
        <v>8357104.01103448</v>
      </c>
      <c r="R173" s="23" t="n">
        <f aca="false">Q173+R172</f>
        <v>8280318.2425</v>
      </c>
      <c r="S173" s="23" t="n">
        <f aca="false">R173+S172</f>
        <v>8207625.15389328</v>
      </c>
      <c r="T173" s="23" t="n">
        <f aca="false">S173+T172</f>
        <v>8097314.38531332</v>
      </c>
      <c r="U173" s="23" t="n">
        <f aca="false">T173+U172</f>
        <v>8090798.99634032</v>
      </c>
      <c r="V173" s="23" t="n">
        <f aca="false">U173+V172</f>
        <v>8095977.11446507</v>
      </c>
      <c r="W173" s="23" t="n">
        <f aca="false">V173+W172</f>
        <v>8108526.49897603</v>
      </c>
      <c r="X173" s="23" t="n">
        <f aca="false">W173+X172</f>
        <v>8124007.52165092</v>
      </c>
      <c r="Y173" s="23" t="n">
        <f aca="false">X173+Y172</f>
        <v>8138986.26621512</v>
      </c>
    </row>
    <row r="174" customFormat="false" ht="15" hidden="false" customHeight="false" outlineLevel="0" collapsed="false">
      <c r="A174" s="5" t="s">
        <v>220</v>
      </c>
      <c r="B174" s="2"/>
      <c r="C174" s="2"/>
      <c r="D174" s="2"/>
      <c r="E174" s="2"/>
      <c r="F174" s="2"/>
      <c r="G174" s="2"/>
      <c r="H174" s="28" t="n">
        <f aca="false">IF(H159=0,0,SUM(H136:H155)/H159)</f>
        <v>0.806666666666667</v>
      </c>
      <c r="I174" s="28" t="n">
        <f aca="false">IF(I159=0,0,SUM(I136:I155)/I159)</f>
        <v>0.833333333333333</v>
      </c>
      <c r="J174" s="28" t="n">
        <f aca="false">IF(J159=0,0,SUM(J136:J155)/J159)</f>
        <v>0.86</v>
      </c>
      <c r="K174" s="28" t="n">
        <f aca="false">IF(K159=0,0,SUM(K136:K155)/K159)</f>
        <v>0.886666666666667</v>
      </c>
      <c r="L174" s="28" t="n">
        <f aca="false">IF(L159=0,0,SUM(L136:L155)/L159)</f>
        <v>0.913333333333333</v>
      </c>
      <c r="M174" s="28" t="n">
        <f aca="false">IF(M159=0,0,SUM(M136:M155)/M159)</f>
        <v>0.94</v>
      </c>
      <c r="N174" s="28" t="n">
        <f aca="false">IF(N159=0,0,SUM(N136:N155)/N159)</f>
        <v>0.94</v>
      </c>
      <c r="O174" s="28" t="n">
        <f aca="false">IF(O159=0,0,SUM(O136:O155)/O159)</f>
        <v>0.94</v>
      </c>
      <c r="P174" s="28" t="n">
        <f aca="false">IF(P159=0,0,SUM(P136:P155)/P159)</f>
        <v>0.937669281742707</v>
      </c>
      <c r="Q174" s="28" t="n">
        <f aca="false">IF(Q159=0,0,SUM(Q136:Q155)/Q159)</f>
        <v>0.933669729515403</v>
      </c>
      <c r="R174" s="28" t="n">
        <f aca="false">IF(R159=0,0,SUM(R136:R155)/R159)</f>
        <v>0.928667566066185</v>
      </c>
      <c r="S174" s="28" t="n">
        <f aca="false">IF(S159=0,0,SUM(S136:S155)/S159)</f>
        <v>0.922626826224213</v>
      </c>
      <c r="T174" s="28" t="n">
        <f aca="false">IF(T159=0,0,SUM(T136:T155)/T159)</f>
        <v>0.916591762857728</v>
      </c>
      <c r="U174" s="28" t="n">
        <f aca="false">IF(U159=0,0,SUM(U136:U155)/U159)</f>
        <v>0.908953466524707</v>
      </c>
      <c r="V174" s="28" t="n">
        <f aca="false">IF(V159=0,0,SUM(V136:V155)/V159)</f>
        <v>0.903612174015424</v>
      </c>
      <c r="W174" s="28" t="n">
        <f aca="false">IF(W159=0,0,SUM(W136:W155)/W159)</f>
        <v>0.900471388101983</v>
      </c>
      <c r="X174" s="28" t="n">
        <f aca="false">IF(X159=0,0,SUM(X136:X155)/X159)</f>
        <v>0.899100022276676</v>
      </c>
      <c r="Y174" s="28" t="n">
        <f aca="false">IF(Y159=0,0,SUM(Y136:Y155)/Y159)</f>
        <v>0.899100022276676</v>
      </c>
    </row>
    <row r="175" customFormat="false" ht="15" hidden="false" customHeight="false" outlineLevel="0" collapsed="false">
      <c r="A175" s="5" t="s">
        <v>221</v>
      </c>
      <c r="B175" s="2"/>
      <c r="C175" s="2"/>
      <c r="D175" s="2"/>
      <c r="E175" s="2"/>
      <c r="F175" s="2"/>
      <c r="G175" s="2"/>
      <c r="H175" s="28" t="n">
        <f aca="false">$C$32</f>
        <v>0.42</v>
      </c>
      <c r="I175" s="28" t="n">
        <f aca="false">$C$32</f>
        <v>0.42</v>
      </c>
      <c r="J175" s="28" t="n">
        <f aca="false">$C$32</f>
        <v>0.42</v>
      </c>
      <c r="K175" s="28" t="n">
        <f aca="false">$C$32+$C$31*(H174-$C$30)</f>
        <v>0.446666666666667</v>
      </c>
      <c r="L175" s="28" t="n">
        <f aca="false">$C$32+$C$31*(I174-$C$30)</f>
        <v>0.473333333333333</v>
      </c>
      <c r="M175" s="28" t="n">
        <f aca="false">$C$32+$C$31*(J174-$C$30)</f>
        <v>0.5</v>
      </c>
      <c r="N175" s="28" t="n">
        <f aca="false">$C$32+$C$31*(K174-$C$30)</f>
        <v>0.526666666666666</v>
      </c>
      <c r="O175" s="28" t="n">
        <f aca="false">$C$32+$C$31*(L174-$C$30)</f>
        <v>0.553333333333333</v>
      </c>
      <c r="P175" s="28" t="n">
        <f aca="false">$C$32+$C$31*(M174-$C$30)</f>
        <v>0.58</v>
      </c>
      <c r="Q175" s="28" t="n">
        <f aca="false">$C$32+$C$31*(N174-$C$30)</f>
        <v>0.58</v>
      </c>
      <c r="R175" s="28" t="n">
        <f aca="false">$C$32+$C$31*(O174-$C$30)</f>
        <v>0.58</v>
      </c>
      <c r="S175" s="28" t="n">
        <f aca="false">$C$32+$C$31*(P174-$C$30)</f>
        <v>0.577669281742707</v>
      </c>
      <c r="T175" s="28" t="n">
        <f aca="false">$C$32+$C$31*(Q174-$C$30)</f>
        <v>0.573669729515403</v>
      </c>
      <c r="U175" s="28" t="n">
        <f aca="false">$C$32+$C$31*(R174-$C$30)</f>
        <v>0.568667566066185</v>
      </c>
      <c r="V175" s="28" t="n">
        <f aca="false">$C$32+$C$31*(S174-$C$30)</f>
        <v>0.562626826224213</v>
      </c>
      <c r="W175" s="28" t="n">
        <f aca="false">$C$32+$C$31*(T174-$C$30)</f>
        <v>0.556591762857728</v>
      </c>
      <c r="X175" s="28" t="n">
        <f aca="false">$C$32+$C$31*(U174-$C$30)</f>
        <v>0.548953466524707</v>
      </c>
      <c r="Y175" s="28" t="n">
        <f aca="false">$C$32+$C$31*(V174-$C$30)</f>
        <v>0.543612174015423</v>
      </c>
    </row>
    <row r="176" customFormat="false" ht="15" hidden="false" customHeight="false" outlineLevel="0" collapsed="false">
      <c r="A176" s="5" t="s">
        <v>222</v>
      </c>
      <c r="B176" s="2"/>
      <c r="C176" s="2"/>
      <c r="D176" s="2"/>
      <c r="E176" s="2"/>
      <c r="F176" s="2"/>
      <c r="G176" s="2"/>
      <c r="H176" s="26" t="n">
        <f aca="false">IF(H170&gt;=0,H$45,99)</f>
        <v>99</v>
      </c>
      <c r="I176" s="26" t="n">
        <f aca="false">IF(I170&gt;=0,I$45,99)</f>
        <v>99</v>
      </c>
      <c r="J176" s="26" t="n">
        <f aca="false">IF(J170&gt;=0,J$45,99)</f>
        <v>99</v>
      </c>
      <c r="K176" s="26" t="n">
        <f aca="false">IF(K170&gt;=0,K$45,99)</f>
        <v>99</v>
      </c>
      <c r="L176" s="26" t="n">
        <f aca="false">IF(L170&gt;=0,L$45,99)</f>
        <v>99</v>
      </c>
      <c r="M176" s="26" t="n">
        <f aca="false">IF(M170&gt;=0,M$45,99)</f>
        <v>99</v>
      </c>
      <c r="N176" s="26" t="n">
        <f aca="false">IF(N170&gt;=0,N$45,99)</f>
        <v>99</v>
      </c>
      <c r="O176" s="26" t="n">
        <f aca="false">IF(O170&gt;=0,O$45,99)</f>
        <v>99</v>
      </c>
      <c r="P176" s="26" t="n">
        <f aca="false">IF(P170&gt;=0,P$45,99)</f>
        <v>99</v>
      </c>
      <c r="Q176" s="26" t="n">
        <f aca="false">IF(Q170&gt;=0,Q$45,99)</f>
        <v>99</v>
      </c>
      <c r="R176" s="26" t="n">
        <f aca="false">IF(R170&gt;=0,R$45,99)</f>
        <v>99</v>
      </c>
      <c r="S176" s="26" t="n">
        <f aca="false">IF(S170&gt;=0,S$45,99)</f>
        <v>99</v>
      </c>
      <c r="T176" s="26" t="n">
        <f aca="false">IF(T170&gt;=0,T$45,99)</f>
        <v>99</v>
      </c>
      <c r="U176" s="26" t="n">
        <f aca="false">IF(U170&gt;=0,U$45,99)</f>
        <v>99</v>
      </c>
      <c r="V176" s="26" t="n">
        <f aca="false">IF(V170&gt;=0,V$45,99)</f>
        <v>15</v>
      </c>
      <c r="W176" s="26" t="n">
        <f aca="false">IF(W170&gt;=0,W$45,99)</f>
        <v>16</v>
      </c>
      <c r="X176" s="26" t="n">
        <f aca="false">IF(X170&gt;=0,X$45,99)</f>
        <v>17</v>
      </c>
      <c r="Y176" s="26" t="n">
        <f aca="false">IF(Y170&gt;=0,Y$45,99)</f>
        <v>18</v>
      </c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" hidden="false" customHeight="false" outlineLevel="0" collapsed="false">
      <c r="A178" s="37" t="s">
        <v>223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customFormat="false" ht="15" hidden="false" customHeight="false" outlineLevel="0" collapsed="false">
      <c r="A179" s="5" t="s">
        <v>224</v>
      </c>
      <c r="B179" s="2"/>
      <c r="C179" s="5" t="n">
        <f aca="false">IF(MIN(H176:Y176)=99,"Not by M18",MIN(H176:Y176))</f>
        <v>15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" hidden="false" customHeight="false" outlineLevel="0" collapsed="false">
      <c r="A180" s="5" t="s">
        <v>225</v>
      </c>
      <c r="B180" s="2"/>
      <c r="C180" s="38" t="n">
        <f aca="false">S158</f>
        <v>17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" hidden="false" customHeight="false" outlineLevel="0" collapsed="false">
      <c r="A181" s="5" t="s">
        <v>226</v>
      </c>
      <c r="B181" s="2"/>
      <c r="C181" s="38" t="n">
        <f aca="false">S160</f>
        <v>2316.15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" hidden="false" customHeight="false" outlineLevel="0" collapsed="false">
      <c r="A182" s="5" t="s">
        <v>227</v>
      </c>
      <c r="B182" s="2"/>
      <c r="C182" s="39" t="n">
        <f aca="false">S174</f>
        <v>0.922626826224213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" hidden="false" customHeight="false" outlineLevel="0" collapsed="false">
      <c r="A183" s="5" t="s">
        <v>228</v>
      </c>
      <c r="B183" s="2"/>
      <c r="C183" s="39" t="n">
        <f aca="false">S175</f>
        <v>0.577669281742707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" hidden="false" customHeight="false" outlineLevel="0" collapsed="false">
      <c r="A184" s="5" t="s">
        <v>229</v>
      </c>
      <c r="B184" s="2"/>
      <c r="C184" s="40" t="n">
        <f aca="false">S170</f>
        <v>-27693.0886067235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" hidden="false" customHeight="false" outlineLevel="0" collapsed="false">
      <c r="A185" s="5" t="s">
        <v>230</v>
      </c>
      <c r="B185" s="2"/>
      <c r="C185" s="40" t="n">
        <f aca="false">Y170</f>
        <v>14978.7445642002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" hidden="false" customHeight="false" outlineLevel="0" collapsed="false">
      <c r="A186" s="5" t="s">
        <v>231</v>
      </c>
      <c r="B186" s="2"/>
      <c r="C186" s="38" t="n">
        <f aca="false">Y159</f>
        <v>448.9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" hidden="false" customHeight="false" outlineLevel="0" collapsed="false">
      <c r="A187" s="5" t="s">
        <v>232</v>
      </c>
      <c r="B187" s="2"/>
      <c r="C187" s="38" t="n">
        <f aca="false">Y160</f>
        <v>4845.075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" hidden="false" customHeight="false" outlineLevel="0" collapsed="false">
      <c r="A188" s="5" t="s">
        <v>233</v>
      </c>
      <c r="B188" s="2"/>
      <c r="C188" s="40" t="n">
        <f aca="false">Y166</f>
        <v>1354.19024281577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" hidden="false" customHeight="false" outlineLevel="0" collapsed="false">
      <c r="A189" s="5" t="s">
        <v>234</v>
      </c>
      <c r="B189" s="2"/>
      <c r="C189" s="40" t="n">
        <f aca="false">SUM(H169:Y169)</f>
        <v>458747.483784877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" hidden="false" customHeight="false" outlineLevel="0" collapsed="false">
      <c r="A190" s="5" t="s">
        <v>235</v>
      </c>
      <c r="B190" s="2"/>
      <c r="C190" s="40" t="n">
        <f aca="false">S169</f>
        <v>30126.5886067235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" hidden="false" customHeight="false" outlineLevel="0" collapsed="false">
      <c r="A191" s="5" t="s">
        <v>236</v>
      </c>
      <c r="B191" s="2"/>
      <c r="C191" s="38" t="n">
        <f aca="false">S168</f>
        <v>100.421962022412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" hidden="false" customHeight="false" outlineLevel="0" collapsed="false">
      <c r="A192" s="5" t="s">
        <v>237</v>
      </c>
      <c r="B192" s="2"/>
      <c r="C192" s="40" t="n">
        <f aca="false">$C$33-Y173</f>
        <v>3861013.73378488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" hidden="false" customHeight="false" outlineLevel="0" collapsed="false">
      <c r="A193" s="5" t="s">
        <v>238</v>
      </c>
      <c r="B193" s="2"/>
      <c r="C193" s="40" t="n">
        <f aca="false">MIN(H173:Y173)</f>
        <v>8090798.99634032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" hidden="false" customHeight="false" outlineLevel="0" collapsed="false">
      <c r="A194" s="5" t="s">
        <v>239</v>
      </c>
      <c r="B194" s="2"/>
      <c r="C194" s="40" t="n">
        <f aca="false">SUM(H171:Y171)</f>
        <v>1710000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" hidden="false" customHeight="false" outlineLevel="0" collapsed="false">
      <c r="A195" s="5" t="s">
        <v>240</v>
      </c>
      <c r="B195" s="2"/>
      <c r="C195" s="40" t="n">
        <f aca="false">MIN(H170:Y170)</f>
        <v>-360001.666666667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" hidden="false" customHeight="false" outlineLevel="0" collapsed="false">
      <c r="A196" s="5" t="s">
        <v>241</v>
      </c>
      <c r="B196" s="2"/>
      <c r="C196" s="40" t="n">
        <f aca="false">$C$33-N173</f>
        <v>3118421.59086207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" hidden="false" customHeight="false" outlineLevel="0" collapsed="false">
      <c r="A197" s="5" t="s">
        <v>242</v>
      </c>
      <c r="B197" s="2"/>
      <c r="C197" s="38" t="n">
        <f aca="false">J158</f>
        <v>6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" hidden="false" customHeight="false" outlineLevel="0" collapsed="false">
      <c r="A198" s="5" t="s">
        <v>243</v>
      </c>
      <c r="B198" s="2"/>
      <c r="C198" s="38" t="n">
        <f aca="false">J160</f>
        <v>232.24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" hidden="false" customHeight="false" outlineLevel="0" collapsed="false">
      <c r="A199" s="5" t="s">
        <v>244</v>
      </c>
      <c r="B199" s="2"/>
      <c r="C199" s="39" t="n">
        <f aca="false">J174</f>
        <v>0.86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" hidden="false" customHeight="false" outlineLevel="0" collapsed="false">
      <c r="A200" s="5" t="s">
        <v>245</v>
      </c>
      <c r="B200" s="2"/>
      <c r="C200" s="38" t="n">
        <f aca="false">M158</f>
        <v>10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" hidden="false" customHeight="false" outlineLevel="0" collapsed="false">
      <c r="A201" s="5" t="s">
        <v>246</v>
      </c>
      <c r="B201" s="2"/>
      <c r="C201" s="38" t="n">
        <f aca="false">M160</f>
        <v>668.59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" hidden="false" customHeight="false" outlineLevel="0" collapsed="false">
      <c r="A202" s="5" t="s">
        <v>247</v>
      </c>
      <c r="B202" s="2"/>
      <c r="C202" s="39" t="n">
        <f aca="false">M174</f>
        <v>0.94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" hidden="false" customHeight="false" outlineLevel="0" collapsed="false">
      <c r="A203" s="5" t="s">
        <v>248</v>
      </c>
      <c r="B203" s="2"/>
      <c r="C203" s="39" t="n">
        <f aca="false">M175</f>
        <v>0.5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" hidden="false" customHeight="false" outlineLevel="0" collapsed="false">
      <c r="A204" s="5" t="s">
        <v>249</v>
      </c>
      <c r="B204" s="2"/>
      <c r="C204" s="38" t="n">
        <f aca="false">Y158</f>
        <v>20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" hidden="false" customHeight="false" outlineLevel="0" collapsed="false">
      <c r="A205" s="5" t="s">
        <v>250</v>
      </c>
      <c r="B205" s="2"/>
      <c r="C205" s="39" t="n">
        <f aca="false">Y174</f>
        <v>0.899100022276676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" hidden="false" customHeight="false" outlineLevel="0" collapsed="false">
      <c r="A206" s="5" t="s">
        <v>251</v>
      </c>
      <c r="B206" s="2"/>
      <c r="C206" s="39" t="n">
        <f aca="false">Y175</f>
        <v>0.543612174015423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" hidden="false" customHeight="false" outlineLevel="0" collapsed="false">
      <c r="A207" s="5" t="s">
        <v>252</v>
      </c>
      <c r="B207" s="2"/>
      <c r="C207" s="40" t="n">
        <f aca="false">M170</f>
        <v>-186680.759482759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5" topLeftCell="H46" activePane="bottomRight" state="frozen"/>
      <selection pane="topLeft" activeCell="A1" activeCellId="0" sqref="A1"/>
      <selection pane="topRight" activeCell="H1" activeCellId="0" sqref="H1"/>
      <selection pane="bottomLeft" activeCell="A46" activeCellId="0" sqref="A4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25" min="3" style="0" width="12"/>
  </cols>
  <sheetData>
    <row r="1" customFormat="false" ht="17.35" hidden="false" customHeight="false" outlineLevel="0" collapsed="false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192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" hidden="false" customHeight="false" outlineLevel="0" collapsed="false">
      <c r="A5" s="5" t="s">
        <v>10</v>
      </c>
      <c r="B5" s="29" t="str">
        <f aca="false">Assumptions!B5</f>
        <v>Capture of Exhibit 2 mature volume</v>
      </c>
      <c r="C5" s="30" t="n">
        <f aca="false">Assumptions!D5</f>
        <v>0.65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" hidden="false" customHeight="false" outlineLevel="0" collapsed="false">
      <c r="A6" s="5" t="s">
        <v>14</v>
      </c>
      <c r="B6" s="29" t="str">
        <f aca="false">Assumptions!B6</f>
        <v>Ramp: share of mature volume, live month 1</v>
      </c>
      <c r="C6" s="30" t="n">
        <f aca="false">Assumptions!D6</f>
        <v>0.3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" hidden="false" customHeight="false" outlineLevel="0" collapsed="false">
      <c r="A7" s="5" t="s">
        <v>17</v>
      </c>
      <c r="B7" s="29" t="str">
        <f aca="false">Assumptions!B7</f>
        <v>Ramp: live month 2</v>
      </c>
      <c r="C7" s="30" t="n">
        <f aca="false">Assumptions!D7</f>
        <v>0.6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" hidden="false" customHeight="false" outlineLevel="0" collapsed="false">
      <c r="A8" s="5" t="s">
        <v>20</v>
      </c>
      <c r="B8" s="29" t="str">
        <f aca="false">Assumptions!B8</f>
        <v>Ramp: live month 3</v>
      </c>
      <c r="C8" s="30" t="n">
        <f aca="false">Assumptions!D8</f>
        <v>0.85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5" hidden="false" customHeight="false" outlineLevel="0" collapsed="false">
      <c r="A9" s="5" t="s">
        <v>22</v>
      </c>
      <c r="B9" s="29" t="str">
        <f aca="false">Assumptions!B9</f>
        <v>Ramp: live month 4+</v>
      </c>
      <c r="C9" s="30" t="n">
        <f aca="false">Assumptions!D9</f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15" hidden="false" customHeight="false" outlineLevel="0" collapsed="false">
      <c r="A10" s="5" t="s">
        <v>24</v>
      </c>
      <c r="B10" s="29" t="str">
        <f aca="false">Assumptions!B10</f>
        <v>Pilot host bookings/month today</v>
      </c>
      <c r="C10" s="31" t="n">
        <f aca="false">Assumptions!D10</f>
        <v>17.5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" hidden="false" customHeight="false" outlineLevel="0" collapsed="false">
      <c r="A11" s="5" t="s">
        <v>28</v>
      </c>
      <c r="B11" s="29" t="str">
        <f aca="false">Assumptions!B11</f>
        <v>Pilot host bookings/month after Assured conversion</v>
      </c>
      <c r="C11" s="31" t="n">
        <f aca="false">Assumptions!D11</f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" hidden="false" customHeight="false" outlineLevel="0" collapsed="false">
      <c r="A12" s="5" t="s">
        <v>31</v>
      </c>
      <c r="B12" s="29" t="str">
        <f aca="false">Assumptions!B12</f>
        <v>Months for pilot hosts to reach target</v>
      </c>
      <c r="C12" s="32" t="n">
        <f aca="false">Assumptions!D12</f>
        <v>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" hidden="false" customHeight="false" outlineLevel="0" collapsed="false">
      <c r="A13" s="5" t="s">
        <v>34</v>
      </c>
      <c r="B13" s="29" t="str">
        <f aca="false">Assumptions!B13</f>
        <v>Average booking value multiplier</v>
      </c>
      <c r="C13" s="33" t="n">
        <f aca="false">Assumptions!D13</f>
        <v>0.9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5" hidden="false" customHeight="false" outlineLevel="0" collapsed="false">
      <c r="A14" s="5" t="s">
        <v>38</v>
      </c>
      <c r="B14" s="29" t="str">
        <f aca="false">Assumptions!B14</f>
        <v>Bookings lost to cancellation (beyond tier on-time)</v>
      </c>
      <c r="C14" s="30" t="n">
        <f aca="false">Assumptions!D14</f>
        <v>0.05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" hidden="false" customHeight="false" outlineLevel="0" collapsed="false">
      <c r="A15" s="5" t="s">
        <v>41</v>
      </c>
      <c r="B15" s="29" t="str">
        <f aca="false">Assumptions!B15</f>
        <v>Onboarding delay for new hosts</v>
      </c>
      <c r="C15" s="32" t="n">
        <f aca="false">Assumptions!D15</f>
        <v>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5" hidden="false" customHeight="false" outlineLevel="0" collapsed="false">
      <c r="A16" s="5" t="s">
        <v>44</v>
      </c>
      <c r="B16" s="29" t="str">
        <f aca="false">Assumptions!B16</f>
        <v>Fixed cost multiplier</v>
      </c>
      <c r="C16" s="33" t="n">
        <f aca="false">Assumptions!D16</f>
        <v>1.15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5" hidden="false" customHeight="false" outlineLevel="0" collapsed="false">
      <c r="A17" s="5" t="s">
        <v>47</v>
      </c>
      <c r="B17" s="29" t="str">
        <f aca="false">Assumptions!B17</f>
        <v>Current fixed operating cost / month</v>
      </c>
      <c r="C17" s="34" t="n">
        <f aca="false">Assumptions!D17</f>
        <v>360000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5" hidden="false" customHeight="false" outlineLevel="0" collapsed="false">
      <c r="A18" s="5" t="s">
        <v>51</v>
      </c>
      <c r="B18" s="29" t="str">
        <f aca="false">Assumptions!B18</f>
        <v>Central trust &amp; quality lead (from month below)</v>
      </c>
      <c r="C18" s="34" t="n">
        <f aca="false">Assumptions!D18</f>
        <v>40000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5" hidden="false" customHeight="false" outlineLevel="0" collapsed="false">
      <c r="A19" s="5" t="s">
        <v>55</v>
      </c>
      <c r="B19" s="29" t="str">
        <f aca="false">Assumptions!B19</f>
        <v>Month central hire starts</v>
      </c>
      <c r="C19" s="32" t="n">
        <f aca="false">Assumptions!D19</f>
        <v>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5" hidden="false" customHeight="false" outlineLevel="0" collapsed="false">
      <c r="A20" s="5" t="s">
        <v>58</v>
      </c>
      <c r="B20" s="29" t="str">
        <f aca="false">Assumptions!B20</f>
        <v>Fixed cost per new city (city partner manager + local ops)</v>
      </c>
      <c r="C20" s="34" t="n">
        <f aca="false">Assumptions!D20</f>
        <v>50000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5" hidden="false" customHeight="false" outlineLevel="0" collapsed="false">
      <c r="A21" s="5" t="s">
        <v>61</v>
      </c>
      <c r="B21" s="29" t="str">
        <f aca="false">Assumptions!B21</f>
        <v>City 2 (Cluster A) cost starts</v>
      </c>
      <c r="C21" s="32" t="n">
        <f aca="false">Assumptions!D21</f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5" hidden="false" customHeight="false" outlineLevel="0" collapsed="false">
      <c r="A22" s="5" t="s">
        <v>64</v>
      </c>
      <c r="B22" s="29" t="str">
        <f aca="false">Assumptions!B22</f>
        <v>City 3 (Cluster C) cost starts</v>
      </c>
      <c r="C22" s="32" t="n">
        <f aca="false">Assumptions!D22</f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5" hidden="false" customHeight="false" outlineLevel="0" collapsed="false">
      <c r="A23" s="5" t="s">
        <v>66</v>
      </c>
      <c r="B23" s="29" t="str">
        <f aca="false">Assumptions!B23</f>
        <v>City 4 (Cluster B) cost starts</v>
      </c>
      <c r="C23" s="32" t="n">
        <f aca="false">Assumptions!D23</f>
        <v>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5" hidden="false" customHeight="false" outlineLevel="0" collapsed="false">
      <c r="A24" s="5" t="s">
        <v>68</v>
      </c>
      <c r="B24" s="29" t="str">
        <f aca="false">Assumptions!B24</f>
        <v>Assured variable cost after learning</v>
      </c>
      <c r="C24" s="34" t="n">
        <f aca="false">Assumptions!D24</f>
        <v>1200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15" hidden="false" customHeight="false" outlineLevel="0" collapsed="false">
      <c r="A25" s="5" t="s">
        <v>72</v>
      </c>
      <c r="B25" s="29" t="str">
        <f aca="false">Assumptions!B25</f>
        <v>Month learning applies from</v>
      </c>
      <c r="C25" s="32" t="n">
        <f aca="false">Assumptions!D25</f>
        <v>10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5" hidden="false" customHeight="false" outlineLevel="0" collapsed="false">
      <c r="A26" s="5" t="s">
        <v>74</v>
      </c>
      <c r="B26" s="29" t="str">
        <f aca="false">Assumptions!B26</f>
        <v>Priority SLA: share of Assured bookings</v>
      </c>
      <c r="C26" s="30" t="n">
        <f aca="false">Assumptions!D26</f>
        <v>0.15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5" hidden="false" customHeight="false" outlineLevel="0" collapsed="false">
      <c r="A27" s="5" t="s">
        <v>77</v>
      </c>
      <c r="B27" s="29" t="str">
        <f aca="false">Assumptions!B27</f>
        <v>Priority SLA: price uplift</v>
      </c>
      <c r="C27" s="30" t="n">
        <f aca="false">Assumptions!D27</f>
        <v>0.5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5" hidden="false" customHeight="false" outlineLevel="0" collapsed="false">
      <c r="A28" s="5" t="s">
        <v>80</v>
      </c>
      <c r="B28" s="29" t="str">
        <f aca="false">Assumptions!B28</f>
        <v>Priority SLA: share of uplift OpenBench keeps</v>
      </c>
      <c r="C28" s="30" t="n">
        <f aca="false">Assumptions!D28</f>
        <v>0.5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5" hidden="false" customHeight="false" outlineLevel="0" collapsed="false">
      <c r="A29" s="5" t="s">
        <v>83</v>
      </c>
      <c r="B29" s="29" t="str">
        <f aca="false">Assumptions!B29</f>
        <v>Months to roll out trust layer (on-time reaches tier level)</v>
      </c>
      <c r="C29" s="32" t="n">
        <f aca="false">Assumptions!D29</f>
        <v>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5" hidden="false" customHeight="false" outlineLevel="0" collapsed="false">
      <c r="A30" s="5" t="s">
        <v>85</v>
      </c>
      <c r="B30" s="29" t="str">
        <f aca="false">Assumptions!B30</f>
        <v>Starting on-time rate</v>
      </c>
      <c r="C30" s="30" t="n">
        <f aca="false">Assumptions!D30</f>
        <v>0.78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" hidden="false" customHeight="false" outlineLevel="0" collapsed="false">
      <c r="A31" s="5" t="s">
        <v>87</v>
      </c>
      <c r="B31" s="29" t="str">
        <f aca="false">Assumptions!B31</f>
        <v>Repeat-rate elasticity to on-time (1-quarter lag)</v>
      </c>
      <c r="C31" s="33" t="n">
        <f aca="false">Assumptions!D31</f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" hidden="false" customHeight="false" outlineLevel="0" collapsed="false">
      <c r="A32" s="5" t="s">
        <v>90</v>
      </c>
      <c r="B32" s="29" t="str">
        <f aca="false">Assumptions!B32</f>
        <v>Starting 90-day repeat rate</v>
      </c>
      <c r="C32" s="30" t="n">
        <f aca="false">Assumptions!D32</f>
        <v>0.42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" hidden="false" customHeight="false" outlineLevel="0" collapsed="false">
      <c r="A33" s="5" t="s">
        <v>92</v>
      </c>
      <c r="B33" s="29" t="str">
        <f aca="false">Assumptions!B33</f>
        <v>Investor capital</v>
      </c>
      <c r="C33" s="34" t="n">
        <f aca="false">Assumptions!D33</f>
        <v>12000000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" hidden="false" customHeight="false" outlineLevel="0" collapsed="false">
      <c r="A34" s="5" t="s">
        <v>95</v>
      </c>
      <c r="B34" s="29" t="str">
        <f aca="false">Assumptions!B34</f>
        <v>Pilot conversion cost (share of Assured onboarding)</v>
      </c>
      <c r="C34" s="30" t="n">
        <f aca="false">Assumptions!D34</f>
        <v>0.5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5" hidden="false" customHeight="false" outlineLevel="0" collapsed="false">
      <c r="A35" s="5" t="s">
        <v>98</v>
      </c>
      <c r="B35" s="29" t="str">
        <f aca="false">Assumptions!B35</f>
        <v>Customer-acquisition cost per paid-acquired customer organisation</v>
      </c>
      <c r="C35" s="34" t="n">
        <f aca="false">Assumptions!D35</f>
        <v>1500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5" hidden="false" customHeight="false" outlineLevel="0" collapsed="false">
      <c r="A36" s="5" t="s">
        <v>101</v>
      </c>
      <c r="B36" s="29" t="str">
        <f aca="false">Assumptions!B36</f>
        <v>New customer organisations per booking at pilot repeat</v>
      </c>
      <c r="C36" s="31" t="n">
        <f aca="false">Assumptions!D36</f>
        <v>0.405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5" hidden="false" customHeight="false" outlineLevel="0" collapsed="false">
      <c r="A37" s="5" t="s">
        <v>104</v>
      </c>
      <c r="B37" s="29" t="str">
        <f aca="false">Assumptions!B37</f>
        <v>Share of new customers won through free channels</v>
      </c>
      <c r="C37" s="30" t="n">
        <f aca="false">Assumptions!D37</f>
        <v>0.8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5" hidden="false" customHeight="false" outlineLevel="0" collapsed="false">
      <c r="A38" s="5" t="s">
        <v>107</v>
      </c>
      <c r="B38" s="29" t="str">
        <f aca="false">Assumptions!B38</f>
        <v>Onboarding funnel: contact → meeting</v>
      </c>
      <c r="C38" s="30" t="n">
        <f aca="false">Assumptions!D38</f>
        <v>0.3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5" hidden="false" customHeight="false" outlineLevel="0" collapsed="false">
      <c r="A39" s="5" t="s">
        <v>109</v>
      </c>
      <c r="B39" s="29" t="str">
        <f aca="false">Assumptions!B39</f>
        <v>Skip Cluster B Verified labs (1 = yes)</v>
      </c>
      <c r="C39" s="32" t="n">
        <f aca="false">Assumptions!D39</f>
        <v>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5" hidden="false" customHeight="false" outlineLevel="0" collapsed="false">
      <c r="A40" s="5" t="s">
        <v>113</v>
      </c>
      <c r="B40" s="29" t="str">
        <f aca="false">Assumptions!B40</f>
        <v>City-4 (Cluster B) cost removed from month</v>
      </c>
      <c r="C40" s="32" t="n">
        <f aca="false">Assumptions!D40</f>
        <v>99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5" hidden="false" customHeight="false" outlineLevel="0" collapsed="false">
      <c r="A45" s="5" t="s">
        <v>193</v>
      </c>
      <c r="B45" s="2"/>
      <c r="C45" s="2"/>
      <c r="D45" s="2"/>
      <c r="E45" s="2"/>
      <c r="F45" s="2"/>
      <c r="G45" s="2"/>
      <c r="H45" s="35" t="n">
        <v>1</v>
      </c>
      <c r="I45" s="35" t="n">
        <v>2</v>
      </c>
      <c r="J45" s="35" t="n">
        <v>3</v>
      </c>
      <c r="K45" s="35" t="n">
        <v>4</v>
      </c>
      <c r="L45" s="35" t="n">
        <v>5</v>
      </c>
      <c r="M45" s="35" t="n">
        <v>6</v>
      </c>
      <c r="N45" s="35" t="n">
        <v>7</v>
      </c>
      <c r="O45" s="35" t="n">
        <v>8</v>
      </c>
      <c r="P45" s="35" t="n">
        <v>9</v>
      </c>
      <c r="Q45" s="35" t="n">
        <v>10</v>
      </c>
      <c r="R45" s="35" t="n">
        <v>11</v>
      </c>
      <c r="S45" s="35" t="n">
        <v>12</v>
      </c>
      <c r="T45" s="35" t="n">
        <v>13</v>
      </c>
      <c r="U45" s="35" t="n">
        <v>14</v>
      </c>
      <c r="V45" s="35" t="n">
        <v>15</v>
      </c>
      <c r="W45" s="35" t="n">
        <v>16</v>
      </c>
      <c r="X45" s="35" t="n">
        <v>17</v>
      </c>
      <c r="Y45" s="35" t="n">
        <v>18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3.85" hidden="false" customHeight="false" outlineLevel="0" collapsed="false">
      <c r="A47" s="4" t="s">
        <v>194</v>
      </c>
      <c r="B47" s="4" t="s">
        <v>131</v>
      </c>
      <c r="C47" s="4" t="s">
        <v>117</v>
      </c>
      <c r="D47" s="4" t="s">
        <v>195</v>
      </c>
      <c r="E47" s="4" t="s">
        <v>196</v>
      </c>
      <c r="F47" s="4" t="s">
        <v>197</v>
      </c>
      <c r="G47" s="4" t="s">
        <v>198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customFormat="false" ht="15" hidden="false" customHeight="false" outlineLevel="0" collapsed="false">
      <c r="A48" s="29" t="n">
        <f aca="false">Assumptions!A57</f>
        <v>1</v>
      </c>
      <c r="B48" s="29" t="str">
        <f aca="false">Assumptions!B57</f>
        <v>Pilot</v>
      </c>
      <c r="C48" s="29" t="str">
        <f aca="false">Assumptions!C57</f>
        <v>Assured</v>
      </c>
      <c r="D48" s="34" t="n">
        <f aca="false">Assumptions!D57</f>
        <v>8500</v>
      </c>
      <c r="E48" s="31" t="n">
        <f aca="false">Assumptions!E57</f>
        <v>20</v>
      </c>
      <c r="F48" s="29" t="n">
        <f aca="false">Assumptions!G57</f>
        <v>1</v>
      </c>
      <c r="G48" s="2" t="n">
        <f aca="false">Assumptions!F57+IF(F48=1,0,$C$15)</f>
        <v>1</v>
      </c>
      <c r="H48" s="24" t="n">
        <f aca="false">IF(H$45&lt;$G48,0,IF($F48=1,$C$10+($C$11-$C$10)*MIN(H$45-$G48,$C$12)/$C$12,$E48*$C$5*INDEX($C$6:$C$9,MIN(H$45-$G48,3)+1)))*(1-$C$14)*IF(AND($C48="Verified",$C$39=1),0,1)</f>
        <v>16.625</v>
      </c>
      <c r="I48" s="24" t="n">
        <f aca="false">IF(I$45&lt;$G48,0,IF($F48=1,$C$10+($C$11-$C$10)*MIN(I$45-$G48,$C$12)/$C$12,$E48*$C$5*INDEX($C$6:$C$9,MIN(I$45-$G48,3)+1)))*(1-$C$14)*IF(AND($C48="Verified",$C$39=1),0,1)</f>
        <v>17.4166666666667</v>
      </c>
      <c r="J48" s="24" t="n">
        <f aca="false">IF(J$45&lt;$G48,0,IF($F48=1,$C$10+($C$11-$C$10)*MIN(J$45-$G48,$C$12)/$C$12,$E48*$C$5*INDEX($C$6:$C$9,MIN(J$45-$G48,3)+1)))*(1-$C$14)*IF(AND($C48="Verified",$C$39=1),0,1)</f>
        <v>18.2083333333333</v>
      </c>
      <c r="K48" s="24" t="n">
        <f aca="false">IF(K$45&lt;$G48,0,IF($F48=1,$C$10+($C$11-$C$10)*MIN(K$45-$G48,$C$12)/$C$12,$E48*$C$5*INDEX($C$6:$C$9,MIN(K$45-$G48,3)+1)))*(1-$C$14)*IF(AND($C48="Verified",$C$39=1),0,1)</f>
        <v>19</v>
      </c>
      <c r="L48" s="24" t="n">
        <f aca="false">IF(L$45&lt;$G48,0,IF($F48=1,$C$10+($C$11-$C$10)*MIN(L$45-$G48,$C$12)/$C$12,$E48*$C$5*INDEX($C$6:$C$9,MIN(L$45-$G48,3)+1)))*(1-$C$14)*IF(AND($C48="Verified",$C$39=1),0,1)</f>
        <v>19</v>
      </c>
      <c r="M48" s="24" t="n">
        <f aca="false">IF(M$45&lt;$G48,0,IF($F48=1,$C$10+($C$11-$C$10)*MIN(M$45-$G48,$C$12)/$C$12,$E48*$C$5*INDEX($C$6:$C$9,MIN(M$45-$G48,3)+1)))*(1-$C$14)*IF(AND($C48="Verified",$C$39=1),0,1)</f>
        <v>19</v>
      </c>
      <c r="N48" s="24" t="n">
        <f aca="false">IF(N$45&lt;$G48,0,IF($F48=1,$C$10+($C$11-$C$10)*MIN(N$45-$G48,$C$12)/$C$12,$E48*$C$5*INDEX($C$6:$C$9,MIN(N$45-$G48,3)+1)))*(1-$C$14)*IF(AND($C48="Verified",$C$39=1),0,1)</f>
        <v>19</v>
      </c>
      <c r="O48" s="24" t="n">
        <f aca="false">IF(O$45&lt;$G48,0,IF($F48=1,$C$10+($C$11-$C$10)*MIN(O$45-$G48,$C$12)/$C$12,$E48*$C$5*INDEX($C$6:$C$9,MIN(O$45-$G48,3)+1)))*(1-$C$14)*IF(AND($C48="Verified",$C$39=1),0,1)</f>
        <v>19</v>
      </c>
      <c r="P48" s="24" t="n">
        <f aca="false">IF(P$45&lt;$G48,0,IF($F48=1,$C$10+($C$11-$C$10)*MIN(P$45-$G48,$C$12)/$C$12,$E48*$C$5*INDEX($C$6:$C$9,MIN(P$45-$G48,3)+1)))*(1-$C$14)*IF(AND($C48="Verified",$C$39=1),0,1)</f>
        <v>19</v>
      </c>
      <c r="Q48" s="24" t="n">
        <f aca="false">IF(Q$45&lt;$G48,0,IF($F48=1,$C$10+($C$11-$C$10)*MIN(Q$45-$G48,$C$12)/$C$12,$E48*$C$5*INDEX($C$6:$C$9,MIN(Q$45-$G48,3)+1)))*(1-$C$14)*IF(AND($C48="Verified",$C$39=1),0,1)</f>
        <v>19</v>
      </c>
      <c r="R48" s="24" t="n">
        <f aca="false">IF(R$45&lt;$G48,0,IF($F48=1,$C$10+($C$11-$C$10)*MIN(R$45-$G48,$C$12)/$C$12,$E48*$C$5*INDEX($C$6:$C$9,MIN(R$45-$G48,3)+1)))*(1-$C$14)*IF(AND($C48="Verified",$C$39=1),0,1)</f>
        <v>19</v>
      </c>
      <c r="S48" s="24" t="n">
        <f aca="false">IF(S$45&lt;$G48,0,IF($F48=1,$C$10+($C$11-$C$10)*MIN(S$45-$G48,$C$12)/$C$12,$E48*$C$5*INDEX($C$6:$C$9,MIN(S$45-$G48,3)+1)))*(1-$C$14)*IF(AND($C48="Verified",$C$39=1),0,1)</f>
        <v>19</v>
      </c>
      <c r="T48" s="24" t="n">
        <f aca="false">IF(T$45&lt;$G48,0,IF($F48=1,$C$10+($C$11-$C$10)*MIN(T$45-$G48,$C$12)/$C$12,$E48*$C$5*INDEX($C$6:$C$9,MIN(T$45-$G48,3)+1)))*(1-$C$14)*IF(AND($C48="Verified",$C$39=1),0,1)</f>
        <v>19</v>
      </c>
      <c r="U48" s="24" t="n">
        <f aca="false">IF(U$45&lt;$G48,0,IF($F48=1,$C$10+($C$11-$C$10)*MIN(U$45-$G48,$C$12)/$C$12,$E48*$C$5*INDEX($C$6:$C$9,MIN(U$45-$G48,3)+1)))*(1-$C$14)*IF(AND($C48="Verified",$C$39=1),0,1)</f>
        <v>19</v>
      </c>
      <c r="V48" s="24" t="n">
        <f aca="false">IF(V$45&lt;$G48,0,IF($F48=1,$C$10+($C$11-$C$10)*MIN(V$45-$G48,$C$12)/$C$12,$E48*$C$5*INDEX($C$6:$C$9,MIN(V$45-$G48,3)+1)))*(1-$C$14)*IF(AND($C48="Verified",$C$39=1),0,1)</f>
        <v>19</v>
      </c>
      <c r="W48" s="24" t="n">
        <f aca="false">IF(W$45&lt;$G48,0,IF($F48=1,$C$10+($C$11-$C$10)*MIN(W$45-$G48,$C$12)/$C$12,$E48*$C$5*INDEX($C$6:$C$9,MIN(W$45-$G48,3)+1)))*(1-$C$14)*IF(AND($C48="Verified",$C$39=1),0,1)</f>
        <v>19</v>
      </c>
      <c r="X48" s="24" t="n">
        <f aca="false">IF(X$45&lt;$G48,0,IF($F48=1,$C$10+($C$11-$C$10)*MIN(X$45-$G48,$C$12)/$C$12,$E48*$C$5*INDEX($C$6:$C$9,MIN(X$45-$G48,3)+1)))*(1-$C$14)*IF(AND($C48="Verified",$C$39=1),0,1)</f>
        <v>19</v>
      </c>
      <c r="Y48" s="24" t="n">
        <f aca="false">IF(Y$45&lt;$G48,0,IF($F48=1,$C$10+($C$11-$C$10)*MIN(Y$45-$G48,$C$12)/$C$12,$E48*$C$5*INDEX($C$6:$C$9,MIN(Y$45-$G48,3)+1)))*(1-$C$14)*IF(AND($C48="Verified",$C$39=1),0,1)</f>
        <v>19</v>
      </c>
    </row>
    <row r="49" customFormat="false" ht="15" hidden="false" customHeight="false" outlineLevel="0" collapsed="false">
      <c r="A49" s="29" t="n">
        <f aca="false">Assumptions!A58</f>
        <v>2</v>
      </c>
      <c r="B49" s="29" t="str">
        <f aca="false">Assumptions!B58</f>
        <v>Pilot</v>
      </c>
      <c r="C49" s="29" t="str">
        <f aca="false">Assumptions!C58</f>
        <v>Assured</v>
      </c>
      <c r="D49" s="34" t="n">
        <f aca="false">Assumptions!D58</f>
        <v>8500</v>
      </c>
      <c r="E49" s="31" t="n">
        <f aca="false">Assumptions!E58</f>
        <v>20</v>
      </c>
      <c r="F49" s="29" t="n">
        <f aca="false">Assumptions!G58</f>
        <v>1</v>
      </c>
      <c r="G49" s="2" t="n">
        <f aca="false">Assumptions!F58+IF(F49=1,0,$C$15)</f>
        <v>1</v>
      </c>
      <c r="H49" s="24" t="n">
        <f aca="false">IF(H$45&lt;$G49,0,IF($F49=1,$C$10+($C$11-$C$10)*MIN(H$45-$G49,$C$12)/$C$12,$E49*$C$5*INDEX($C$6:$C$9,MIN(H$45-$G49,3)+1)))*(1-$C$14)*IF(AND($C49="Verified",$C$39=1),0,1)</f>
        <v>16.625</v>
      </c>
      <c r="I49" s="24" t="n">
        <f aca="false">IF(I$45&lt;$G49,0,IF($F49=1,$C$10+($C$11-$C$10)*MIN(I$45-$G49,$C$12)/$C$12,$E49*$C$5*INDEX($C$6:$C$9,MIN(I$45-$G49,3)+1)))*(1-$C$14)*IF(AND($C49="Verified",$C$39=1),0,1)</f>
        <v>17.4166666666667</v>
      </c>
      <c r="J49" s="24" t="n">
        <f aca="false">IF(J$45&lt;$G49,0,IF($F49=1,$C$10+($C$11-$C$10)*MIN(J$45-$G49,$C$12)/$C$12,$E49*$C$5*INDEX($C$6:$C$9,MIN(J$45-$G49,3)+1)))*(1-$C$14)*IF(AND($C49="Verified",$C$39=1),0,1)</f>
        <v>18.2083333333333</v>
      </c>
      <c r="K49" s="24" t="n">
        <f aca="false">IF(K$45&lt;$G49,0,IF($F49=1,$C$10+($C$11-$C$10)*MIN(K$45-$G49,$C$12)/$C$12,$E49*$C$5*INDEX($C$6:$C$9,MIN(K$45-$G49,3)+1)))*(1-$C$14)*IF(AND($C49="Verified",$C$39=1),0,1)</f>
        <v>19</v>
      </c>
      <c r="L49" s="24" t="n">
        <f aca="false">IF(L$45&lt;$G49,0,IF($F49=1,$C$10+($C$11-$C$10)*MIN(L$45-$G49,$C$12)/$C$12,$E49*$C$5*INDEX($C$6:$C$9,MIN(L$45-$G49,3)+1)))*(1-$C$14)*IF(AND($C49="Verified",$C$39=1),0,1)</f>
        <v>19</v>
      </c>
      <c r="M49" s="24" t="n">
        <f aca="false">IF(M$45&lt;$G49,0,IF($F49=1,$C$10+($C$11-$C$10)*MIN(M$45-$G49,$C$12)/$C$12,$E49*$C$5*INDEX($C$6:$C$9,MIN(M$45-$G49,3)+1)))*(1-$C$14)*IF(AND($C49="Verified",$C$39=1),0,1)</f>
        <v>19</v>
      </c>
      <c r="N49" s="24" t="n">
        <f aca="false">IF(N$45&lt;$G49,0,IF($F49=1,$C$10+($C$11-$C$10)*MIN(N$45-$G49,$C$12)/$C$12,$E49*$C$5*INDEX($C$6:$C$9,MIN(N$45-$G49,3)+1)))*(1-$C$14)*IF(AND($C49="Verified",$C$39=1),0,1)</f>
        <v>19</v>
      </c>
      <c r="O49" s="24" t="n">
        <f aca="false">IF(O$45&lt;$G49,0,IF($F49=1,$C$10+($C$11-$C$10)*MIN(O$45-$G49,$C$12)/$C$12,$E49*$C$5*INDEX($C$6:$C$9,MIN(O$45-$G49,3)+1)))*(1-$C$14)*IF(AND($C49="Verified",$C$39=1),0,1)</f>
        <v>19</v>
      </c>
      <c r="P49" s="24" t="n">
        <f aca="false">IF(P$45&lt;$G49,0,IF($F49=1,$C$10+($C$11-$C$10)*MIN(P$45-$G49,$C$12)/$C$12,$E49*$C$5*INDEX($C$6:$C$9,MIN(P$45-$G49,3)+1)))*(1-$C$14)*IF(AND($C49="Verified",$C$39=1),0,1)</f>
        <v>19</v>
      </c>
      <c r="Q49" s="24" t="n">
        <f aca="false">IF(Q$45&lt;$G49,0,IF($F49=1,$C$10+($C$11-$C$10)*MIN(Q$45-$G49,$C$12)/$C$12,$E49*$C$5*INDEX($C$6:$C$9,MIN(Q$45-$G49,3)+1)))*(1-$C$14)*IF(AND($C49="Verified",$C$39=1),0,1)</f>
        <v>19</v>
      </c>
      <c r="R49" s="24" t="n">
        <f aca="false">IF(R$45&lt;$G49,0,IF($F49=1,$C$10+($C$11-$C$10)*MIN(R$45-$G49,$C$12)/$C$12,$E49*$C$5*INDEX($C$6:$C$9,MIN(R$45-$G49,3)+1)))*(1-$C$14)*IF(AND($C49="Verified",$C$39=1),0,1)</f>
        <v>19</v>
      </c>
      <c r="S49" s="24" t="n">
        <f aca="false">IF(S$45&lt;$G49,0,IF($F49=1,$C$10+($C$11-$C$10)*MIN(S$45-$G49,$C$12)/$C$12,$E49*$C$5*INDEX($C$6:$C$9,MIN(S$45-$G49,3)+1)))*(1-$C$14)*IF(AND($C49="Verified",$C$39=1),0,1)</f>
        <v>19</v>
      </c>
      <c r="T49" s="24" t="n">
        <f aca="false">IF(T$45&lt;$G49,0,IF($F49=1,$C$10+($C$11-$C$10)*MIN(T$45-$G49,$C$12)/$C$12,$E49*$C$5*INDEX($C$6:$C$9,MIN(T$45-$G49,3)+1)))*(1-$C$14)*IF(AND($C49="Verified",$C$39=1),0,1)</f>
        <v>19</v>
      </c>
      <c r="U49" s="24" t="n">
        <f aca="false">IF(U$45&lt;$G49,0,IF($F49=1,$C$10+($C$11-$C$10)*MIN(U$45-$G49,$C$12)/$C$12,$E49*$C$5*INDEX($C$6:$C$9,MIN(U$45-$G49,3)+1)))*(1-$C$14)*IF(AND($C49="Verified",$C$39=1),0,1)</f>
        <v>19</v>
      </c>
      <c r="V49" s="24" t="n">
        <f aca="false">IF(V$45&lt;$G49,0,IF($F49=1,$C$10+($C$11-$C$10)*MIN(V$45-$G49,$C$12)/$C$12,$E49*$C$5*INDEX($C$6:$C$9,MIN(V$45-$G49,3)+1)))*(1-$C$14)*IF(AND($C49="Verified",$C$39=1),0,1)</f>
        <v>19</v>
      </c>
      <c r="W49" s="24" t="n">
        <f aca="false">IF(W$45&lt;$G49,0,IF($F49=1,$C$10+($C$11-$C$10)*MIN(W$45-$G49,$C$12)/$C$12,$E49*$C$5*INDEX($C$6:$C$9,MIN(W$45-$G49,3)+1)))*(1-$C$14)*IF(AND($C49="Verified",$C$39=1),0,1)</f>
        <v>19</v>
      </c>
      <c r="X49" s="24" t="n">
        <f aca="false">IF(X$45&lt;$G49,0,IF($F49=1,$C$10+($C$11-$C$10)*MIN(X$45-$G49,$C$12)/$C$12,$E49*$C$5*INDEX($C$6:$C$9,MIN(X$45-$G49,3)+1)))*(1-$C$14)*IF(AND($C49="Verified",$C$39=1),0,1)</f>
        <v>19</v>
      </c>
      <c r="Y49" s="24" t="n">
        <f aca="false">IF(Y$45&lt;$G49,0,IF($F49=1,$C$10+($C$11-$C$10)*MIN(Y$45-$G49,$C$12)/$C$12,$E49*$C$5*INDEX($C$6:$C$9,MIN(Y$45-$G49,3)+1)))*(1-$C$14)*IF(AND($C49="Verified",$C$39=1),0,1)</f>
        <v>19</v>
      </c>
    </row>
    <row r="50" customFormat="false" ht="15" hidden="false" customHeight="false" outlineLevel="0" collapsed="false">
      <c r="A50" s="29" t="n">
        <f aca="false">Assumptions!A59</f>
        <v>3</v>
      </c>
      <c r="B50" s="29" t="str">
        <f aca="false">Assumptions!B59</f>
        <v>Pilot</v>
      </c>
      <c r="C50" s="29" t="str">
        <f aca="false">Assumptions!C59</f>
        <v>Assured</v>
      </c>
      <c r="D50" s="34" t="n">
        <f aca="false">Assumptions!D59</f>
        <v>8500</v>
      </c>
      <c r="E50" s="31" t="n">
        <f aca="false">Assumptions!E59</f>
        <v>20</v>
      </c>
      <c r="F50" s="29" t="n">
        <f aca="false">Assumptions!G59</f>
        <v>1</v>
      </c>
      <c r="G50" s="2" t="n">
        <f aca="false">Assumptions!F59+IF(F50=1,0,$C$15)</f>
        <v>1</v>
      </c>
      <c r="H50" s="24" t="n">
        <f aca="false">IF(H$45&lt;$G50,0,IF($F50=1,$C$10+($C$11-$C$10)*MIN(H$45-$G50,$C$12)/$C$12,$E50*$C$5*INDEX($C$6:$C$9,MIN(H$45-$G50,3)+1)))*(1-$C$14)*IF(AND($C50="Verified",$C$39=1),0,1)</f>
        <v>16.625</v>
      </c>
      <c r="I50" s="24" t="n">
        <f aca="false">IF(I$45&lt;$G50,0,IF($F50=1,$C$10+($C$11-$C$10)*MIN(I$45-$G50,$C$12)/$C$12,$E50*$C$5*INDEX($C$6:$C$9,MIN(I$45-$G50,3)+1)))*(1-$C$14)*IF(AND($C50="Verified",$C$39=1),0,1)</f>
        <v>17.4166666666667</v>
      </c>
      <c r="J50" s="24" t="n">
        <f aca="false">IF(J$45&lt;$G50,0,IF($F50=1,$C$10+($C$11-$C$10)*MIN(J$45-$G50,$C$12)/$C$12,$E50*$C$5*INDEX($C$6:$C$9,MIN(J$45-$G50,3)+1)))*(1-$C$14)*IF(AND($C50="Verified",$C$39=1),0,1)</f>
        <v>18.2083333333333</v>
      </c>
      <c r="K50" s="24" t="n">
        <f aca="false">IF(K$45&lt;$G50,0,IF($F50=1,$C$10+($C$11-$C$10)*MIN(K$45-$G50,$C$12)/$C$12,$E50*$C$5*INDEX($C$6:$C$9,MIN(K$45-$G50,3)+1)))*(1-$C$14)*IF(AND($C50="Verified",$C$39=1),0,1)</f>
        <v>19</v>
      </c>
      <c r="L50" s="24" t="n">
        <f aca="false">IF(L$45&lt;$G50,0,IF($F50=1,$C$10+($C$11-$C$10)*MIN(L$45-$G50,$C$12)/$C$12,$E50*$C$5*INDEX($C$6:$C$9,MIN(L$45-$G50,3)+1)))*(1-$C$14)*IF(AND($C50="Verified",$C$39=1),0,1)</f>
        <v>19</v>
      </c>
      <c r="M50" s="24" t="n">
        <f aca="false">IF(M$45&lt;$G50,0,IF($F50=1,$C$10+($C$11-$C$10)*MIN(M$45-$G50,$C$12)/$C$12,$E50*$C$5*INDEX($C$6:$C$9,MIN(M$45-$G50,3)+1)))*(1-$C$14)*IF(AND($C50="Verified",$C$39=1),0,1)</f>
        <v>19</v>
      </c>
      <c r="N50" s="24" t="n">
        <f aca="false">IF(N$45&lt;$G50,0,IF($F50=1,$C$10+($C$11-$C$10)*MIN(N$45-$G50,$C$12)/$C$12,$E50*$C$5*INDEX($C$6:$C$9,MIN(N$45-$G50,3)+1)))*(1-$C$14)*IF(AND($C50="Verified",$C$39=1),0,1)</f>
        <v>19</v>
      </c>
      <c r="O50" s="24" t="n">
        <f aca="false">IF(O$45&lt;$G50,0,IF($F50=1,$C$10+($C$11-$C$10)*MIN(O$45-$G50,$C$12)/$C$12,$E50*$C$5*INDEX($C$6:$C$9,MIN(O$45-$G50,3)+1)))*(1-$C$14)*IF(AND($C50="Verified",$C$39=1),0,1)</f>
        <v>19</v>
      </c>
      <c r="P50" s="24" t="n">
        <f aca="false">IF(P$45&lt;$G50,0,IF($F50=1,$C$10+($C$11-$C$10)*MIN(P$45-$G50,$C$12)/$C$12,$E50*$C$5*INDEX($C$6:$C$9,MIN(P$45-$G50,3)+1)))*(1-$C$14)*IF(AND($C50="Verified",$C$39=1),0,1)</f>
        <v>19</v>
      </c>
      <c r="Q50" s="24" t="n">
        <f aca="false">IF(Q$45&lt;$G50,0,IF($F50=1,$C$10+($C$11-$C$10)*MIN(Q$45-$G50,$C$12)/$C$12,$E50*$C$5*INDEX($C$6:$C$9,MIN(Q$45-$G50,3)+1)))*(1-$C$14)*IF(AND($C50="Verified",$C$39=1),0,1)</f>
        <v>19</v>
      </c>
      <c r="R50" s="24" t="n">
        <f aca="false">IF(R$45&lt;$G50,0,IF($F50=1,$C$10+($C$11-$C$10)*MIN(R$45-$G50,$C$12)/$C$12,$E50*$C$5*INDEX($C$6:$C$9,MIN(R$45-$G50,3)+1)))*(1-$C$14)*IF(AND($C50="Verified",$C$39=1),0,1)</f>
        <v>19</v>
      </c>
      <c r="S50" s="24" t="n">
        <f aca="false">IF(S$45&lt;$G50,0,IF($F50=1,$C$10+($C$11-$C$10)*MIN(S$45-$G50,$C$12)/$C$12,$E50*$C$5*INDEX($C$6:$C$9,MIN(S$45-$G50,3)+1)))*(1-$C$14)*IF(AND($C50="Verified",$C$39=1),0,1)</f>
        <v>19</v>
      </c>
      <c r="T50" s="24" t="n">
        <f aca="false">IF(T$45&lt;$G50,0,IF($F50=1,$C$10+($C$11-$C$10)*MIN(T$45-$G50,$C$12)/$C$12,$E50*$C$5*INDEX($C$6:$C$9,MIN(T$45-$G50,3)+1)))*(1-$C$14)*IF(AND($C50="Verified",$C$39=1),0,1)</f>
        <v>19</v>
      </c>
      <c r="U50" s="24" t="n">
        <f aca="false">IF(U$45&lt;$G50,0,IF($F50=1,$C$10+($C$11-$C$10)*MIN(U$45-$G50,$C$12)/$C$12,$E50*$C$5*INDEX($C$6:$C$9,MIN(U$45-$G50,3)+1)))*(1-$C$14)*IF(AND($C50="Verified",$C$39=1),0,1)</f>
        <v>19</v>
      </c>
      <c r="V50" s="24" t="n">
        <f aca="false">IF(V$45&lt;$G50,0,IF($F50=1,$C$10+($C$11-$C$10)*MIN(V$45-$G50,$C$12)/$C$12,$E50*$C$5*INDEX($C$6:$C$9,MIN(V$45-$G50,3)+1)))*(1-$C$14)*IF(AND($C50="Verified",$C$39=1),0,1)</f>
        <v>19</v>
      </c>
      <c r="W50" s="24" t="n">
        <f aca="false">IF(W$45&lt;$G50,0,IF($F50=1,$C$10+($C$11-$C$10)*MIN(W$45-$G50,$C$12)/$C$12,$E50*$C$5*INDEX($C$6:$C$9,MIN(W$45-$G50,3)+1)))*(1-$C$14)*IF(AND($C50="Verified",$C$39=1),0,1)</f>
        <v>19</v>
      </c>
      <c r="X50" s="24" t="n">
        <f aca="false">IF(X$45&lt;$G50,0,IF($F50=1,$C$10+($C$11-$C$10)*MIN(X$45-$G50,$C$12)/$C$12,$E50*$C$5*INDEX($C$6:$C$9,MIN(X$45-$G50,3)+1)))*(1-$C$14)*IF(AND($C50="Verified",$C$39=1),0,1)</f>
        <v>19</v>
      </c>
      <c r="Y50" s="24" t="n">
        <f aca="false">IF(Y$45&lt;$G50,0,IF($F50=1,$C$10+($C$11-$C$10)*MIN(Y$45-$G50,$C$12)/$C$12,$E50*$C$5*INDEX($C$6:$C$9,MIN(Y$45-$G50,3)+1)))*(1-$C$14)*IF(AND($C50="Verified",$C$39=1),0,1)</f>
        <v>19</v>
      </c>
    </row>
    <row r="51" customFormat="false" ht="15" hidden="false" customHeight="false" outlineLevel="0" collapsed="false">
      <c r="A51" s="29" t="n">
        <f aca="false">Assumptions!A60</f>
        <v>4</v>
      </c>
      <c r="B51" s="29" t="str">
        <f aca="false">Assumptions!B60</f>
        <v>Pilot</v>
      </c>
      <c r="C51" s="29" t="str">
        <f aca="false">Assumptions!C60</f>
        <v>Assured</v>
      </c>
      <c r="D51" s="34" t="n">
        <f aca="false">Assumptions!D60</f>
        <v>8500</v>
      </c>
      <c r="E51" s="31" t="n">
        <f aca="false">Assumptions!E60</f>
        <v>20</v>
      </c>
      <c r="F51" s="29" t="n">
        <f aca="false">Assumptions!G60</f>
        <v>1</v>
      </c>
      <c r="G51" s="2" t="n">
        <f aca="false">Assumptions!F60+IF(F51=1,0,$C$15)</f>
        <v>1</v>
      </c>
      <c r="H51" s="24" t="n">
        <f aca="false">IF(H$45&lt;$G51,0,IF($F51=1,$C$10+($C$11-$C$10)*MIN(H$45-$G51,$C$12)/$C$12,$E51*$C$5*INDEX($C$6:$C$9,MIN(H$45-$G51,3)+1)))*(1-$C$14)*IF(AND($C51="Verified",$C$39=1),0,1)</f>
        <v>16.625</v>
      </c>
      <c r="I51" s="24" t="n">
        <f aca="false">IF(I$45&lt;$G51,0,IF($F51=1,$C$10+($C$11-$C$10)*MIN(I$45-$G51,$C$12)/$C$12,$E51*$C$5*INDEX($C$6:$C$9,MIN(I$45-$G51,3)+1)))*(1-$C$14)*IF(AND($C51="Verified",$C$39=1),0,1)</f>
        <v>17.4166666666667</v>
      </c>
      <c r="J51" s="24" t="n">
        <f aca="false">IF(J$45&lt;$G51,0,IF($F51=1,$C$10+($C$11-$C$10)*MIN(J$45-$G51,$C$12)/$C$12,$E51*$C$5*INDEX($C$6:$C$9,MIN(J$45-$G51,3)+1)))*(1-$C$14)*IF(AND($C51="Verified",$C$39=1),0,1)</f>
        <v>18.2083333333333</v>
      </c>
      <c r="K51" s="24" t="n">
        <f aca="false">IF(K$45&lt;$G51,0,IF($F51=1,$C$10+($C$11-$C$10)*MIN(K$45-$G51,$C$12)/$C$12,$E51*$C$5*INDEX($C$6:$C$9,MIN(K$45-$G51,3)+1)))*(1-$C$14)*IF(AND($C51="Verified",$C$39=1),0,1)</f>
        <v>19</v>
      </c>
      <c r="L51" s="24" t="n">
        <f aca="false">IF(L$45&lt;$G51,0,IF($F51=1,$C$10+($C$11-$C$10)*MIN(L$45-$G51,$C$12)/$C$12,$E51*$C$5*INDEX($C$6:$C$9,MIN(L$45-$G51,3)+1)))*(1-$C$14)*IF(AND($C51="Verified",$C$39=1),0,1)</f>
        <v>19</v>
      </c>
      <c r="M51" s="24" t="n">
        <f aca="false">IF(M$45&lt;$G51,0,IF($F51=1,$C$10+($C$11-$C$10)*MIN(M$45-$G51,$C$12)/$C$12,$E51*$C$5*INDEX($C$6:$C$9,MIN(M$45-$G51,3)+1)))*(1-$C$14)*IF(AND($C51="Verified",$C$39=1),0,1)</f>
        <v>19</v>
      </c>
      <c r="N51" s="24" t="n">
        <f aca="false">IF(N$45&lt;$G51,0,IF($F51=1,$C$10+($C$11-$C$10)*MIN(N$45-$G51,$C$12)/$C$12,$E51*$C$5*INDEX($C$6:$C$9,MIN(N$45-$G51,3)+1)))*(1-$C$14)*IF(AND($C51="Verified",$C$39=1),0,1)</f>
        <v>19</v>
      </c>
      <c r="O51" s="24" t="n">
        <f aca="false">IF(O$45&lt;$G51,0,IF($F51=1,$C$10+($C$11-$C$10)*MIN(O$45-$G51,$C$12)/$C$12,$E51*$C$5*INDEX($C$6:$C$9,MIN(O$45-$G51,3)+1)))*(1-$C$14)*IF(AND($C51="Verified",$C$39=1),0,1)</f>
        <v>19</v>
      </c>
      <c r="P51" s="24" t="n">
        <f aca="false">IF(P$45&lt;$G51,0,IF($F51=1,$C$10+($C$11-$C$10)*MIN(P$45-$G51,$C$12)/$C$12,$E51*$C$5*INDEX($C$6:$C$9,MIN(P$45-$G51,3)+1)))*(1-$C$14)*IF(AND($C51="Verified",$C$39=1),0,1)</f>
        <v>19</v>
      </c>
      <c r="Q51" s="24" t="n">
        <f aca="false">IF(Q$45&lt;$G51,0,IF($F51=1,$C$10+($C$11-$C$10)*MIN(Q$45-$G51,$C$12)/$C$12,$E51*$C$5*INDEX($C$6:$C$9,MIN(Q$45-$G51,3)+1)))*(1-$C$14)*IF(AND($C51="Verified",$C$39=1),0,1)</f>
        <v>19</v>
      </c>
      <c r="R51" s="24" t="n">
        <f aca="false">IF(R$45&lt;$G51,0,IF($F51=1,$C$10+($C$11-$C$10)*MIN(R$45-$G51,$C$12)/$C$12,$E51*$C$5*INDEX($C$6:$C$9,MIN(R$45-$G51,3)+1)))*(1-$C$14)*IF(AND($C51="Verified",$C$39=1),0,1)</f>
        <v>19</v>
      </c>
      <c r="S51" s="24" t="n">
        <f aca="false">IF(S$45&lt;$G51,0,IF($F51=1,$C$10+($C$11-$C$10)*MIN(S$45-$G51,$C$12)/$C$12,$E51*$C$5*INDEX($C$6:$C$9,MIN(S$45-$G51,3)+1)))*(1-$C$14)*IF(AND($C51="Verified",$C$39=1),0,1)</f>
        <v>19</v>
      </c>
      <c r="T51" s="24" t="n">
        <f aca="false">IF(T$45&lt;$G51,0,IF($F51=1,$C$10+($C$11-$C$10)*MIN(T$45-$G51,$C$12)/$C$12,$E51*$C$5*INDEX($C$6:$C$9,MIN(T$45-$G51,3)+1)))*(1-$C$14)*IF(AND($C51="Verified",$C$39=1),0,1)</f>
        <v>19</v>
      </c>
      <c r="U51" s="24" t="n">
        <f aca="false">IF(U$45&lt;$G51,0,IF($F51=1,$C$10+($C$11-$C$10)*MIN(U$45-$G51,$C$12)/$C$12,$E51*$C$5*INDEX($C$6:$C$9,MIN(U$45-$G51,3)+1)))*(1-$C$14)*IF(AND($C51="Verified",$C$39=1),0,1)</f>
        <v>19</v>
      </c>
      <c r="V51" s="24" t="n">
        <f aca="false">IF(V$45&lt;$G51,0,IF($F51=1,$C$10+($C$11-$C$10)*MIN(V$45-$G51,$C$12)/$C$12,$E51*$C$5*INDEX($C$6:$C$9,MIN(V$45-$G51,3)+1)))*(1-$C$14)*IF(AND($C51="Verified",$C$39=1),0,1)</f>
        <v>19</v>
      </c>
      <c r="W51" s="24" t="n">
        <f aca="false">IF(W$45&lt;$G51,0,IF($F51=1,$C$10+($C$11-$C$10)*MIN(W$45-$G51,$C$12)/$C$12,$E51*$C$5*INDEX($C$6:$C$9,MIN(W$45-$G51,3)+1)))*(1-$C$14)*IF(AND($C51="Verified",$C$39=1),0,1)</f>
        <v>19</v>
      </c>
      <c r="X51" s="24" t="n">
        <f aca="false">IF(X$45&lt;$G51,0,IF($F51=1,$C$10+($C$11-$C$10)*MIN(X$45-$G51,$C$12)/$C$12,$E51*$C$5*INDEX($C$6:$C$9,MIN(X$45-$G51,3)+1)))*(1-$C$14)*IF(AND($C51="Verified",$C$39=1),0,1)</f>
        <v>19</v>
      </c>
      <c r="Y51" s="24" t="n">
        <f aca="false">IF(Y$45&lt;$G51,0,IF($F51=1,$C$10+($C$11-$C$10)*MIN(Y$45-$G51,$C$12)/$C$12,$E51*$C$5*INDEX($C$6:$C$9,MIN(Y$45-$G51,3)+1)))*(1-$C$14)*IF(AND($C51="Verified",$C$39=1),0,1)</f>
        <v>19</v>
      </c>
    </row>
    <row r="52" customFormat="false" ht="15" hidden="false" customHeight="false" outlineLevel="0" collapsed="false">
      <c r="A52" s="29" t="n">
        <f aca="false">Assumptions!A61</f>
        <v>5</v>
      </c>
      <c r="B52" s="29" t="str">
        <f aca="false">Assumptions!B61</f>
        <v>A</v>
      </c>
      <c r="C52" s="29" t="str">
        <f aca="false">Assumptions!C61</f>
        <v>Assured</v>
      </c>
      <c r="D52" s="34" t="n">
        <f aca="false">Assumptions!D61</f>
        <v>12000</v>
      </c>
      <c r="E52" s="31" t="n">
        <f aca="false">Assumptions!E61</f>
        <v>24</v>
      </c>
      <c r="F52" s="29" t="n">
        <f aca="false">Assumptions!G61</f>
        <v>0</v>
      </c>
      <c r="G52" s="2" t="n">
        <f aca="false">Assumptions!F61+IF(F52=1,0,$C$15)</f>
        <v>5</v>
      </c>
      <c r="H52" s="24" t="n">
        <f aca="false">IF(H$45&lt;$G52,0,IF($F52=1,$C$10+($C$11-$C$10)*MIN(H$45-$G52,$C$12)/$C$12,$E52*$C$5*INDEX($C$6:$C$9,MIN(H$45-$G52,3)+1)))*(1-$C$14)*IF(AND($C52="Verified",$C$39=1),0,1)</f>
        <v>0</v>
      </c>
      <c r="I52" s="24" t="n">
        <f aca="false">IF(I$45&lt;$G52,0,IF($F52=1,$C$10+($C$11-$C$10)*MIN(I$45-$G52,$C$12)/$C$12,$E52*$C$5*INDEX($C$6:$C$9,MIN(I$45-$G52,3)+1)))*(1-$C$14)*IF(AND($C52="Verified",$C$39=1),0,1)</f>
        <v>0</v>
      </c>
      <c r="J52" s="24" t="n">
        <f aca="false">IF(J$45&lt;$G52,0,IF($F52=1,$C$10+($C$11-$C$10)*MIN(J$45-$G52,$C$12)/$C$12,$E52*$C$5*INDEX($C$6:$C$9,MIN(J$45-$G52,3)+1)))*(1-$C$14)*IF(AND($C52="Verified",$C$39=1),0,1)</f>
        <v>0</v>
      </c>
      <c r="K52" s="24" t="n">
        <f aca="false">IF(K$45&lt;$G52,0,IF($F52=1,$C$10+($C$11-$C$10)*MIN(K$45-$G52,$C$12)/$C$12,$E52*$C$5*INDEX($C$6:$C$9,MIN(K$45-$G52,3)+1)))*(1-$C$14)*IF(AND($C52="Verified",$C$39=1),0,1)</f>
        <v>0</v>
      </c>
      <c r="L52" s="24" t="n">
        <f aca="false">IF(L$45&lt;$G52,0,IF($F52=1,$C$10+($C$11-$C$10)*MIN(L$45-$G52,$C$12)/$C$12,$E52*$C$5*INDEX($C$6:$C$9,MIN(L$45-$G52,3)+1)))*(1-$C$14)*IF(AND($C52="Verified",$C$39=1),0,1)</f>
        <v>4.446</v>
      </c>
      <c r="M52" s="24" t="n">
        <f aca="false">IF(M$45&lt;$G52,0,IF($F52=1,$C$10+($C$11-$C$10)*MIN(M$45-$G52,$C$12)/$C$12,$E52*$C$5*INDEX($C$6:$C$9,MIN(M$45-$G52,3)+1)))*(1-$C$14)*IF(AND($C52="Verified",$C$39=1),0,1)</f>
        <v>8.892</v>
      </c>
      <c r="N52" s="24" t="n">
        <f aca="false">IF(N$45&lt;$G52,0,IF($F52=1,$C$10+($C$11-$C$10)*MIN(N$45-$G52,$C$12)/$C$12,$E52*$C$5*INDEX($C$6:$C$9,MIN(N$45-$G52,3)+1)))*(1-$C$14)*IF(AND($C52="Verified",$C$39=1),0,1)</f>
        <v>12.597</v>
      </c>
      <c r="O52" s="24" t="n">
        <f aca="false">IF(O$45&lt;$G52,0,IF($F52=1,$C$10+($C$11-$C$10)*MIN(O$45-$G52,$C$12)/$C$12,$E52*$C$5*INDEX($C$6:$C$9,MIN(O$45-$G52,3)+1)))*(1-$C$14)*IF(AND($C52="Verified",$C$39=1),0,1)</f>
        <v>14.82</v>
      </c>
      <c r="P52" s="24" t="n">
        <f aca="false">IF(P$45&lt;$G52,0,IF($F52=1,$C$10+($C$11-$C$10)*MIN(P$45-$G52,$C$12)/$C$12,$E52*$C$5*INDEX($C$6:$C$9,MIN(P$45-$G52,3)+1)))*(1-$C$14)*IF(AND($C52="Verified",$C$39=1),0,1)</f>
        <v>14.82</v>
      </c>
      <c r="Q52" s="24" t="n">
        <f aca="false">IF(Q$45&lt;$G52,0,IF($F52=1,$C$10+($C$11-$C$10)*MIN(Q$45-$G52,$C$12)/$C$12,$E52*$C$5*INDEX($C$6:$C$9,MIN(Q$45-$G52,3)+1)))*(1-$C$14)*IF(AND($C52="Verified",$C$39=1),0,1)</f>
        <v>14.82</v>
      </c>
      <c r="R52" s="24" t="n">
        <f aca="false">IF(R$45&lt;$G52,0,IF($F52=1,$C$10+($C$11-$C$10)*MIN(R$45-$G52,$C$12)/$C$12,$E52*$C$5*INDEX($C$6:$C$9,MIN(R$45-$G52,3)+1)))*(1-$C$14)*IF(AND($C52="Verified",$C$39=1),0,1)</f>
        <v>14.82</v>
      </c>
      <c r="S52" s="24" t="n">
        <f aca="false">IF(S$45&lt;$G52,0,IF($F52=1,$C$10+($C$11-$C$10)*MIN(S$45-$G52,$C$12)/$C$12,$E52*$C$5*INDEX($C$6:$C$9,MIN(S$45-$G52,3)+1)))*(1-$C$14)*IF(AND($C52="Verified",$C$39=1),0,1)</f>
        <v>14.82</v>
      </c>
      <c r="T52" s="24" t="n">
        <f aca="false">IF(T$45&lt;$G52,0,IF($F52=1,$C$10+($C$11-$C$10)*MIN(T$45-$G52,$C$12)/$C$12,$E52*$C$5*INDEX($C$6:$C$9,MIN(T$45-$G52,3)+1)))*(1-$C$14)*IF(AND($C52="Verified",$C$39=1),0,1)</f>
        <v>14.82</v>
      </c>
      <c r="U52" s="24" t="n">
        <f aca="false">IF(U$45&lt;$G52,0,IF($F52=1,$C$10+($C$11-$C$10)*MIN(U$45-$G52,$C$12)/$C$12,$E52*$C$5*INDEX($C$6:$C$9,MIN(U$45-$G52,3)+1)))*(1-$C$14)*IF(AND($C52="Verified",$C$39=1),0,1)</f>
        <v>14.82</v>
      </c>
      <c r="V52" s="24" t="n">
        <f aca="false">IF(V$45&lt;$G52,0,IF($F52=1,$C$10+($C$11-$C$10)*MIN(V$45-$G52,$C$12)/$C$12,$E52*$C$5*INDEX($C$6:$C$9,MIN(V$45-$G52,3)+1)))*(1-$C$14)*IF(AND($C52="Verified",$C$39=1),0,1)</f>
        <v>14.82</v>
      </c>
      <c r="W52" s="24" t="n">
        <f aca="false">IF(W$45&lt;$G52,0,IF($F52=1,$C$10+($C$11-$C$10)*MIN(W$45-$G52,$C$12)/$C$12,$E52*$C$5*INDEX($C$6:$C$9,MIN(W$45-$G52,3)+1)))*(1-$C$14)*IF(AND($C52="Verified",$C$39=1),0,1)</f>
        <v>14.82</v>
      </c>
      <c r="X52" s="24" t="n">
        <f aca="false">IF(X$45&lt;$G52,0,IF($F52=1,$C$10+($C$11-$C$10)*MIN(X$45-$G52,$C$12)/$C$12,$E52*$C$5*INDEX($C$6:$C$9,MIN(X$45-$G52,3)+1)))*(1-$C$14)*IF(AND($C52="Verified",$C$39=1),0,1)</f>
        <v>14.82</v>
      </c>
      <c r="Y52" s="24" t="n">
        <f aca="false">IF(Y$45&lt;$G52,0,IF($F52=1,$C$10+($C$11-$C$10)*MIN(Y$45-$G52,$C$12)/$C$12,$E52*$C$5*INDEX($C$6:$C$9,MIN(Y$45-$G52,3)+1)))*(1-$C$14)*IF(AND($C52="Verified",$C$39=1),0,1)</f>
        <v>14.82</v>
      </c>
    </row>
    <row r="53" customFormat="false" ht="15" hidden="false" customHeight="false" outlineLevel="0" collapsed="false">
      <c r="A53" s="29" t="n">
        <f aca="false">Assumptions!A62</f>
        <v>6</v>
      </c>
      <c r="B53" s="29" t="str">
        <f aca="false">Assumptions!B62</f>
        <v>A</v>
      </c>
      <c r="C53" s="29" t="str">
        <f aca="false">Assumptions!C62</f>
        <v>Assured</v>
      </c>
      <c r="D53" s="34" t="n">
        <f aca="false">Assumptions!D62</f>
        <v>12000</v>
      </c>
      <c r="E53" s="31" t="n">
        <f aca="false">Assumptions!E62</f>
        <v>24</v>
      </c>
      <c r="F53" s="29" t="n">
        <f aca="false">Assumptions!G62</f>
        <v>0</v>
      </c>
      <c r="G53" s="2" t="n">
        <f aca="false">Assumptions!F62+IF(F53=1,0,$C$15)</f>
        <v>5</v>
      </c>
      <c r="H53" s="24" t="n">
        <f aca="false">IF(H$45&lt;$G53,0,IF($F53=1,$C$10+($C$11-$C$10)*MIN(H$45-$G53,$C$12)/$C$12,$E53*$C$5*INDEX($C$6:$C$9,MIN(H$45-$G53,3)+1)))*(1-$C$14)*IF(AND($C53="Verified",$C$39=1),0,1)</f>
        <v>0</v>
      </c>
      <c r="I53" s="24" t="n">
        <f aca="false">IF(I$45&lt;$G53,0,IF($F53=1,$C$10+($C$11-$C$10)*MIN(I$45-$G53,$C$12)/$C$12,$E53*$C$5*INDEX($C$6:$C$9,MIN(I$45-$G53,3)+1)))*(1-$C$14)*IF(AND($C53="Verified",$C$39=1),0,1)</f>
        <v>0</v>
      </c>
      <c r="J53" s="24" t="n">
        <f aca="false">IF(J$45&lt;$G53,0,IF($F53=1,$C$10+($C$11-$C$10)*MIN(J$45-$G53,$C$12)/$C$12,$E53*$C$5*INDEX($C$6:$C$9,MIN(J$45-$G53,3)+1)))*(1-$C$14)*IF(AND($C53="Verified",$C$39=1),0,1)</f>
        <v>0</v>
      </c>
      <c r="K53" s="24" t="n">
        <f aca="false">IF(K$45&lt;$G53,0,IF($F53=1,$C$10+($C$11-$C$10)*MIN(K$45-$G53,$C$12)/$C$12,$E53*$C$5*INDEX($C$6:$C$9,MIN(K$45-$G53,3)+1)))*(1-$C$14)*IF(AND($C53="Verified",$C$39=1),0,1)</f>
        <v>0</v>
      </c>
      <c r="L53" s="24" t="n">
        <f aca="false">IF(L$45&lt;$G53,0,IF($F53=1,$C$10+($C$11-$C$10)*MIN(L$45-$G53,$C$12)/$C$12,$E53*$C$5*INDEX($C$6:$C$9,MIN(L$45-$G53,3)+1)))*(1-$C$14)*IF(AND($C53="Verified",$C$39=1),0,1)</f>
        <v>4.446</v>
      </c>
      <c r="M53" s="24" t="n">
        <f aca="false">IF(M$45&lt;$G53,0,IF($F53=1,$C$10+($C$11-$C$10)*MIN(M$45-$G53,$C$12)/$C$12,$E53*$C$5*INDEX($C$6:$C$9,MIN(M$45-$G53,3)+1)))*(1-$C$14)*IF(AND($C53="Verified",$C$39=1),0,1)</f>
        <v>8.892</v>
      </c>
      <c r="N53" s="24" t="n">
        <f aca="false">IF(N$45&lt;$G53,0,IF($F53=1,$C$10+($C$11-$C$10)*MIN(N$45-$G53,$C$12)/$C$12,$E53*$C$5*INDEX($C$6:$C$9,MIN(N$45-$G53,3)+1)))*(1-$C$14)*IF(AND($C53="Verified",$C$39=1),0,1)</f>
        <v>12.597</v>
      </c>
      <c r="O53" s="24" t="n">
        <f aca="false">IF(O$45&lt;$G53,0,IF($F53=1,$C$10+($C$11-$C$10)*MIN(O$45-$G53,$C$12)/$C$12,$E53*$C$5*INDEX($C$6:$C$9,MIN(O$45-$G53,3)+1)))*(1-$C$14)*IF(AND($C53="Verified",$C$39=1),0,1)</f>
        <v>14.82</v>
      </c>
      <c r="P53" s="24" t="n">
        <f aca="false">IF(P$45&lt;$G53,0,IF($F53=1,$C$10+($C$11-$C$10)*MIN(P$45-$G53,$C$12)/$C$12,$E53*$C$5*INDEX($C$6:$C$9,MIN(P$45-$G53,3)+1)))*(1-$C$14)*IF(AND($C53="Verified",$C$39=1),0,1)</f>
        <v>14.82</v>
      </c>
      <c r="Q53" s="24" t="n">
        <f aca="false">IF(Q$45&lt;$G53,0,IF($F53=1,$C$10+($C$11-$C$10)*MIN(Q$45-$G53,$C$12)/$C$12,$E53*$C$5*INDEX($C$6:$C$9,MIN(Q$45-$G53,3)+1)))*(1-$C$14)*IF(AND($C53="Verified",$C$39=1),0,1)</f>
        <v>14.82</v>
      </c>
      <c r="R53" s="24" t="n">
        <f aca="false">IF(R$45&lt;$G53,0,IF($F53=1,$C$10+($C$11-$C$10)*MIN(R$45-$G53,$C$12)/$C$12,$E53*$C$5*INDEX($C$6:$C$9,MIN(R$45-$G53,3)+1)))*(1-$C$14)*IF(AND($C53="Verified",$C$39=1),0,1)</f>
        <v>14.82</v>
      </c>
      <c r="S53" s="24" t="n">
        <f aca="false">IF(S$45&lt;$G53,0,IF($F53=1,$C$10+($C$11-$C$10)*MIN(S$45-$G53,$C$12)/$C$12,$E53*$C$5*INDEX($C$6:$C$9,MIN(S$45-$G53,3)+1)))*(1-$C$14)*IF(AND($C53="Verified",$C$39=1),0,1)</f>
        <v>14.82</v>
      </c>
      <c r="T53" s="24" t="n">
        <f aca="false">IF(T$45&lt;$G53,0,IF($F53=1,$C$10+($C$11-$C$10)*MIN(T$45-$G53,$C$12)/$C$12,$E53*$C$5*INDEX($C$6:$C$9,MIN(T$45-$G53,3)+1)))*(1-$C$14)*IF(AND($C53="Verified",$C$39=1),0,1)</f>
        <v>14.82</v>
      </c>
      <c r="U53" s="24" t="n">
        <f aca="false">IF(U$45&lt;$G53,0,IF($F53=1,$C$10+($C$11-$C$10)*MIN(U$45-$G53,$C$12)/$C$12,$E53*$C$5*INDEX($C$6:$C$9,MIN(U$45-$G53,3)+1)))*(1-$C$14)*IF(AND($C53="Verified",$C$39=1),0,1)</f>
        <v>14.82</v>
      </c>
      <c r="V53" s="24" t="n">
        <f aca="false">IF(V$45&lt;$G53,0,IF($F53=1,$C$10+($C$11-$C$10)*MIN(V$45-$G53,$C$12)/$C$12,$E53*$C$5*INDEX($C$6:$C$9,MIN(V$45-$G53,3)+1)))*(1-$C$14)*IF(AND($C53="Verified",$C$39=1),0,1)</f>
        <v>14.82</v>
      </c>
      <c r="W53" s="24" t="n">
        <f aca="false">IF(W$45&lt;$G53,0,IF($F53=1,$C$10+($C$11-$C$10)*MIN(W$45-$G53,$C$12)/$C$12,$E53*$C$5*INDEX($C$6:$C$9,MIN(W$45-$G53,3)+1)))*(1-$C$14)*IF(AND($C53="Verified",$C$39=1),0,1)</f>
        <v>14.82</v>
      </c>
      <c r="X53" s="24" t="n">
        <f aca="false">IF(X$45&lt;$G53,0,IF($F53=1,$C$10+($C$11-$C$10)*MIN(X$45-$G53,$C$12)/$C$12,$E53*$C$5*INDEX($C$6:$C$9,MIN(X$45-$G53,3)+1)))*(1-$C$14)*IF(AND($C53="Verified",$C$39=1),0,1)</f>
        <v>14.82</v>
      </c>
      <c r="Y53" s="24" t="n">
        <f aca="false">IF(Y$45&lt;$G53,0,IF($F53=1,$C$10+($C$11-$C$10)*MIN(Y$45-$G53,$C$12)/$C$12,$E53*$C$5*INDEX($C$6:$C$9,MIN(Y$45-$G53,3)+1)))*(1-$C$14)*IF(AND($C53="Verified",$C$39=1),0,1)</f>
        <v>14.82</v>
      </c>
    </row>
    <row r="54" customFormat="false" ht="15" hidden="false" customHeight="false" outlineLevel="0" collapsed="false">
      <c r="A54" s="29" t="n">
        <f aca="false">Assumptions!A63</f>
        <v>7</v>
      </c>
      <c r="B54" s="29" t="str">
        <f aca="false">Assumptions!B63</f>
        <v>A</v>
      </c>
      <c r="C54" s="29" t="str">
        <f aca="false">Assumptions!C63</f>
        <v>Assured</v>
      </c>
      <c r="D54" s="34" t="n">
        <f aca="false">Assumptions!D63</f>
        <v>12000</v>
      </c>
      <c r="E54" s="31" t="n">
        <f aca="false">Assumptions!E63</f>
        <v>24</v>
      </c>
      <c r="F54" s="29" t="n">
        <f aca="false">Assumptions!G63</f>
        <v>0</v>
      </c>
      <c r="G54" s="2" t="n">
        <f aca="false">Assumptions!F63+IF(F54=1,0,$C$15)</f>
        <v>6</v>
      </c>
      <c r="H54" s="24" t="n">
        <f aca="false">IF(H$45&lt;$G54,0,IF($F54=1,$C$10+($C$11-$C$10)*MIN(H$45-$G54,$C$12)/$C$12,$E54*$C$5*INDEX($C$6:$C$9,MIN(H$45-$G54,3)+1)))*(1-$C$14)*IF(AND($C54="Verified",$C$39=1),0,1)</f>
        <v>0</v>
      </c>
      <c r="I54" s="24" t="n">
        <f aca="false">IF(I$45&lt;$G54,0,IF($F54=1,$C$10+($C$11-$C$10)*MIN(I$45-$G54,$C$12)/$C$12,$E54*$C$5*INDEX($C$6:$C$9,MIN(I$45-$G54,3)+1)))*(1-$C$14)*IF(AND($C54="Verified",$C$39=1),0,1)</f>
        <v>0</v>
      </c>
      <c r="J54" s="24" t="n">
        <f aca="false">IF(J$45&lt;$G54,0,IF($F54=1,$C$10+($C$11-$C$10)*MIN(J$45-$G54,$C$12)/$C$12,$E54*$C$5*INDEX($C$6:$C$9,MIN(J$45-$G54,3)+1)))*(1-$C$14)*IF(AND($C54="Verified",$C$39=1),0,1)</f>
        <v>0</v>
      </c>
      <c r="K54" s="24" t="n">
        <f aca="false">IF(K$45&lt;$G54,0,IF($F54=1,$C$10+($C$11-$C$10)*MIN(K$45-$G54,$C$12)/$C$12,$E54*$C$5*INDEX($C$6:$C$9,MIN(K$45-$G54,3)+1)))*(1-$C$14)*IF(AND($C54="Verified",$C$39=1),0,1)</f>
        <v>0</v>
      </c>
      <c r="L54" s="24" t="n">
        <f aca="false">IF(L$45&lt;$G54,0,IF($F54=1,$C$10+($C$11-$C$10)*MIN(L$45-$G54,$C$12)/$C$12,$E54*$C$5*INDEX($C$6:$C$9,MIN(L$45-$G54,3)+1)))*(1-$C$14)*IF(AND($C54="Verified",$C$39=1),0,1)</f>
        <v>0</v>
      </c>
      <c r="M54" s="24" t="n">
        <f aca="false">IF(M$45&lt;$G54,0,IF($F54=1,$C$10+($C$11-$C$10)*MIN(M$45-$G54,$C$12)/$C$12,$E54*$C$5*INDEX($C$6:$C$9,MIN(M$45-$G54,3)+1)))*(1-$C$14)*IF(AND($C54="Verified",$C$39=1),0,1)</f>
        <v>4.446</v>
      </c>
      <c r="N54" s="24" t="n">
        <f aca="false">IF(N$45&lt;$G54,0,IF($F54=1,$C$10+($C$11-$C$10)*MIN(N$45-$G54,$C$12)/$C$12,$E54*$C$5*INDEX($C$6:$C$9,MIN(N$45-$G54,3)+1)))*(1-$C$14)*IF(AND($C54="Verified",$C$39=1),0,1)</f>
        <v>8.892</v>
      </c>
      <c r="O54" s="24" t="n">
        <f aca="false">IF(O$45&lt;$G54,0,IF($F54=1,$C$10+($C$11-$C$10)*MIN(O$45-$G54,$C$12)/$C$12,$E54*$C$5*INDEX($C$6:$C$9,MIN(O$45-$G54,3)+1)))*(1-$C$14)*IF(AND($C54="Verified",$C$39=1),0,1)</f>
        <v>12.597</v>
      </c>
      <c r="P54" s="24" t="n">
        <f aca="false">IF(P$45&lt;$G54,0,IF($F54=1,$C$10+($C$11-$C$10)*MIN(P$45-$G54,$C$12)/$C$12,$E54*$C$5*INDEX($C$6:$C$9,MIN(P$45-$G54,3)+1)))*(1-$C$14)*IF(AND($C54="Verified",$C$39=1),0,1)</f>
        <v>14.82</v>
      </c>
      <c r="Q54" s="24" t="n">
        <f aca="false">IF(Q$45&lt;$G54,0,IF($F54=1,$C$10+($C$11-$C$10)*MIN(Q$45-$G54,$C$12)/$C$12,$E54*$C$5*INDEX($C$6:$C$9,MIN(Q$45-$G54,3)+1)))*(1-$C$14)*IF(AND($C54="Verified",$C$39=1),0,1)</f>
        <v>14.82</v>
      </c>
      <c r="R54" s="24" t="n">
        <f aca="false">IF(R$45&lt;$G54,0,IF($F54=1,$C$10+($C$11-$C$10)*MIN(R$45-$G54,$C$12)/$C$12,$E54*$C$5*INDEX($C$6:$C$9,MIN(R$45-$G54,3)+1)))*(1-$C$14)*IF(AND($C54="Verified",$C$39=1),0,1)</f>
        <v>14.82</v>
      </c>
      <c r="S54" s="24" t="n">
        <f aca="false">IF(S$45&lt;$G54,0,IF($F54=1,$C$10+($C$11-$C$10)*MIN(S$45-$G54,$C$12)/$C$12,$E54*$C$5*INDEX($C$6:$C$9,MIN(S$45-$G54,3)+1)))*(1-$C$14)*IF(AND($C54="Verified",$C$39=1),0,1)</f>
        <v>14.82</v>
      </c>
      <c r="T54" s="24" t="n">
        <f aca="false">IF(T$45&lt;$G54,0,IF($F54=1,$C$10+($C$11-$C$10)*MIN(T$45-$G54,$C$12)/$C$12,$E54*$C$5*INDEX($C$6:$C$9,MIN(T$45-$G54,3)+1)))*(1-$C$14)*IF(AND($C54="Verified",$C$39=1),0,1)</f>
        <v>14.82</v>
      </c>
      <c r="U54" s="24" t="n">
        <f aca="false">IF(U$45&lt;$G54,0,IF($F54=1,$C$10+($C$11-$C$10)*MIN(U$45-$G54,$C$12)/$C$12,$E54*$C$5*INDEX($C$6:$C$9,MIN(U$45-$G54,3)+1)))*(1-$C$14)*IF(AND($C54="Verified",$C$39=1),0,1)</f>
        <v>14.82</v>
      </c>
      <c r="V54" s="24" t="n">
        <f aca="false">IF(V$45&lt;$G54,0,IF($F54=1,$C$10+($C$11-$C$10)*MIN(V$45-$G54,$C$12)/$C$12,$E54*$C$5*INDEX($C$6:$C$9,MIN(V$45-$G54,3)+1)))*(1-$C$14)*IF(AND($C54="Verified",$C$39=1),0,1)</f>
        <v>14.82</v>
      </c>
      <c r="W54" s="24" t="n">
        <f aca="false">IF(W$45&lt;$G54,0,IF($F54=1,$C$10+($C$11-$C$10)*MIN(W$45-$G54,$C$12)/$C$12,$E54*$C$5*INDEX($C$6:$C$9,MIN(W$45-$G54,3)+1)))*(1-$C$14)*IF(AND($C54="Verified",$C$39=1),0,1)</f>
        <v>14.82</v>
      </c>
      <c r="X54" s="24" t="n">
        <f aca="false">IF(X$45&lt;$G54,0,IF($F54=1,$C$10+($C$11-$C$10)*MIN(X$45-$G54,$C$12)/$C$12,$E54*$C$5*INDEX($C$6:$C$9,MIN(X$45-$G54,3)+1)))*(1-$C$14)*IF(AND($C54="Verified",$C$39=1),0,1)</f>
        <v>14.82</v>
      </c>
      <c r="Y54" s="24" t="n">
        <f aca="false">IF(Y$45&lt;$G54,0,IF($F54=1,$C$10+($C$11-$C$10)*MIN(Y$45-$G54,$C$12)/$C$12,$E54*$C$5*INDEX($C$6:$C$9,MIN(Y$45-$G54,3)+1)))*(1-$C$14)*IF(AND($C54="Verified",$C$39=1),0,1)</f>
        <v>14.82</v>
      </c>
    </row>
    <row r="55" customFormat="false" ht="15" hidden="false" customHeight="false" outlineLevel="0" collapsed="false">
      <c r="A55" s="29" t="n">
        <f aca="false">Assumptions!A64</f>
        <v>8</v>
      </c>
      <c r="B55" s="29" t="str">
        <f aca="false">Assumptions!B64</f>
        <v>A</v>
      </c>
      <c r="C55" s="29" t="str">
        <f aca="false">Assumptions!C64</f>
        <v>Assured</v>
      </c>
      <c r="D55" s="34" t="n">
        <f aca="false">Assumptions!D64</f>
        <v>12000</v>
      </c>
      <c r="E55" s="31" t="n">
        <f aca="false">Assumptions!E64</f>
        <v>24</v>
      </c>
      <c r="F55" s="29" t="n">
        <f aca="false">Assumptions!G64</f>
        <v>0</v>
      </c>
      <c r="G55" s="2" t="n">
        <f aca="false">Assumptions!F64+IF(F55=1,0,$C$15)</f>
        <v>6</v>
      </c>
      <c r="H55" s="24" t="n">
        <f aca="false">IF(H$45&lt;$G55,0,IF($F55=1,$C$10+($C$11-$C$10)*MIN(H$45-$G55,$C$12)/$C$12,$E55*$C$5*INDEX($C$6:$C$9,MIN(H$45-$G55,3)+1)))*(1-$C$14)*IF(AND($C55="Verified",$C$39=1),0,1)</f>
        <v>0</v>
      </c>
      <c r="I55" s="24" t="n">
        <f aca="false">IF(I$45&lt;$G55,0,IF($F55=1,$C$10+($C$11-$C$10)*MIN(I$45-$G55,$C$12)/$C$12,$E55*$C$5*INDEX($C$6:$C$9,MIN(I$45-$G55,3)+1)))*(1-$C$14)*IF(AND($C55="Verified",$C$39=1),0,1)</f>
        <v>0</v>
      </c>
      <c r="J55" s="24" t="n">
        <f aca="false">IF(J$45&lt;$G55,0,IF($F55=1,$C$10+($C$11-$C$10)*MIN(J$45-$G55,$C$12)/$C$12,$E55*$C$5*INDEX($C$6:$C$9,MIN(J$45-$G55,3)+1)))*(1-$C$14)*IF(AND($C55="Verified",$C$39=1),0,1)</f>
        <v>0</v>
      </c>
      <c r="K55" s="24" t="n">
        <f aca="false">IF(K$45&lt;$G55,0,IF($F55=1,$C$10+($C$11-$C$10)*MIN(K$45-$G55,$C$12)/$C$12,$E55*$C$5*INDEX($C$6:$C$9,MIN(K$45-$G55,3)+1)))*(1-$C$14)*IF(AND($C55="Verified",$C$39=1),0,1)</f>
        <v>0</v>
      </c>
      <c r="L55" s="24" t="n">
        <f aca="false">IF(L$45&lt;$G55,0,IF($F55=1,$C$10+($C$11-$C$10)*MIN(L$45-$G55,$C$12)/$C$12,$E55*$C$5*INDEX($C$6:$C$9,MIN(L$45-$G55,3)+1)))*(1-$C$14)*IF(AND($C55="Verified",$C$39=1),0,1)</f>
        <v>0</v>
      </c>
      <c r="M55" s="24" t="n">
        <f aca="false">IF(M$45&lt;$G55,0,IF($F55=1,$C$10+($C$11-$C$10)*MIN(M$45-$G55,$C$12)/$C$12,$E55*$C$5*INDEX($C$6:$C$9,MIN(M$45-$G55,3)+1)))*(1-$C$14)*IF(AND($C55="Verified",$C$39=1),0,1)</f>
        <v>4.446</v>
      </c>
      <c r="N55" s="24" t="n">
        <f aca="false">IF(N$45&lt;$G55,0,IF($F55=1,$C$10+($C$11-$C$10)*MIN(N$45-$G55,$C$12)/$C$12,$E55*$C$5*INDEX($C$6:$C$9,MIN(N$45-$G55,3)+1)))*(1-$C$14)*IF(AND($C55="Verified",$C$39=1),0,1)</f>
        <v>8.892</v>
      </c>
      <c r="O55" s="24" t="n">
        <f aca="false">IF(O$45&lt;$G55,0,IF($F55=1,$C$10+($C$11-$C$10)*MIN(O$45-$G55,$C$12)/$C$12,$E55*$C$5*INDEX($C$6:$C$9,MIN(O$45-$G55,3)+1)))*(1-$C$14)*IF(AND($C55="Verified",$C$39=1),0,1)</f>
        <v>12.597</v>
      </c>
      <c r="P55" s="24" t="n">
        <f aca="false">IF(P$45&lt;$G55,0,IF($F55=1,$C$10+($C$11-$C$10)*MIN(P$45-$G55,$C$12)/$C$12,$E55*$C$5*INDEX($C$6:$C$9,MIN(P$45-$G55,3)+1)))*(1-$C$14)*IF(AND($C55="Verified",$C$39=1),0,1)</f>
        <v>14.82</v>
      </c>
      <c r="Q55" s="24" t="n">
        <f aca="false">IF(Q$45&lt;$G55,0,IF($F55=1,$C$10+($C$11-$C$10)*MIN(Q$45-$G55,$C$12)/$C$12,$E55*$C$5*INDEX($C$6:$C$9,MIN(Q$45-$G55,3)+1)))*(1-$C$14)*IF(AND($C55="Verified",$C$39=1),0,1)</f>
        <v>14.82</v>
      </c>
      <c r="R55" s="24" t="n">
        <f aca="false">IF(R$45&lt;$G55,0,IF($F55=1,$C$10+($C$11-$C$10)*MIN(R$45-$G55,$C$12)/$C$12,$E55*$C$5*INDEX($C$6:$C$9,MIN(R$45-$G55,3)+1)))*(1-$C$14)*IF(AND($C55="Verified",$C$39=1),0,1)</f>
        <v>14.82</v>
      </c>
      <c r="S55" s="24" t="n">
        <f aca="false">IF(S$45&lt;$G55,0,IF($F55=1,$C$10+($C$11-$C$10)*MIN(S$45-$G55,$C$12)/$C$12,$E55*$C$5*INDEX($C$6:$C$9,MIN(S$45-$G55,3)+1)))*(1-$C$14)*IF(AND($C55="Verified",$C$39=1),0,1)</f>
        <v>14.82</v>
      </c>
      <c r="T55" s="24" t="n">
        <f aca="false">IF(T$45&lt;$G55,0,IF($F55=1,$C$10+($C$11-$C$10)*MIN(T$45-$G55,$C$12)/$C$12,$E55*$C$5*INDEX($C$6:$C$9,MIN(T$45-$G55,3)+1)))*(1-$C$14)*IF(AND($C55="Verified",$C$39=1),0,1)</f>
        <v>14.82</v>
      </c>
      <c r="U55" s="24" t="n">
        <f aca="false">IF(U$45&lt;$G55,0,IF($F55=1,$C$10+($C$11-$C$10)*MIN(U$45-$G55,$C$12)/$C$12,$E55*$C$5*INDEX($C$6:$C$9,MIN(U$45-$G55,3)+1)))*(1-$C$14)*IF(AND($C55="Verified",$C$39=1),0,1)</f>
        <v>14.82</v>
      </c>
      <c r="V55" s="24" t="n">
        <f aca="false">IF(V$45&lt;$G55,0,IF($F55=1,$C$10+($C$11-$C$10)*MIN(V$45-$G55,$C$12)/$C$12,$E55*$C$5*INDEX($C$6:$C$9,MIN(V$45-$G55,3)+1)))*(1-$C$14)*IF(AND($C55="Verified",$C$39=1),0,1)</f>
        <v>14.82</v>
      </c>
      <c r="W55" s="24" t="n">
        <f aca="false">IF(W$45&lt;$G55,0,IF($F55=1,$C$10+($C$11-$C$10)*MIN(W$45-$G55,$C$12)/$C$12,$E55*$C$5*INDEX($C$6:$C$9,MIN(W$45-$G55,3)+1)))*(1-$C$14)*IF(AND($C55="Verified",$C$39=1),0,1)</f>
        <v>14.82</v>
      </c>
      <c r="X55" s="24" t="n">
        <f aca="false">IF(X$45&lt;$G55,0,IF($F55=1,$C$10+($C$11-$C$10)*MIN(X$45-$G55,$C$12)/$C$12,$E55*$C$5*INDEX($C$6:$C$9,MIN(X$45-$G55,3)+1)))*(1-$C$14)*IF(AND($C55="Verified",$C$39=1),0,1)</f>
        <v>14.82</v>
      </c>
      <c r="Y55" s="24" t="n">
        <f aca="false">IF(Y$45&lt;$G55,0,IF($F55=1,$C$10+($C$11-$C$10)*MIN(Y$45-$G55,$C$12)/$C$12,$E55*$C$5*INDEX($C$6:$C$9,MIN(Y$45-$G55,3)+1)))*(1-$C$14)*IF(AND($C55="Verified",$C$39=1),0,1)</f>
        <v>14.82</v>
      </c>
    </row>
    <row r="56" customFormat="false" ht="15" hidden="false" customHeight="false" outlineLevel="0" collapsed="false">
      <c r="A56" s="29" t="n">
        <f aca="false">Assumptions!A65</f>
        <v>9</v>
      </c>
      <c r="B56" s="29" t="str">
        <f aca="false">Assumptions!B65</f>
        <v>A</v>
      </c>
      <c r="C56" s="29" t="str">
        <f aca="false">Assumptions!C65</f>
        <v>Assured</v>
      </c>
      <c r="D56" s="34" t="n">
        <f aca="false">Assumptions!D65</f>
        <v>12000</v>
      </c>
      <c r="E56" s="31" t="n">
        <f aca="false">Assumptions!E65</f>
        <v>24</v>
      </c>
      <c r="F56" s="29" t="n">
        <f aca="false">Assumptions!G65</f>
        <v>0</v>
      </c>
      <c r="G56" s="2" t="n">
        <f aca="false">Assumptions!F65+IF(F56=1,0,$C$15)</f>
        <v>7</v>
      </c>
      <c r="H56" s="24" t="n">
        <f aca="false">IF(H$45&lt;$G56,0,IF($F56=1,$C$10+($C$11-$C$10)*MIN(H$45-$G56,$C$12)/$C$12,$E56*$C$5*INDEX($C$6:$C$9,MIN(H$45-$G56,3)+1)))*(1-$C$14)*IF(AND($C56="Verified",$C$39=1),0,1)</f>
        <v>0</v>
      </c>
      <c r="I56" s="24" t="n">
        <f aca="false">IF(I$45&lt;$G56,0,IF($F56=1,$C$10+($C$11-$C$10)*MIN(I$45-$G56,$C$12)/$C$12,$E56*$C$5*INDEX($C$6:$C$9,MIN(I$45-$G56,3)+1)))*(1-$C$14)*IF(AND($C56="Verified",$C$39=1),0,1)</f>
        <v>0</v>
      </c>
      <c r="J56" s="24" t="n">
        <f aca="false">IF(J$45&lt;$G56,0,IF($F56=1,$C$10+($C$11-$C$10)*MIN(J$45-$G56,$C$12)/$C$12,$E56*$C$5*INDEX($C$6:$C$9,MIN(J$45-$G56,3)+1)))*(1-$C$14)*IF(AND($C56="Verified",$C$39=1),0,1)</f>
        <v>0</v>
      </c>
      <c r="K56" s="24" t="n">
        <f aca="false">IF(K$45&lt;$G56,0,IF($F56=1,$C$10+($C$11-$C$10)*MIN(K$45-$G56,$C$12)/$C$12,$E56*$C$5*INDEX($C$6:$C$9,MIN(K$45-$G56,3)+1)))*(1-$C$14)*IF(AND($C56="Verified",$C$39=1),0,1)</f>
        <v>0</v>
      </c>
      <c r="L56" s="24" t="n">
        <f aca="false">IF(L$45&lt;$G56,0,IF($F56=1,$C$10+($C$11-$C$10)*MIN(L$45-$G56,$C$12)/$C$12,$E56*$C$5*INDEX($C$6:$C$9,MIN(L$45-$G56,3)+1)))*(1-$C$14)*IF(AND($C56="Verified",$C$39=1),0,1)</f>
        <v>0</v>
      </c>
      <c r="M56" s="24" t="n">
        <f aca="false">IF(M$45&lt;$G56,0,IF($F56=1,$C$10+($C$11-$C$10)*MIN(M$45-$G56,$C$12)/$C$12,$E56*$C$5*INDEX($C$6:$C$9,MIN(M$45-$G56,3)+1)))*(1-$C$14)*IF(AND($C56="Verified",$C$39=1),0,1)</f>
        <v>0</v>
      </c>
      <c r="N56" s="24" t="n">
        <f aca="false">IF(N$45&lt;$G56,0,IF($F56=1,$C$10+($C$11-$C$10)*MIN(N$45-$G56,$C$12)/$C$12,$E56*$C$5*INDEX($C$6:$C$9,MIN(N$45-$G56,3)+1)))*(1-$C$14)*IF(AND($C56="Verified",$C$39=1),0,1)</f>
        <v>4.446</v>
      </c>
      <c r="O56" s="24" t="n">
        <f aca="false">IF(O$45&lt;$G56,0,IF($F56=1,$C$10+($C$11-$C$10)*MIN(O$45-$G56,$C$12)/$C$12,$E56*$C$5*INDEX($C$6:$C$9,MIN(O$45-$G56,3)+1)))*(1-$C$14)*IF(AND($C56="Verified",$C$39=1),0,1)</f>
        <v>8.892</v>
      </c>
      <c r="P56" s="24" t="n">
        <f aca="false">IF(P$45&lt;$G56,0,IF($F56=1,$C$10+($C$11-$C$10)*MIN(P$45-$G56,$C$12)/$C$12,$E56*$C$5*INDEX($C$6:$C$9,MIN(P$45-$G56,3)+1)))*(1-$C$14)*IF(AND($C56="Verified",$C$39=1),0,1)</f>
        <v>12.597</v>
      </c>
      <c r="Q56" s="24" t="n">
        <f aca="false">IF(Q$45&lt;$G56,0,IF($F56=1,$C$10+($C$11-$C$10)*MIN(Q$45-$G56,$C$12)/$C$12,$E56*$C$5*INDEX($C$6:$C$9,MIN(Q$45-$G56,3)+1)))*(1-$C$14)*IF(AND($C56="Verified",$C$39=1),0,1)</f>
        <v>14.82</v>
      </c>
      <c r="R56" s="24" t="n">
        <f aca="false">IF(R$45&lt;$G56,0,IF($F56=1,$C$10+($C$11-$C$10)*MIN(R$45-$G56,$C$12)/$C$12,$E56*$C$5*INDEX($C$6:$C$9,MIN(R$45-$G56,3)+1)))*(1-$C$14)*IF(AND($C56="Verified",$C$39=1),0,1)</f>
        <v>14.82</v>
      </c>
      <c r="S56" s="24" t="n">
        <f aca="false">IF(S$45&lt;$G56,0,IF($F56=1,$C$10+($C$11-$C$10)*MIN(S$45-$G56,$C$12)/$C$12,$E56*$C$5*INDEX($C$6:$C$9,MIN(S$45-$G56,3)+1)))*(1-$C$14)*IF(AND($C56="Verified",$C$39=1),0,1)</f>
        <v>14.82</v>
      </c>
      <c r="T56" s="24" t="n">
        <f aca="false">IF(T$45&lt;$G56,0,IF($F56=1,$C$10+($C$11-$C$10)*MIN(T$45-$G56,$C$12)/$C$12,$E56*$C$5*INDEX($C$6:$C$9,MIN(T$45-$G56,3)+1)))*(1-$C$14)*IF(AND($C56="Verified",$C$39=1),0,1)</f>
        <v>14.82</v>
      </c>
      <c r="U56" s="24" t="n">
        <f aca="false">IF(U$45&lt;$G56,0,IF($F56=1,$C$10+($C$11-$C$10)*MIN(U$45-$G56,$C$12)/$C$12,$E56*$C$5*INDEX($C$6:$C$9,MIN(U$45-$G56,3)+1)))*(1-$C$14)*IF(AND($C56="Verified",$C$39=1),0,1)</f>
        <v>14.82</v>
      </c>
      <c r="V56" s="24" t="n">
        <f aca="false">IF(V$45&lt;$G56,0,IF($F56=1,$C$10+($C$11-$C$10)*MIN(V$45-$G56,$C$12)/$C$12,$E56*$C$5*INDEX($C$6:$C$9,MIN(V$45-$G56,3)+1)))*(1-$C$14)*IF(AND($C56="Verified",$C$39=1),0,1)</f>
        <v>14.82</v>
      </c>
      <c r="W56" s="24" t="n">
        <f aca="false">IF(W$45&lt;$G56,0,IF($F56=1,$C$10+($C$11-$C$10)*MIN(W$45-$G56,$C$12)/$C$12,$E56*$C$5*INDEX($C$6:$C$9,MIN(W$45-$G56,3)+1)))*(1-$C$14)*IF(AND($C56="Verified",$C$39=1),0,1)</f>
        <v>14.82</v>
      </c>
      <c r="X56" s="24" t="n">
        <f aca="false">IF(X$45&lt;$G56,0,IF($F56=1,$C$10+($C$11-$C$10)*MIN(X$45-$G56,$C$12)/$C$12,$E56*$C$5*INDEX($C$6:$C$9,MIN(X$45-$G56,3)+1)))*(1-$C$14)*IF(AND($C56="Verified",$C$39=1),0,1)</f>
        <v>14.82</v>
      </c>
      <c r="Y56" s="24" t="n">
        <f aca="false">IF(Y$45&lt;$G56,0,IF($F56=1,$C$10+($C$11-$C$10)*MIN(Y$45-$G56,$C$12)/$C$12,$E56*$C$5*INDEX($C$6:$C$9,MIN(Y$45-$G56,3)+1)))*(1-$C$14)*IF(AND($C56="Verified",$C$39=1),0,1)</f>
        <v>14.82</v>
      </c>
    </row>
    <row r="57" customFormat="false" ht="15" hidden="false" customHeight="false" outlineLevel="0" collapsed="false">
      <c r="A57" s="29" t="n">
        <f aca="false">Assumptions!A66</f>
        <v>10</v>
      </c>
      <c r="B57" s="29" t="str">
        <f aca="false">Assumptions!B66</f>
        <v>C</v>
      </c>
      <c r="C57" s="29" t="str">
        <f aca="false">Assumptions!C66</f>
        <v>Assured</v>
      </c>
      <c r="D57" s="34" t="n">
        <f aca="false">Assumptions!D66</f>
        <v>8000</v>
      </c>
      <c r="E57" s="31" t="n">
        <f aca="false">Assumptions!E66</f>
        <v>26</v>
      </c>
      <c r="F57" s="29" t="n">
        <f aca="false">Assumptions!G66</f>
        <v>0</v>
      </c>
      <c r="G57" s="2" t="n">
        <f aca="false">Assumptions!F66+IF(F57=1,0,$C$15)</f>
        <v>8</v>
      </c>
      <c r="H57" s="24" t="n">
        <f aca="false">IF(H$45&lt;$G57,0,IF($F57=1,$C$10+($C$11-$C$10)*MIN(H$45-$G57,$C$12)/$C$12,$E57*$C$5*INDEX($C$6:$C$9,MIN(H$45-$G57,3)+1)))*(1-$C$14)*IF(AND($C57="Verified",$C$39=1),0,1)</f>
        <v>0</v>
      </c>
      <c r="I57" s="24" t="n">
        <f aca="false">IF(I$45&lt;$G57,0,IF($F57=1,$C$10+($C$11-$C$10)*MIN(I$45-$G57,$C$12)/$C$12,$E57*$C$5*INDEX($C$6:$C$9,MIN(I$45-$G57,3)+1)))*(1-$C$14)*IF(AND($C57="Verified",$C$39=1),0,1)</f>
        <v>0</v>
      </c>
      <c r="J57" s="24" t="n">
        <f aca="false">IF(J$45&lt;$G57,0,IF($F57=1,$C$10+($C$11-$C$10)*MIN(J$45-$G57,$C$12)/$C$12,$E57*$C$5*INDEX($C$6:$C$9,MIN(J$45-$G57,3)+1)))*(1-$C$14)*IF(AND($C57="Verified",$C$39=1),0,1)</f>
        <v>0</v>
      </c>
      <c r="K57" s="24" t="n">
        <f aca="false">IF(K$45&lt;$G57,0,IF($F57=1,$C$10+($C$11-$C$10)*MIN(K$45-$G57,$C$12)/$C$12,$E57*$C$5*INDEX($C$6:$C$9,MIN(K$45-$G57,3)+1)))*(1-$C$14)*IF(AND($C57="Verified",$C$39=1),0,1)</f>
        <v>0</v>
      </c>
      <c r="L57" s="24" t="n">
        <f aca="false">IF(L$45&lt;$G57,0,IF($F57=1,$C$10+($C$11-$C$10)*MIN(L$45-$G57,$C$12)/$C$12,$E57*$C$5*INDEX($C$6:$C$9,MIN(L$45-$G57,3)+1)))*(1-$C$14)*IF(AND($C57="Verified",$C$39=1),0,1)</f>
        <v>0</v>
      </c>
      <c r="M57" s="24" t="n">
        <f aca="false">IF(M$45&lt;$G57,0,IF($F57=1,$C$10+($C$11-$C$10)*MIN(M$45-$G57,$C$12)/$C$12,$E57*$C$5*INDEX($C$6:$C$9,MIN(M$45-$G57,3)+1)))*(1-$C$14)*IF(AND($C57="Verified",$C$39=1),0,1)</f>
        <v>0</v>
      </c>
      <c r="N57" s="24" t="n">
        <f aca="false">IF(N$45&lt;$G57,0,IF($F57=1,$C$10+($C$11-$C$10)*MIN(N$45-$G57,$C$12)/$C$12,$E57*$C$5*INDEX($C$6:$C$9,MIN(N$45-$G57,3)+1)))*(1-$C$14)*IF(AND($C57="Verified",$C$39=1),0,1)</f>
        <v>0</v>
      </c>
      <c r="O57" s="24" t="n">
        <f aca="false">IF(O$45&lt;$G57,0,IF($F57=1,$C$10+($C$11-$C$10)*MIN(O$45-$G57,$C$12)/$C$12,$E57*$C$5*INDEX($C$6:$C$9,MIN(O$45-$G57,3)+1)))*(1-$C$14)*IF(AND($C57="Verified",$C$39=1),0,1)</f>
        <v>4.8165</v>
      </c>
      <c r="P57" s="24" t="n">
        <f aca="false">IF(P$45&lt;$G57,0,IF($F57=1,$C$10+($C$11-$C$10)*MIN(P$45-$G57,$C$12)/$C$12,$E57*$C$5*INDEX($C$6:$C$9,MIN(P$45-$G57,3)+1)))*(1-$C$14)*IF(AND($C57="Verified",$C$39=1),0,1)</f>
        <v>9.633</v>
      </c>
      <c r="Q57" s="24" t="n">
        <f aca="false">IF(Q$45&lt;$G57,0,IF($F57=1,$C$10+($C$11-$C$10)*MIN(Q$45-$G57,$C$12)/$C$12,$E57*$C$5*INDEX($C$6:$C$9,MIN(Q$45-$G57,3)+1)))*(1-$C$14)*IF(AND($C57="Verified",$C$39=1),0,1)</f>
        <v>13.64675</v>
      </c>
      <c r="R57" s="24" t="n">
        <f aca="false">IF(R$45&lt;$G57,0,IF($F57=1,$C$10+($C$11-$C$10)*MIN(R$45-$G57,$C$12)/$C$12,$E57*$C$5*INDEX($C$6:$C$9,MIN(R$45-$G57,3)+1)))*(1-$C$14)*IF(AND($C57="Verified",$C$39=1),0,1)</f>
        <v>16.055</v>
      </c>
      <c r="S57" s="24" t="n">
        <f aca="false">IF(S$45&lt;$G57,0,IF($F57=1,$C$10+($C$11-$C$10)*MIN(S$45-$G57,$C$12)/$C$12,$E57*$C$5*INDEX($C$6:$C$9,MIN(S$45-$G57,3)+1)))*(1-$C$14)*IF(AND($C57="Verified",$C$39=1),0,1)</f>
        <v>16.055</v>
      </c>
      <c r="T57" s="24" t="n">
        <f aca="false">IF(T$45&lt;$G57,0,IF($F57=1,$C$10+($C$11-$C$10)*MIN(T$45-$G57,$C$12)/$C$12,$E57*$C$5*INDEX($C$6:$C$9,MIN(T$45-$G57,3)+1)))*(1-$C$14)*IF(AND($C57="Verified",$C$39=1),0,1)</f>
        <v>16.055</v>
      </c>
      <c r="U57" s="24" t="n">
        <f aca="false">IF(U$45&lt;$G57,0,IF($F57=1,$C$10+($C$11-$C$10)*MIN(U$45-$G57,$C$12)/$C$12,$E57*$C$5*INDEX($C$6:$C$9,MIN(U$45-$G57,3)+1)))*(1-$C$14)*IF(AND($C57="Verified",$C$39=1),0,1)</f>
        <v>16.055</v>
      </c>
      <c r="V57" s="24" t="n">
        <f aca="false">IF(V$45&lt;$G57,0,IF($F57=1,$C$10+($C$11-$C$10)*MIN(V$45-$G57,$C$12)/$C$12,$E57*$C$5*INDEX($C$6:$C$9,MIN(V$45-$G57,3)+1)))*(1-$C$14)*IF(AND($C57="Verified",$C$39=1),0,1)</f>
        <v>16.055</v>
      </c>
      <c r="W57" s="24" t="n">
        <f aca="false">IF(W$45&lt;$G57,0,IF($F57=1,$C$10+($C$11-$C$10)*MIN(W$45-$G57,$C$12)/$C$12,$E57*$C$5*INDEX($C$6:$C$9,MIN(W$45-$G57,3)+1)))*(1-$C$14)*IF(AND($C57="Verified",$C$39=1),0,1)</f>
        <v>16.055</v>
      </c>
      <c r="X57" s="24" t="n">
        <f aca="false">IF(X$45&lt;$G57,0,IF($F57=1,$C$10+($C$11-$C$10)*MIN(X$45-$G57,$C$12)/$C$12,$E57*$C$5*INDEX($C$6:$C$9,MIN(X$45-$G57,3)+1)))*(1-$C$14)*IF(AND($C57="Verified",$C$39=1),0,1)</f>
        <v>16.055</v>
      </c>
      <c r="Y57" s="24" t="n">
        <f aca="false">IF(Y$45&lt;$G57,0,IF($F57=1,$C$10+($C$11-$C$10)*MIN(Y$45-$G57,$C$12)/$C$12,$E57*$C$5*INDEX($C$6:$C$9,MIN(Y$45-$G57,3)+1)))*(1-$C$14)*IF(AND($C57="Verified",$C$39=1),0,1)</f>
        <v>16.055</v>
      </c>
    </row>
    <row r="58" customFormat="false" ht="15" hidden="false" customHeight="false" outlineLevel="0" collapsed="false">
      <c r="A58" s="29" t="n">
        <f aca="false">Assumptions!A67</f>
        <v>11</v>
      </c>
      <c r="B58" s="29" t="str">
        <f aca="false">Assumptions!B67</f>
        <v>C</v>
      </c>
      <c r="C58" s="29" t="str">
        <f aca="false">Assumptions!C67</f>
        <v>Assured</v>
      </c>
      <c r="D58" s="34" t="n">
        <f aca="false">Assumptions!D67</f>
        <v>8000</v>
      </c>
      <c r="E58" s="31" t="n">
        <f aca="false">Assumptions!E67</f>
        <v>26</v>
      </c>
      <c r="F58" s="29" t="n">
        <f aca="false">Assumptions!G67</f>
        <v>0</v>
      </c>
      <c r="G58" s="2" t="n">
        <f aca="false">Assumptions!F67+IF(F58=1,0,$C$15)</f>
        <v>9</v>
      </c>
      <c r="H58" s="24" t="n">
        <f aca="false">IF(H$45&lt;$G58,0,IF($F58=1,$C$10+($C$11-$C$10)*MIN(H$45-$G58,$C$12)/$C$12,$E58*$C$5*INDEX($C$6:$C$9,MIN(H$45-$G58,3)+1)))*(1-$C$14)*IF(AND($C58="Verified",$C$39=1),0,1)</f>
        <v>0</v>
      </c>
      <c r="I58" s="24" t="n">
        <f aca="false">IF(I$45&lt;$G58,0,IF($F58=1,$C$10+($C$11-$C$10)*MIN(I$45-$G58,$C$12)/$C$12,$E58*$C$5*INDEX($C$6:$C$9,MIN(I$45-$G58,3)+1)))*(1-$C$14)*IF(AND($C58="Verified",$C$39=1),0,1)</f>
        <v>0</v>
      </c>
      <c r="J58" s="24" t="n">
        <f aca="false">IF(J$45&lt;$G58,0,IF($F58=1,$C$10+($C$11-$C$10)*MIN(J$45-$G58,$C$12)/$C$12,$E58*$C$5*INDEX($C$6:$C$9,MIN(J$45-$G58,3)+1)))*(1-$C$14)*IF(AND($C58="Verified",$C$39=1),0,1)</f>
        <v>0</v>
      </c>
      <c r="K58" s="24" t="n">
        <f aca="false">IF(K$45&lt;$G58,0,IF($F58=1,$C$10+($C$11-$C$10)*MIN(K$45-$G58,$C$12)/$C$12,$E58*$C$5*INDEX($C$6:$C$9,MIN(K$45-$G58,3)+1)))*(1-$C$14)*IF(AND($C58="Verified",$C$39=1),0,1)</f>
        <v>0</v>
      </c>
      <c r="L58" s="24" t="n">
        <f aca="false">IF(L$45&lt;$G58,0,IF($F58=1,$C$10+($C$11-$C$10)*MIN(L$45-$G58,$C$12)/$C$12,$E58*$C$5*INDEX($C$6:$C$9,MIN(L$45-$G58,3)+1)))*(1-$C$14)*IF(AND($C58="Verified",$C$39=1),0,1)</f>
        <v>0</v>
      </c>
      <c r="M58" s="24" t="n">
        <f aca="false">IF(M$45&lt;$G58,0,IF($F58=1,$C$10+($C$11-$C$10)*MIN(M$45-$G58,$C$12)/$C$12,$E58*$C$5*INDEX($C$6:$C$9,MIN(M$45-$G58,3)+1)))*(1-$C$14)*IF(AND($C58="Verified",$C$39=1),0,1)</f>
        <v>0</v>
      </c>
      <c r="N58" s="24" t="n">
        <f aca="false">IF(N$45&lt;$G58,0,IF($F58=1,$C$10+($C$11-$C$10)*MIN(N$45-$G58,$C$12)/$C$12,$E58*$C$5*INDEX($C$6:$C$9,MIN(N$45-$G58,3)+1)))*(1-$C$14)*IF(AND($C58="Verified",$C$39=1),0,1)</f>
        <v>0</v>
      </c>
      <c r="O58" s="24" t="n">
        <f aca="false">IF(O$45&lt;$G58,0,IF($F58=1,$C$10+($C$11-$C$10)*MIN(O$45-$G58,$C$12)/$C$12,$E58*$C$5*INDEX($C$6:$C$9,MIN(O$45-$G58,3)+1)))*(1-$C$14)*IF(AND($C58="Verified",$C$39=1),0,1)</f>
        <v>0</v>
      </c>
      <c r="P58" s="24" t="n">
        <f aca="false">IF(P$45&lt;$G58,0,IF($F58=1,$C$10+($C$11-$C$10)*MIN(P$45-$G58,$C$12)/$C$12,$E58*$C$5*INDEX($C$6:$C$9,MIN(P$45-$G58,3)+1)))*(1-$C$14)*IF(AND($C58="Verified",$C$39=1),0,1)</f>
        <v>4.8165</v>
      </c>
      <c r="Q58" s="24" t="n">
        <f aca="false">IF(Q$45&lt;$G58,0,IF($F58=1,$C$10+($C$11-$C$10)*MIN(Q$45-$G58,$C$12)/$C$12,$E58*$C$5*INDEX($C$6:$C$9,MIN(Q$45-$G58,3)+1)))*(1-$C$14)*IF(AND($C58="Verified",$C$39=1),0,1)</f>
        <v>9.633</v>
      </c>
      <c r="R58" s="24" t="n">
        <f aca="false">IF(R$45&lt;$G58,0,IF($F58=1,$C$10+($C$11-$C$10)*MIN(R$45-$G58,$C$12)/$C$12,$E58*$C$5*INDEX($C$6:$C$9,MIN(R$45-$G58,3)+1)))*(1-$C$14)*IF(AND($C58="Verified",$C$39=1),0,1)</f>
        <v>13.64675</v>
      </c>
      <c r="S58" s="24" t="n">
        <f aca="false">IF(S$45&lt;$G58,0,IF($F58=1,$C$10+($C$11-$C$10)*MIN(S$45-$G58,$C$12)/$C$12,$E58*$C$5*INDEX($C$6:$C$9,MIN(S$45-$G58,3)+1)))*(1-$C$14)*IF(AND($C58="Verified",$C$39=1),0,1)</f>
        <v>16.055</v>
      </c>
      <c r="T58" s="24" t="n">
        <f aca="false">IF(T$45&lt;$G58,0,IF($F58=1,$C$10+($C$11-$C$10)*MIN(T$45-$G58,$C$12)/$C$12,$E58*$C$5*INDEX($C$6:$C$9,MIN(T$45-$G58,3)+1)))*(1-$C$14)*IF(AND($C58="Verified",$C$39=1),0,1)</f>
        <v>16.055</v>
      </c>
      <c r="U58" s="24" t="n">
        <f aca="false">IF(U$45&lt;$G58,0,IF($F58=1,$C$10+($C$11-$C$10)*MIN(U$45-$G58,$C$12)/$C$12,$E58*$C$5*INDEX($C$6:$C$9,MIN(U$45-$G58,3)+1)))*(1-$C$14)*IF(AND($C58="Verified",$C$39=1),0,1)</f>
        <v>16.055</v>
      </c>
      <c r="V58" s="24" t="n">
        <f aca="false">IF(V$45&lt;$G58,0,IF($F58=1,$C$10+($C$11-$C$10)*MIN(V$45-$G58,$C$12)/$C$12,$E58*$C$5*INDEX($C$6:$C$9,MIN(V$45-$G58,3)+1)))*(1-$C$14)*IF(AND($C58="Verified",$C$39=1),0,1)</f>
        <v>16.055</v>
      </c>
      <c r="W58" s="24" t="n">
        <f aca="false">IF(W$45&lt;$G58,0,IF($F58=1,$C$10+($C$11-$C$10)*MIN(W$45-$G58,$C$12)/$C$12,$E58*$C$5*INDEX($C$6:$C$9,MIN(W$45-$G58,3)+1)))*(1-$C$14)*IF(AND($C58="Verified",$C$39=1),0,1)</f>
        <v>16.055</v>
      </c>
      <c r="X58" s="24" t="n">
        <f aca="false">IF(X$45&lt;$G58,0,IF($F58=1,$C$10+($C$11-$C$10)*MIN(X$45-$G58,$C$12)/$C$12,$E58*$C$5*INDEX($C$6:$C$9,MIN(X$45-$G58,3)+1)))*(1-$C$14)*IF(AND($C58="Verified",$C$39=1),0,1)</f>
        <v>16.055</v>
      </c>
      <c r="Y58" s="24" t="n">
        <f aca="false">IF(Y$45&lt;$G58,0,IF($F58=1,$C$10+($C$11-$C$10)*MIN(Y$45-$G58,$C$12)/$C$12,$E58*$C$5*INDEX($C$6:$C$9,MIN(Y$45-$G58,3)+1)))*(1-$C$14)*IF(AND($C58="Verified",$C$39=1),0,1)</f>
        <v>16.055</v>
      </c>
    </row>
    <row r="59" customFormat="false" ht="15" hidden="false" customHeight="false" outlineLevel="0" collapsed="false">
      <c r="A59" s="29" t="n">
        <f aca="false">Assumptions!A68</f>
        <v>12</v>
      </c>
      <c r="B59" s="29" t="str">
        <f aca="false">Assumptions!B68</f>
        <v>C</v>
      </c>
      <c r="C59" s="29" t="str">
        <f aca="false">Assumptions!C68</f>
        <v>Assured</v>
      </c>
      <c r="D59" s="34" t="n">
        <f aca="false">Assumptions!D68</f>
        <v>8000</v>
      </c>
      <c r="E59" s="31" t="n">
        <f aca="false">Assumptions!E68</f>
        <v>26</v>
      </c>
      <c r="F59" s="29" t="n">
        <f aca="false">Assumptions!G68</f>
        <v>0</v>
      </c>
      <c r="G59" s="2" t="n">
        <f aca="false">Assumptions!F68+IF(F59=1,0,$C$15)</f>
        <v>9</v>
      </c>
      <c r="H59" s="24" t="n">
        <f aca="false">IF(H$45&lt;$G59,0,IF($F59=1,$C$10+($C$11-$C$10)*MIN(H$45-$G59,$C$12)/$C$12,$E59*$C$5*INDEX($C$6:$C$9,MIN(H$45-$G59,3)+1)))*(1-$C$14)*IF(AND($C59="Verified",$C$39=1),0,1)</f>
        <v>0</v>
      </c>
      <c r="I59" s="24" t="n">
        <f aca="false">IF(I$45&lt;$G59,0,IF($F59=1,$C$10+($C$11-$C$10)*MIN(I$45-$G59,$C$12)/$C$12,$E59*$C$5*INDEX($C$6:$C$9,MIN(I$45-$G59,3)+1)))*(1-$C$14)*IF(AND($C59="Verified",$C$39=1),0,1)</f>
        <v>0</v>
      </c>
      <c r="J59" s="24" t="n">
        <f aca="false">IF(J$45&lt;$G59,0,IF($F59=1,$C$10+($C$11-$C$10)*MIN(J$45-$G59,$C$12)/$C$12,$E59*$C$5*INDEX($C$6:$C$9,MIN(J$45-$G59,3)+1)))*(1-$C$14)*IF(AND($C59="Verified",$C$39=1),0,1)</f>
        <v>0</v>
      </c>
      <c r="K59" s="24" t="n">
        <f aca="false">IF(K$45&lt;$G59,0,IF($F59=1,$C$10+($C$11-$C$10)*MIN(K$45-$G59,$C$12)/$C$12,$E59*$C$5*INDEX($C$6:$C$9,MIN(K$45-$G59,3)+1)))*(1-$C$14)*IF(AND($C59="Verified",$C$39=1),0,1)</f>
        <v>0</v>
      </c>
      <c r="L59" s="24" t="n">
        <f aca="false">IF(L$45&lt;$G59,0,IF($F59=1,$C$10+($C$11-$C$10)*MIN(L$45-$G59,$C$12)/$C$12,$E59*$C$5*INDEX($C$6:$C$9,MIN(L$45-$G59,3)+1)))*(1-$C$14)*IF(AND($C59="Verified",$C$39=1),0,1)</f>
        <v>0</v>
      </c>
      <c r="M59" s="24" t="n">
        <f aca="false">IF(M$45&lt;$G59,0,IF($F59=1,$C$10+($C$11-$C$10)*MIN(M$45-$G59,$C$12)/$C$12,$E59*$C$5*INDEX($C$6:$C$9,MIN(M$45-$G59,3)+1)))*(1-$C$14)*IF(AND($C59="Verified",$C$39=1),0,1)</f>
        <v>0</v>
      </c>
      <c r="N59" s="24" t="n">
        <f aca="false">IF(N$45&lt;$G59,0,IF($F59=1,$C$10+($C$11-$C$10)*MIN(N$45-$G59,$C$12)/$C$12,$E59*$C$5*INDEX($C$6:$C$9,MIN(N$45-$G59,3)+1)))*(1-$C$14)*IF(AND($C59="Verified",$C$39=1),0,1)</f>
        <v>0</v>
      </c>
      <c r="O59" s="24" t="n">
        <f aca="false">IF(O$45&lt;$G59,0,IF($F59=1,$C$10+($C$11-$C$10)*MIN(O$45-$G59,$C$12)/$C$12,$E59*$C$5*INDEX($C$6:$C$9,MIN(O$45-$G59,3)+1)))*(1-$C$14)*IF(AND($C59="Verified",$C$39=1),0,1)</f>
        <v>0</v>
      </c>
      <c r="P59" s="24" t="n">
        <f aca="false">IF(P$45&lt;$G59,0,IF($F59=1,$C$10+($C$11-$C$10)*MIN(P$45-$G59,$C$12)/$C$12,$E59*$C$5*INDEX($C$6:$C$9,MIN(P$45-$G59,3)+1)))*(1-$C$14)*IF(AND($C59="Verified",$C$39=1),0,1)</f>
        <v>4.8165</v>
      </c>
      <c r="Q59" s="24" t="n">
        <f aca="false">IF(Q$45&lt;$G59,0,IF($F59=1,$C$10+($C$11-$C$10)*MIN(Q$45-$G59,$C$12)/$C$12,$E59*$C$5*INDEX($C$6:$C$9,MIN(Q$45-$G59,3)+1)))*(1-$C$14)*IF(AND($C59="Verified",$C$39=1),0,1)</f>
        <v>9.633</v>
      </c>
      <c r="R59" s="24" t="n">
        <f aca="false">IF(R$45&lt;$G59,0,IF($F59=1,$C$10+($C$11-$C$10)*MIN(R$45-$G59,$C$12)/$C$12,$E59*$C$5*INDEX($C$6:$C$9,MIN(R$45-$G59,3)+1)))*(1-$C$14)*IF(AND($C59="Verified",$C$39=1),0,1)</f>
        <v>13.64675</v>
      </c>
      <c r="S59" s="24" t="n">
        <f aca="false">IF(S$45&lt;$G59,0,IF($F59=1,$C$10+($C$11-$C$10)*MIN(S$45-$G59,$C$12)/$C$12,$E59*$C$5*INDEX($C$6:$C$9,MIN(S$45-$G59,3)+1)))*(1-$C$14)*IF(AND($C59="Verified",$C$39=1),0,1)</f>
        <v>16.055</v>
      </c>
      <c r="T59" s="24" t="n">
        <f aca="false">IF(T$45&lt;$G59,0,IF($F59=1,$C$10+($C$11-$C$10)*MIN(T$45-$G59,$C$12)/$C$12,$E59*$C$5*INDEX($C$6:$C$9,MIN(T$45-$G59,3)+1)))*(1-$C$14)*IF(AND($C59="Verified",$C$39=1),0,1)</f>
        <v>16.055</v>
      </c>
      <c r="U59" s="24" t="n">
        <f aca="false">IF(U$45&lt;$G59,0,IF($F59=1,$C$10+($C$11-$C$10)*MIN(U$45-$G59,$C$12)/$C$12,$E59*$C$5*INDEX($C$6:$C$9,MIN(U$45-$G59,3)+1)))*(1-$C$14)*IF(AND($C59="Verified",$C$39=1),0,1)</f>
        <v>16.055</v>
      </c>
      <c r="V59" s="24" t="n">
        <f aca="false">IF(V$45&lt;$G59,0,IF($F59=1,$C$10+($C$11-$C$10)*MIN(V$45-$G59,$C$12)/$C$12,$E59*$C$5*INDEX($C$6:$C$9,MIN(V$45-$G59,3)+1)))*(1-$C$14)*IF(AND($C59="Verified",$C$39=1),0,1)</f>
        <v>16.055</v>
      </c>
      <c r="W59" s="24" t="n">
        <f aca="false">IF(W$45&lt;$G59,0,IF($F59=1,$C$10+($C$11-$C$10)*MIN(W$45-$G59,$C$12)/$C$12,$E59*$C$5*INDEX($C$6:$C$9,MIN(W$45-$G59,3)+1)))*(1-$C$14)*IF(AND($C59="Verified",$C$39=1),0,1)</f>
        <v>16.055</v>
      </c>
      <c r="X59" s="24" t="n">
        <f aca="false">IF(X$45&lt;$G59,0,IF($F59=1,$C$10+($C$11-$C$10)*MIN(X$45-$G59,$C$12)/$C$12,$E59*$C$5*INDEX($C$6:$C$9,MIN(X$45-$G59,3)+1)))*(1-$C$14)*IF(AND($C59="Verified",$C$39=1),0,1)</f>
        <v>16.055</v>
      </c>
      <c r="Y59" s="24" t="n">
        <f aca="false">IF(Y$45&lt;$G59,0,IF($F59=1,$C$10+($C$11-$C$10)*MIN(Y$45-$G59,$C$12)/$C$12,$E59*$C$5*INDEX($C$6:$C$9,MIN(Y$45-$G59,3)+1)))*(1-$C$14)*IF(AND($C59="Verified",$C$39=1),0,1)</f>
        <v>16.055</v>
      </c>
    </row>
    <row r="60" customFormat="false" ht="15" hidden="false" customHeight="false" outlineLevel="0" collapsed="false">
      <c r="A60" s="29" t="n">
        <f aca="false">Assumptions!A69</f>
        <v>13</v>
      </c>
      <c r="B60" s="29" t="str">
        <f aca="false">Assumptions!B69</f>
        <v>C</v>
      </c>
      <c r="C60" s="29" t="str">
        <f aca="false">Assumptions!C69</f>
        <v>Assured</v>
      </c>
      <c r="D60" s="34" t="n">
        <f aca="false">Assumptions!D69</f>
        <v>8000</v>
      </c>
      <c r="E60" s="31" t="n">
        <f aca="false">Assumptions!E69</f>
        <v>26</v>
      </c>
      <c r="F60" s="29" t="n">
        <f aca="false">Assumptions!G69</f>
        <v>0</v>
      </c>
      <c r="G60" s="2" t="n">
        <f aca="false">Assumptions!F69+IF(F60=1,0,$C$15)</f>
        <v>10</v>
      </c>
      <c r="H60" s="24" t="n">
        <f aca="false">IF(H$45&lt;$G60,0,IF($F60=1,$C$10+($C$11-$C$10)*MIN(H$45-$G60,$C$12)/$C$12,$E60*$C$5*INDEX($C$6:$C$9,MIN(H$45-$G60,3)+1)))*(1-$C$14)*IF(AND($C60="Verified",$C$39=1),0,1)</f>
        <v>0</v>
      </c>
      <c r="I60" s="24" t="n">
        <f aca="false">IF(I$45&lt;$G60,0,IF($F60=1,$C$10+($C$11-$C$10)*MIN(I$45-$G60,$C$12)/$C$12,$E60*$C$5*INDEX($C$6:$C$9,MIN(I$45-$G60,3)+1)))*(1-$C$14)*IF(AND($C60="Verified",$C$39=1),0,1)</f>
        <v>0</v>
      </c>
      <c r="J60" s="24" t="n">
        <f aca="false">IF(J$45&lt;$G60,0,IF($F60=1,$C$10+($C$11-$C$10)*MIN(J$45-$G60,$C$12)/$C$12,$E60*$C$5*INDEX($C$6:$C$9,MIN(J$45-$G60,3)+1)))*(1-$C$14)*IF(AND($C60="Verified",$C$39=1),0,1)</f>
        <v>0</v>
      </c>
      <c r="K60" s="24" t="n">
        <f aca="false">IF(K$45&lt;$G60,0,IF($F60=1,$C$10+($C$11-$C$10)*MIN(K$45-$G60,$C$12)/$C$12,$E60*$C$5*INDEX($C$6:$C$9,MIN(K$45-$G60,3)+1)))*(1-$C$14)*IF(AND($C60="Verified",$C$39=1),0,1)</f>
        <v>0</v>
      </c>
      <c r="L60" s="24" t="n">
        <f aca="false">IF(L$45&lt;$G60,0,IF($F60=1,$C$10+($C$11-$C$10)*MIN(L$45-$G60,$C$12)/$C$12,$E60*$C$5*INDEX($C$6:$C$9,MIN(L$45-$G60,3)+1)))*(1-$C$14)*IF(AND($C60="Verified",$C$39=1),0,1)</f>
        <v>0</v>
      </c>
      <c r="M60" s="24" t="n">
        <f aca="false">IF(M$45&lt;$G60,0,IF($F60=1,$C$10+($C$11-$C$10)*MIN(M$45-$G60,$C$12)/$C$12,$E60*$C$5*INDEX($C$6:$C$9,MIN(M$45-$G60,3)+1)))*(1-$C$14)*IF(AND($C60="Verified",$C$39=1),0,1)</f>
        <v>0</v>
      </c>
      <c r="N60" s="24" t="n">
        <f aca="false">IF(N$45&lt;$G60,0,IF($F60=1,$C$10+($C$11-$C$10)*MIN(N$45-$G60,$C$12)/$C$12,$E60*$C$5*INDEX($C$6:$C$9,MIN(N$45-$G60,3)+1)))*(1-$C$14)*IF(AND($C60="Verified",$C$39=1),0,1)</f>
        <v>0</v>
      </c>
      <c r="O60" s="24" t="n">
        <f aca="false">IF(O$45&lt;$G60,0,IF($F60=1,$C$10+($C$11-$C$10)*MIN(O$45-$G60,$C$12)/$C$12,$E60*$C$5*INDEX($C$6:$C$9,MIN(O$45-$G60,3)+1)))*(1-$C$14)*IF(AND($C60="Verified",$C$39=1),0,1)</f>
        <v>0</v>
      </c>
      <c r="P60" s="24" t="n">
        <f aca="false">IF(P$45&lt;$G60,0,IF($F60=1,$C$10+($C$11-$C$10)*MIN(P$45-$G60,$C$12)/$C$12,$E60*$C$5*INDEX($C$6:$C$9,MIN(P$45-$G60,3)+1)))*(1-$C$14)*IF(AND($C60="Verified",$C$39=1),0,1)</f>
        <v>0</v>
      </c>
      <c r="Q60" s="24" t="n">
        <f aca="false">IF(Q$45&lt;$G60,0,IF($F60=1,$C$10+($C$11-$C$10)*MIN(Q$45-$G60,$C$12)/$C$12,$E60*$C$5*INDEX($C$6:$C$9,MIN(Q$45-$G60,3)+1)))*(1-$C$14)*IF(AND($C60="Verified",$C$39=1),0,1)</f>
        <v>4.8165</v>
      </c>
      <c r="R60" s="24" t="n">
        <f aca="false">IF(R$45&lt;$G60,0,IF($F60=1,$C$10+($C$11-$C$10)*MIN(R$45-$G60,$C$12)/$C$12,$E60*$C$5*INDEX($C$6:$C$9,MIN(R$45-$G60,3)+1)))*(1-$C$14)*IF(AND($C60="Verified",$C$39=1),0,1)</f>
        <v>9.633</v>
      </c>
      <c r="S60" s="24" t="n">
        <f aca="false">IF(S$45&lt;$G60,0,IF($F60=1,$C$10+($C$11-$C$10)*MIN(S$45-$G60,$C$12)/$C$12,$E60*$C$5*INDEX($C$6:$C$9,MIN(S$45-$G60,3)+1)))*(1-$C$14)*IF(AND($C60="Verified",$C$39=1),0,1)</f>
        <v>13.64675</v>
      </c>
      <c r="T60" s="24" t="n">
        <f aca="false">IF(T$45&lt;$G60,0,IF($F60=1,$C$10+($C$11-$C$10)*MIN(T$45-$G60,$C$12)/$C$12,$E60*$C$5*INDEX($C$6:$C$9,MIN(T$45-$G60,3)+1)))*(1-$C$14)*IF(AND($C60="Verified",$C$39=1),0,1)</f>
        <v>16.055</v>
      </c>
      <c r="U60" s="24" t="n">
        <f aca="false">IF(U$45&lt;$G60,0,IF($F60=1,$C$10+($C$11-$C$10)*MIN(U$45-$G60,$C$12)/$C$12,$E60*$C$5*INDEX($C$6:$C$9,MIN(U$45-$G60,3)+1)))*(1-$C$14)*IF(AND($C60="Verified",$C$39=1),0,1)</f>
        <v>16.055</v>
      </c>
      <c r="V60" s="24" t="n">
        <f aca="false">IF(V$45&lt;$G60,0,IF($F60=1,$C$10+($C$11-$C$10)*MIN(V$45-$G60,$C$12)/$C$12,$E60*$C$5*INDEX($C$6:$C$9,MIN(V$45-$G60,3)+1)))*(1-$C$14)*IF(AND($C60="Verified",$C$39=1),0,1)</f>
        <v>16.055</v>
      </c>
      <c r="W60" s="24" t="n">
        <f aca="false">IF(W$45&lt;$G60,0,IF($F60=1,$C$10+($C$11-$C$10)*MIN(W$45-$G60,$C$12)/$C$12,$E60*$C$5*INDEX($C$6:$C$9,MIN(W$45-$G60,3)+1)))*(1-$C$14)*IF(AND($C60="Verified",$C$39=1),0,1)</f>
        <v>16.055</v>
      </c>
      <c r="X60" s="24" t="n">
        <f aca="false">IF(X$45&lt;$G60,0,IF($F60=1,$C$10+($C$11-$C$10)*MIN(X$45-$G60,$C$12)/$C$12,$E60*$C$5*INDEX($C$6:$C$9,MIN(X$45-$G60,3)+1)))*(1-$C$14)*IF(AND($C60="Verified",$C$39=1),0,1)</f>
        <v>16.055</v>
      </c>
      <c r="Y60" s="24" t="n">
        <f aca="false">IF(Y$45&lt;$G60,0,IF($F60=1,$C$10+($C$11-$C$10)*MIN(Y$45-$G60,$C$12)/$C$12,$E60*$C$5*INDEX($C$6:$C$9,MIN(Y$45-$G60,3)+1)))*(1-$C$14)*IF(AND($C60="Verified",$C$39=1),0,1)</f>
        <v>16.055</v>
      </c>
    </row>
    <row r="61" customFormat="false" ht="15" hidden="false" customHeight="false" outlineLevel="0" collapsed="false">
      <c r="A61" s="29" t="n">
        <f aca="false">Assumptions!A70</f>
        <v>14</v>
      </c>
      <c r="B61" s="29" t="str">
        <f aca="false">Assumptions!B70</f>
        <v>B</v>
      </c>
      <c r="C61" s="29" t="str">
        <f aca="false">Assumptions!C70</f>
        <v>Connect</v>
      </c>
      <c r="D61" s="34" t="n">
        <f aca="false">Assumptions!D70</f>
        <v>6500</v>
      </c>
      <c r="E61" s="31" t="n">
        <f aca="false">Assumptions!E70</f>
        <v>30</v>
      </c>
      <c r="F61" s="29" t="n">
        <f aca="false">Assumptions!G70</f>
        <v>0</v>
      </c>
      <c r="G61" s="2" t="n">
        <f aca="false">Assumptions!F70+IF(F61=1,0,$C$15)</f>
        <v>11</v>
      </c>
      <c r="H61" s="24" t="n">
        <f aca="false">IF(H$45&lt;$G61,0,IF($F61=1,$C$10+($C$11-$C$10)*MIN(H$45-$G61,$C$12)/$C$12,$E61*$C$5*INDEX($C$6:$C$9,MIN(H$45-$G61,3)+1)))*(1-$C$14)*IF(AND($C61="Verified",$C$39=1),0,1)</f>
        <v>0</v>
      </c>
      <c r="I61" s="24" t="n">
        <f aca="false">IF(I$45&lt;$G61,0,IF($F61=1,$C$10+($C$11-$C$10)*MIN(I$45-$G61,$C$12)/$C$12,$E61*$C$5*INDEX($C$6:$C$9,MIN(I$45-$G61,3)+1)))*(1-$C$14)*IF(AND($C61="Verified",$C$39=1),0,1)</f>
        <v>0</v>
      </c>
      <c r="J61" s="24" t="n">
        <f aca="false">IF(J$45&lt;$G61,0,IF($F61=1,$C$10+($C$11-$C$10)*MIN(J$45-$G61,$C$12)/$C$12,$E61*$C$5*INDEX($C$6:$C$9,MIN(J$45-$G61,3)+1)))*(1-$C$14)*IF(AND($C61="Verified",$C$39=1),0,1)</f>
        <v>0</v>
      </c>
      <c r="K61" s="24" t="n">
        <f aca="false">IF(K$45&lt;$G61,0,IF($F61=1,$C$10+($C$11-$C$10)*MIN(K$45-$G61,$C$12)/$C$12,$E61*$C$5*INDEX($C$6:$C$9,MIN(K$45-$G61,3)+1)))*(1-$C$14)*IF(AND($C61="Verified",$C$39=1),0,1)</f>
        <v>0</v>
      </c>
      <c r="L61" s="24" t="n">
        <f aca="false">IF(L$45&lt;$G61,0,IF($F61=1,$C$10+($C$11-$C$10)*MIN(L$45-$G61,$C$12)/$C$12,$E61*$C$5*INDEX($C$6:$C$9,MIN(L$45-$G61,3)+1)))*(1-$C$14)*IF(AND($C61="Verified",$C$39=1),0,1)</f>
        <v>0</v>
      </c>
      <c r="M61" s="24" t="n">
        <f aca="false">IF(M$45&lt;$G61,0,IF($F61=1,$C$10+($C$11-$C$10)*MIN(M$45-$G61,$C$12)/$C$12,$E61*$C$5*INDEX($C$6:$C$9,MIN(M$45-$G61,3)+1)))*(1-$C$14)*IF(AND($C61="Verified",$C$39=1),0,1)</f>
        <v>0</v>
      </c>
      <c r="N61" s="24" t="n">
        <f aca="false">IF(N$45&lt;$G61,0,IF($F61=1,$C$10+($C$11-$C$10)*MIN(N$45-$G61,$C$12)/$C$12,$E61*$C$5*INDEX($C$6:$C$9,MIN(N$45-$G61,3)+1)))*(1-$C$14)*IF(AND($C61="Verified",$C$39=1),0,1)</f>
        <v>0</v>
      </c>
      <c r="O61" s="24" t="n">
        <f aca="false">IF(O$45&lt;$G61,0,IF($F61=1,$C$10+($C$11-$C$10)*MIN(O$45-$G61,$C$12)/$C$12,$E61*$C$5*INDEX($C$6:$C$9,MIN(O$45-$G61,3)+1)))*(1-$C$14)*IF(AND($C61="Verified",$C$39=1),0,1)</f>
        <v>0</v>
      </c>
      <c r="P61" s="24" t="n">
        <f aca="false">IF(P$45&lt;$G61,0,IF($F61=1,$C$10+($C$11-$C$10)*MIN(P$45-$G61,$C$12)/$C$12,$E61*$C$5*INDEX($C$6:$C$9,MIN(P$45-$G61,3)+1)))*(1-$C$14)*IF(AND($C61="Verified",$C$39=1),0,1)</f>
        <v>0</v>
      </c>
      <c r="Q61" s="24" t="n">
        <f aca="false">IF(Q$45&lt;$G61,0,IF($F61=1,$C$10+($C$11-$C$10)*MIN(Q$45-$G61,$C$12)/$C$12,$E61*$C$5*INDEX($C$6:$C$9,MIN(Q$45-$G61,3)+1)))*(1-$C$14)*IF(AND($C61="Verified",$C$39=1),0,1)</f>
        <v>0</v>
      </c>
      <c r="R61" s="24" t="n">
        <f aca="false">IF(R$45&lt;$G61,0,IF($F61=1,$C$10+($C$11-$C$10)*MIN(R$45-$G61,$C$12)/$C$12,$E61*$C$5*INDEX($C$6:$C$9,MIN(R$45-$G61,3)+1)))*(1-$C$14)*IF(AND($C61="Verified",$C$39=1),0,1)</f>
        <v>5.5575</v>
      </c>
      <c r="S61" s="24" t="n">
        <f aca="false">IF(S$45&lt;$G61,0,IF($F61=1,$C$10+($C$11-$C$10)*MIN(S$45-$G61,$C$12)/$C$12,$E61*$C$5*INDEX($C$6:$C$9,MIN(S$45-$G61,3)+1)))*(1-$C$14)*IF(AND($C61="Verified",$C$39=1),0,1)</f>
        <v>11.115</v>
      </c>
      <c r="T61" s="24" t="n">
        <f aca="false">IF(T$45&lt;$G61,0,IF($F61=1,$C$10+($C$11-$C$10)*MIN(T$45-$G61,$C$12)/$C$12,$E61*$C$5*INDEX($C$6:$C$9,MIN(T$45-$G61,3)+1)))*(1-$C$14)*IF(AND($C61="Verified",$C$39=1),0,1)</f>
        <v>15.74625</v>
      </c>
      <c r="U61" s="24" t="n">
        <f aca="false">IF(U$45&lt;$G61,0,IF($F61=1,$C$10+($C$11-$C$10)*MIN(U$45-$G61,$C$12)/$C$12,$E61*$C$5*INDEX($C$6:$C$9,MIN(U$45-$G61,3)+1)))*(1-$C$14)*IF(AND($C61="Verified",$C$39=1),0,1)</f>
        <v>18.525</v>
      </c>
      <c r="V61" s="24" t="n">
        <f aca="false">IF(V$45&lt;$G61,0,IF($F61=1,$C$10+($C$11-$C$10)*MIN(V$45-$G61,$C$12)/$C$12,$E61*$C$5*INDEX($C$6:$C$9,MIN(V$45-$G61,3)+1)))*(1-$C$14)*IF(AND($C61="Verified",$C$39=1),0,1)</f>
        <v>18.525</v>
      </c>
      <c r="W61" s="24" t="n">
        <f aca="false">IF(W$45&lt;$G61,0,IF($F61=1,$C$10+($C$11-$C$10)*MIN(W$45-$G61,$C$12)/$C$12,$E61*$C$5*INDEX($C$6:$C$9,MIN(W$45-$G61,3)+1)))*(1-$C$14)*IF(AND($C61="Verified",$C$39=1),0,1)</f>
        <v>18.525</v>
      </c>
      <c r="X61" s="24" t="n">
        <f aca="false">IF(X$45&lt;$G61,0,IF($F61=1,$C$10+($C$11-$C$10)*MIN(X$45-$G61,$C$12)/$C$12,$E61*$C$5*INDEX($C$6:$C$9,MIN(X$45-$G61,3)+1)))*(1-$C$14)*IF(AND($C61="Verified",$C$39=1),0,1)</f>
        <v>18.525</v>
      </c>
      <c r="Y61" s="24" t="n">
        <f aca="false">IF(Y$45&lt;$G61,0,IF($F61=1,$C$10+($C$11-$C$10)*MIN(Y$45-$G61,$C$12)/$C$12,$E61*$C$5*INDEX($C$6:$C$9,MIN(Y$45-$G61,3)+1)))*(1-$C$14)*IF(AND($C61="Verified",$C$39=1),0,1)</f>
        <v>18.525</v>
      </c>
    </row>
    <row r="62" customFormat="false" ht="15" hidden="false" customHeight="false" outlineLevel="0" collapsed="false">
      <c r="A62" s="29" t="n">
        <f aca="false">Assumptions!A71</f>
        <v>15</v>
      </c>
      <c r="B62" s="29" t="str">
        <f aca="false">Assumptions!B71</f>
        <v>B</v>
      </c>
      <c r="C62" s="29" t="str">
        <f aca="false">Assumptions!C71</f>
        <v>Connect</v>
      </c>
      <c r="D62" s="34" t="n">
        <f aca="false">Assumptions!D71</f>
        <v>6500</v>
      </c>
      <c r="E62" s="31" t="n">
        <f aca="false">Assumptions!E71</f>
        <v>30</v>
      </c>
      <c r="F62" s="29" t="n">
        <f aca="false">Assumptions!G71</f>
        <v>0</v>
      </c>
      <c r="G62" s="2" t="n">
        <f aca="false">Assumptions!F71+IF(F62=1,0,$C$15)</f>
        <v>12</v>
      </c>
      <c r="H62" s="24" t="n">
        <f aca="false">IF(H$45&lt;$G62,0,IF($F62=1,$C$10+($C$11-$C$10)*MIN(H$45-$G62,$C$12)/$C$12,$E62*$C$5*INDEX($C$6:$C$9,MIN(H$45-$G62,3)+1)))*(1-$C$14)*IF(AND($C62="Verified",$C$39=1),0,1)</f>
        <v>0</v>
      </c>
      <c r="I62" s="24" t="n">
        <f aca="false">IF(I$45&lt;$G62,0,IF($F62=1,$C$10+($C$11-$C$10)*MIN(I$45-$G62,$C$12)/$C$12,$E62*$C$5*INDEX($C$6:$C$9,MIN(I$45-$G62,3)+1)))*(1-$C$14)*IF(AND($C62="Verified",$C$39=1),0,1)</f>
        <v>0</v>
      </c>
      <c r="J62" s="24" t="n">
        <f aca="false">IF(J$45&lt;$G62,0,IF($F62=1,$C$10+($C$11-$C$10)*MIN(J$45-$G62,$C$12)/$C$12,$E62*$C$5*INDEX($C$6:$C$9,MIN(J$45-$G62,3)+1)))*(1-$C$14)*IF(AND($C62="Verified",$C$39=1),0,1)</f>
        <v>0</v>
      </c>
      <c r="K62" s="24" t="n">
        <f aca="false">IF(K$45&lt;$G62,0,IF($F62=1,$C$10+($C$11-$C$10)*MIN(K$45-$G62,$C$12)/$C$12,$E62*$C$5*INDEX($C$6:$C$9,MIN(K$45-$G62,3)+1)))*(1-$C$14)*IF(AND($C62="Verified",$C$39=1),0,1)</f>
        <v>0</v>
      </c>
      <c r="L62" s="24" t="n">
        <f aca="false">IF(L$45&lt;$G62,0,IF($F62=1,$C$10+($C$11-$C$10)*MIN(L$45-$G62,$C$12)/$C$12,$E62*$C$5*INDEX($C$6:$C$9,MIN(L$45-$G62,3)+1)))*(1-$C$14)*IF(AND($C62="Verified",$C$39=1),0,1)</f>
        <v>0</v>
      </c>
      <c r="M62" s="24" t="n">
        <f aca="false">IF(M$45&lt;$G62,0,IF($F62=1,$C$10+($C$11-$C$10)*MIN(M$45-$G62,$C$12)/$C$12,$E62*$C$5*INDEX($C$6:$C$9,MIN(M$45-$G62,3)+1)))*(1-$C$14)*IF(AND($C62="Verified",$C$39=1),0,1)</f>
        <v>0</v>
      </c>
      <c r="N62" s="24" t="n">
        <f aca="false">IF(N$45&lt;$G62,0,IF($F62=1,$C$10+($C$11-$C$10)*MIN(N$45-$G62,$C$12)/$C$12,$E62*$C$5*INDEX($C$6:$C$9,MIN(N$45-$G62,3)+1)))*(1-$C$14)*IF(AND($C62="Verified",$C$39=1),0,1)</f>
        <v>0</v>
      </c>
      <c r="O62" s="24" t="n">
        <f aca="false">IF(O$45&lt;$G62,0,IF($F62=1,$C$10+($C$11-$C$10)*MIN(O$45-$G62,$C$12)/$C$12,$E62*$C$5*INDEX($C$6:$C$9,MIN(O$45-$G62,3)+1)))*(1-$C$14)*IF(AND($C62="Verified",$C$39=1),0,1)</f>
        <v>0</v>
      </c>
      <c r="P62" s="24" t="n">
        <f aca="false">IF(P$45&lt;$G62,0,IF($F62=1,$C$10+($C$11-$C$10)*MIN(P$45-$G62,$C$12)/$C$12,$E62*$C$5*INDEX($C$6:$C$9,MIN(P$45-$G62,3)+1)))*(1-$C$14)*IF(AND($C62="Verified",$C$39=1),0,1)</f>
        <v>0</v>
      </c>
      <c r="Q62" s="24" t="n">
        <f aca="false">IF(Q$45&lt;$G62,0,IF($F62=1,$C$10+($C$11-$C$10)*MIN(Q$45-$G62,$C$12)/$C$12,$E62*$C$5*INDEX($C$6:$C$9,MIN(Q$45-$G62,3)+1)))*(1-$C$14)*IF(AND($C62="Verified",$C$39=1),0,1)</f>
        <v>0</v>
      </c>
      <c r="R62" s="24" t="n">
        <f aca="false">IF(R$45&lt;$G62,0,IF($F62=1,$C$10+($C$11-$C$10)*MIN(R$45-$G62,$C$12)/$C$12,$E62*$C$5*INDEX($C$6:$C$9,MIN(R$45-$G62,3)+1)))*(1-$C$14)*IF(AND($C62="Verified",$C$39=1),0,1)</f>
        <v>0</v>
      </c>
      <c r="S62" s="24" t="n">
        <f aca="false">IF(S$45&lt;$G62,0,IF($F62=1,$C$10+($C$11-$C$10)*MIN(S$45-$G62,$C$12)/$C$12,$E62*$C$5*INDEX($C$6:$C$9,MIN(S$45-$G62,3)+1)))*(1-$C$14)*IF(AND($C62="Verified",$C$39=1),0,1)</f>
        <v>5.5575</v>
      </c>
      <c r="T62" s="24" t="n">
        <f aca="false">IF(T$45&lt;$G62,0,IF($F62=1,$C$10+($C$11-$C$10)*MIN(T$45-$G62,$C$12)/$C$12,$E62*$C$5*INDEX($C$6:$C$9,MIN(T$45-$G62,3)+1)))*(1-$C$14)*IF(AND($C62="Verified",$C$39=1),0,1)</f>
        <v>11.115</v>
      </c>
      <c r="U62" s="24" t="n">
        <f aca="false">IF(U$45&lt;$G62,0,IF($F62=1,$C$10+($C$11-$C$10)*MIN(U$45-$G62,$C$12)/$C$12,$E62*$C$5*INDEX($C$6:$C$9,MIN(U$45-$G62,3)+1)))*(1-$C$14)*IF(AND($C62="Verified",$C$39=1),0,1)</f>
        <v>15.74625</v>
      </c>
      <c r="V62" s="24" t="n">
        <f aca="false">IF(V$45&lt;$G62,0,IF($F62=1,$C$10+($C$11-$C$10)*MIN(V$45-$G62,$C$12)/$C$12,$E62*$C$5*INDEX($C$6:$C$9,MIN(V$45-$G62,3)+1)))*(1-$C$14)*IF(AND($C62="Verified",$C$39=1),0,1)</f>
        <v>18.525</v>
      </c>
      <c r="W62" s="24" t="n">
        <f aca="false">IF(W$45&lt;$G62,0,IF($F62=1,$C$10+($C$11-$C$10)*MIN(W$45-$G62,$C$12)/$C$12,$E62*$C$5*INDEX($C$6:$C$9,MIN(W$45-$G62,3)+1)))*(1-$C$14)*IF(AND($C62="Verified",$C$39=1),0,1)</f>
        <v>18.525</v>
      </c>
      <c r="X62" s="24" t="n">
        <f aca="false">IF(X$45&lt;$G62,0,IF($F62=1,$C$10+($C$11-$C$10)*MIN(X$45-$G62,$C$12)/$C$12,$E62*$C$5*INDEX($C$6:$C$9,MIN(X$45-$G62,3)+1)))*(1-$C$14)*IF(AND($C62="Verified",$C$39=1),0,1)</f>
        <v>18.525</v>
      </c>
      <c r="Y62" s="24" t="n">
        <f aca="false">IF(Y$45&lt;$G62,0,IF($F62=1,$C$10+($C$11-$C$10)*MIN(Y$45-$G62,$C$12)/$C$12,$E62*$C$5*INDEX($C$6:$C$9,MIN(Y$45-$G62,3)+1)))*(1-$C$14)*IF(AND($C62="Verified",$C$39=1),0,1)</f>
        <v>18.525</v>
      </c>
    </row>
    <row r="63" customFormat="false" ht="15" hidden="false" customHeight="false" outlineLevel="0" collapsed="false">
      <c r="A63" s="29" t="n">
        <f aca="false">Assumptions!A72</f>
        <v>16</v>
      </c>
      <c r="B63" s="29" t="str">
        <f aca="false">Assumptions!B72</f>
        <v>B</v>
      </c>
      <c r="C63" s="29" t="str">
        <f aca="false">Assumptions!C72</f>
        <v>Connect</v>
      </c>
      <c r="D63" s="34" t="n">
        <f aca="false">Assumptions!D72</f>
        <v>6500</v>
      </c>
      <c r="E63" s="31" t="n">
        <f aca="false">Assumptions!E72</f>
        <v>30</v>
      </c>
      <c r="F63" s="29" t="n">
        <f aca="false">Assumptions!G72</f>
        <v>0</v>
      </c>
      <c r="G63" s="2" t="n">
        <f aca="false">Assumptions!F72+IF(F63=1,0,$C$15)</f>
        <v>13</v>
      </c>
      <c r="H63" s="24" t="n">
        <f aca="false">IF(H$45&lt;$G63,0,IF($F63=1,$C$10+($C$11-$C$10)*MIN(H$45-$G63,$C$12)/$C$12,$E63*$C$5*INDEX($C$6:$C$9,MIN(H$45-$G63,3)+1)))*(1-$C$14)*IF(AND($C63="Verified",$C$39=1),0,1)</f>
        <v>0</v>
      </c>
      <c r="I63" s="24" t="n">
        <f aca="false">IF(I$45&lt;$G63,0,IF($F63=1,$C$10+($C$11-$C$10)*MIN(I$45-$G63,$C$12)/$C$12,$E63*$C$5*INDEX($C$6:$C$9,MIN(I$45-$G63,3)+1)))*(1-$C$14)*IF(AND($C63="Verified",$C$39=1),0,1)</f>
        <v>0</v>
      </c>
      <c r="J63" s="24" t="n">
        <f aca="false">IF(J$45&lt;$G63,0,IF($F63=1,$C$10+($C$11-$C$10)*MIN(J$45-$G63,$C$12)/$C$12,$E63*$C$5*INDEX($C$6:$C$9,MIN(J$45-$G63,3)+1)))*(1-$C$14)*IF(AND($C63="Verified",$C$39=1),0,1)</f>
        <v>0</v>
      </c>
      <c r="K63" s="24" t="n">
        <f aca="false">IF(K$45&lt;$G63,0,IF($F63=1,$C$10+($C$11-$C$10)*MIN(K$45-$G63,$C$12)/$C$12,$E63*$C$5*INDEX($C$6:$C$9,MIN(K$45-$G63,3)+1)))*(1-$C$14)*IF(AND($C63="Verified",$C$39=1),0,1)</f>
        <v>0</v>
      </c>
      <c r="L63" s="24" t="n">
        <f aca="false">IF(L$45&lt;$G63,0,IF($F63=1,$C$10+($C$11-$C$10)*MIN(L$45-$G63,$C$12)/$C$12,$E63*$C$5*INDEX($C$6:$C$9,MIN(L$45-$G63,3)+1)))*(1-$C$14)*IF(AND($C63="Verified",$C$39=1),0,1)</f>
        <v>0</v>
      </c>
      <c r="M63" s="24" t="n">
        <f aca="false">IF(M$45&lt;$G63,0,IF($F63=1,$C$10+($C$11-$C$10)*MIN(M$45-$G63,$C$12)/$C$12,$E63*$C$5*INDEX($C$6:$C$9,MIN(M$45-$G63,3)+1)))*(1-$C$14)*IF(AND($C63="Verified",$C$39=1),0,1)</f>
        <v>0</v>
      </c>
      <c r="N63" s="24" t="n">
        <f aca="false">IF(N$45&lt;$G63,0,IF($F63=1,$C$10+($C$11-$C$10)*MIN(N$45-$G63,$C$12)/$C$12,$E63*$C$5*INDEX($C$6:$C$9,MIN(N$45-$G63,3)+1)))*(1-$C$14)*IF(AND($C63="Verified",$C$39=1),0,1)</f>
        <v>0</v>
      </c>
      <c r="O63" s="24" t="n">
        <f aca="false">IF(O$45&lt;$G63,0,IF($F63=1,$C$10+($C$11-$C$10)*MIN(O$45-$G63,$C$12)/$C$12,$E63*$C$5*INDEX($C$6:$C$9,MIN(O$45-$G63,3)+1)))*(1-$C$14)*IF(AND($C63="Verified",$C$39=1),0,1)</f>
        <v>0</v>
      </c>
      <c r="P63" s="24" t="n">
        <f aca="false">IF(P$45&lt;$G63,0,IF($F63=1,$C$10+($C$11-$C$10)*MIN(P$45-$G63,$C$12)/$C$12,$E63*$C$5*INDEX($C$6:$C$9,MIN(P$45-$G63,3)+1)))*(1-$C$14)*IF(AND($C63="Verified",$C$39=1),0,1)</f>
        <v>0</v>
      </c>
      <c r="Q63" s="24" t="n">
        <f aca="false">IF(Q$45&lt;$G63,0,IF($F63=1,$C$10+($C$11-$C$10)*MIN(Q$45-$G63,$C$12)/$C$12,$E63*$C$5*INDEX($C$6:$C$9,MIN(Q$45-$G63,3)+1)))*(1-$C$14)*IF(AND($C63="Verified",$C$39=1),0,1)</f>
        <v>0</v>
      </c>
      <c r="R63" s="24" t="n">
        <f aca="false">IF(R$45&lt;$G63,0,IF($F63=1,$C$10+($C$11-$C$10)*MIN(R$45-$G63,$C$12)/$C$12,$E63*$C$5*INDEX($C$6:$C$9,MIN(R$45-$G63,3)+1)))*(1-$C$14)*IF(AND($C63="Verified",$C$39=1),0,1)</f>
        <v>0</v>
      </c>
      <c r="S63" s="24" t="n">
        <f aca="false">IF(S$45&lt;$G63,0,IF($F63=1,$C$10+($C$11-$C$10)*MIN(S$45-$G63,$C$12)/$C$12,$E63*$C$5*INDEX($C$6:$C$9,MIN(S$45-$G63,3)+1)))*(1-$C$14)*IF(AND($C63="Verified",$C$39=1),0,1)</f>
        <v>0</v>
      </c>
      <c r="T63" s="24" t="n">
        <f aca="false">IF(T$45&lt;$G63,0,IF($F63=1,$C$10+($C$11-$C$10)*MIN(T$45-$G63,$C$12)/$C$12,$E63*$C$5*INDEX($C$6:$C$9,MIN(T$45-$G63,3)+1)))*(1-$C$14)*IF(AND($C63="Verified",$C$39=1),0,1)</f>
        <v>5.5575</v>
      </c>
      <c r="U63" s="24" t="n">
        <f aca="false">IF(U$45&lt;$G63,0,IF($F63=1,$C$10+($C$11-$C$10)*MIN(U$45-$G63,$C$12)/$C$12,$E63*$C$5*INDEX($C$6:$C$9,MIN(U$45-$G63,3)+1)))*(1-$C$14)*IF(AND($C63="Verified",$C$39=1),0,1)</f>
        <v>11.115</v>
      </c>
      <c r="V63" s="24" t="n">
        <f aca="false">IF(V$45&lt;$G63,0,IF($F63=1,$C$10+($C$11-$C$10)*MIN(V$45-$G63,$C$12)/$C$12,$E63*$C$5*INDEX($C$6:$C$9,MIN(V$45-$G63,3)+1)))*(1-$C$14)*IF(AND($C63="Verified",$C$39=1),0,1)</f>
        <v>15.74625</v>
      </c>
      <c r="W63" s="24" t="n">
        <f aca="false">IF(W$45&lt;$G63,0,IF($F63=1,$C$10+($C$11-$C$10)*MIN(W$45-$G63,$C$12)/$C$12,$E63*$C$5*INDEX($C$6:$C$9,MIN(W$45-$G63,3)+1)))*(1-$C$14)*IF(AND($C63="Verified",$C$39=1),0,1)</f>
        <v>18.525</v>
      </c>
      <c r="X63" s="24" t="n">
        <f aca="false">IF(X$45&lt;$G63,0,IF($F63=1,$C$10+($C$11-$C$10)*MIN(X$45-$G63,$C$12)/$C$12,$E63*$C$5*INDEX($C$6:$C$9,MIN(X$45-$G63,3)+1)))*(1-$C$14)*IF(AND($C63="Verified",$C$39=1),0,1)</f>
        <v>18.525</v>
      </c>
      <c r="Y63" s="24" t="n">
        <f aca="false">IF(Y$45&lt;$G63,0,IF($F63=1,$C$10+($C$11-$C$10)*MIN(Y$45-$G63,$C$12)/$C$12,$E63*$C$5*INDEX($C$6:$C$9,MIN(Y$45-$G63,3)+1)))*(1-$C$14)*IF(AND($C63="Verified",$C$39=1),0,1)</f>
        <v>18.525</v>
      </c>
    </row>
    <row r="64" customFormat="false" ht="15" hidden="false" customHeight="false" outlineLevel="0" collapsed="false">
      <c r="A64" s="29" t="n">
        <f aca="false">Assumptions!A73</f>
        <v>17</v>
      </c>
      <c r="B64" s="29" t="str">
        <f aca="false">Assumptions!B73</f>
        <v>B</v>
      </c>
      <c r="C64" s="29" t="str">
        <f aca="false">Assumptions!C73</f>
        <v>Verified</v>
      </c>
      <c r="D64" s="34" t="n">
        <f aca="false">Assumptions!D73</f>
        <v>6500</v>
      </c>
      <c r="E64" s="31" t="n">
        <f aca="false">Assumptions!E73</f>
        <v>30</v>
      </c>
      <c r="F64" s="29" t="n">
        <f aca="false">Assumptions!G73</f>
        <v>0</v>
      </c>
      <c r="G64" s="2" t="n">
        <f aca="false">Assumptions!F73+IF(F64=1,0,$C$15)</f>
        <v>14</v>
      </c>
      <c r="H64" s="24" t="n">
        <f aca="false">IF(H$45&lt;$G64,0,IF($F64=1,$C$10+($C$11-$C$10)*MIN(H$45-$G64,$C$12)/$C$12,$E64*$C$5*INDEX($C$6:$C$9,MIN(H$45-$G64,3)+1)))*(1-$C$14)*IF(AND($C64="Verified",$C$39=1),0,1)</f>
        <v>0</v>
      </c>
      <c r="I64" s="24" t="n">
        <f aca="false">IF(I$45&lt;$G64,0,IF($F64=1,$C$10+($C$11-$C$10)*MIN(I$45-$G64,$C$12)/$C$12,$E64*$C$5*INDEX($C$6:$C$9,MIN(I$45-$G64,3)+1)))*(1-$C$14)*IF(AND($C64="Verified",$C$39=1),0,1)</f>
        <v>0</v>
      </c>
      <c r="J64" s="24" t="n">
        <f aca="false">IF(J$45&lt;$G64,0,IF($F64=1,$C$10+($C$11-$C$10)*MIN(J$45-$G64,$C$12)/$C$12,$E64*$C$5*INDEX($C$6:$C$9,MIN(J$45-$G64,3)+1)))*(1-$C$14)*IF(AND($C64="Verified",$C$39=1),0,1)</f>
        <v>0</v>
      </c>
      <c r="K64" s="24" t="n">
        <f aca="false">IF(K$45&lt;$G64,0,IF($F64=1,$C$10+($C$11-$C$10)*MIN(K$45-$G64,$C$12)/$C$12,$E64*$C$5*INDEX($C$6:$C$9,MIN(K$45-$G64,3)+1)))*(1-$C$14)*IF(AND($C64="Verified",$C$39=1),0,1)</f>
        <v>0</v>
      </c>
      <c r="L64" s="24" t="n">
        <f aca="false">IF(L$45&lt;$G64,0,IF($F64=1,$C$10+($C$11-$C$10)*MIN(L$45-$G64,$C$12)/$C$12,$E64*$C$5*INDEX($C$6:$C$9,MIN(L$45-$G64,3)+1)))*(1-$C$14)*IF(AND($C64="Verified",$C$39=1),0,1)</f>
        <v>0</v>
      </c>
      <c r="M64" s="24" t="n">
        <f aca="false">IF(M$45&lt;$G64,0,IF($F64=1,$C$10+($C$11-$C$10)*MIN(M$45-$G64,$C$12)/$C$12,$E64*$C$5*INDEX($C$6:$C$9,MIN(M$45-$G64,3)+1)))*(1-$C$14)*IF(AND($C64="Verified",$C$39=1),0,1)</f>
        <v>0</v>
      </c>
      <c r="N64" s="24" t="n">
        <f aca="false">IF(N$45&lt;$G64,0,IF($F64=1,$C$10+($C$11-$C$10)*MIN(N$45-$G64,$C$12)/$C$12,$E64*$C$5*INDEX($C$6:$C$9,MIN(N$45-$G64,3)+1)))*(1-$C$14)*IF(AND($C64="Verified",$C$39=1),0,1)</f>
        <v>0</v>
      </c>
      <c r="O64" s="24" t="n">
        <f aca="false">IF(O$45&lt;$G64,0,IF($F64=1,$C$10+($C$11-$C$10)*MIN(O$45-$G64,$C$12)/$C$12,$E64*$C$5*INDEX($C$6:$C$9,MIN(O$45-$G64,3)+1)))*(1-$C$14)*IF(AND($C64="Verified",$C$39=1),0,1)</f>
        <v>0</v>
      </c>
      <c r="P64" s="24" t="n">
        <f aca="false">IF(P$45&lt;$G64,0,IF($F64=1,$C$10+($C$11-$C$10)*MIN(P$45-$G64,$C$12)/$C$12,$E64*$C$5*INDEX($C$6:$C$9,MIN(P$45-$G64,3)+1)))*(1-$C$14)*IF(AND($C64="Verified",$C$39=1),0,1)</f>
        <v>0</v>
      </c>
      <c r="Q64" s="24" t="n">
        <f aca="false">IF(Q$45&lt;$G64,0,IF($F64=1,$C$10+($C$11-$C$10)*MIN(Q$45-$G64,$C$12)/$C$12,$E64*$C$5*INDEX($C$6:$C$9,MIN(Q$45-$G64,3)+1)))*(1-$C$14)*IF(AND($C64="Verified",$C$39=1),0,1)</f>
        <v>0</v>
      </c>
      <c r="R64" s="24" t="n">
        <f aca="false">IF(R$45&lt;$G64,0,IF($F64=1,$C$10+($C$11-$C$10)*MIN(R$45-$G64,$C$12)/$C$12,$E64*$C$5*INDEX($C$6:$C$9,MIN(R$45-$G64,3)+1)))*(1-$C$14)*IF(AND($C64="Verified",$C$39=1),0,1)</f>
        <v>0</v>
      </c>
      <c r="S64" s="24" t="n">
        <f aca="false">IF(S$45&lt;$G64,0,IF($F64=1,$C$10+($C$11-$C$10)*MIN(S$45-$G64,$C$12)/$C$12,$E64*$C$5*INDEX($C$6:$C$9,MIN(S$45-$G64,3)+1)))*(1-$C$14)*IF(AND($C64="Verified",$C$39=1),0,1)</f>
        <v>0</v>
      </c>
      <c r="T64" s="24" t="n">
        <f aca="false">IF(T$45&lt;$G64,0,IF($F64=1,$C$10+($C$11-$C$10)*MIN(T$45-$G64,$C$12)/$C$12,$E64*$C$5*INDEX($C$6:$C$9,MIN(T$45-$G64,3)+1)))*(1-$C$14)*IF(AND($C64="Verified",$C$39=1),0,1)</f>
        <v>0</v>
      </c>
      <c r="U64" s="24" t="n">
        <f aca="false">IF(U$45&lt;$G64,0,IF($F64=1,$C$10+($C$11-$C$10)*MIN(U$45-$G64,$C$12)/$C$12,$E64*$C$5*INDEX($C$6:$C$9,MIN(U$45-$G64,3)+1)))*(1-$C$14)*IF(AND($C64="Verified",$C$39=1),0,1)</f>
        <v>5.5575</v>
      </c>
      <c r="V64" s="24" t="n">
        <f aca="false">IF(V$45&lt;$G64,0,IF($F64=1,$C$10+($C$11-$C$10)*MIN(V$45-$G64,$C$12)/$C$12,$E64*$C$5*INDEX($C$6:$C$9,MIN(V$45-$G64,3)+1)))*(1-$C$14)*IF(AND($C64="Verified",$C$39=1),0,1)</f>
        <v>11.115</v>
      </c>
      <c r="W64" s="24" t="n">
        <f aca="false">IF(W$45&lt;$G64,0,IF($F64=1,$C$10+($C$11-$C$10)*MIN(W$45-$G64,$C$12)/$C$12,$E64*$C$5*INDEX($C$6:$C$9,MIN(W$45-$G64,3)+1)))*(1-$C$14)*IF(AND($C64="Verified",$C$39=1),0,1)</f>
        <v>15.74625</v>
      </c>
      <c r="X64" s="24" t="n">
        <f aca="false">IF(X$45&lt;$G64,0,IF($F64=1,$C$10+($C$11-$C$10)*MIN(X$45-$G64,$C$12)/$C$12,$E64*$C$5*INDEX($C$6:$C$9,MIN(X$45-$G64,3)+1)))*(1-$C$14)*IF(AND($C64="Verified",$C$39=1),0,1)</f>
        <v>18.525</v>
      </c>
      <c r="Y64" s="24" t="n">
        <f aca="false">IF(Y$45&lt;$G64,0,IF($F64=1,$C$10+($C$11-$C$10)*MIN(Y$45-$G64,$C$12)/$C$12,$E64*$C$5*INDEX($C$6:$C$9,MIN(Y$45-$G64,3)+1)))*(1-$C$14)*IF(AND($C64="Verified",$C$39=1),0,1)</f>
        <v>18.525</v>
      </c>
    </row>
    <row r="65" customFormat="false" ht="15" hidden="false" customHeight="false" outlineLevel="0" collapsed="false">
      <c r="A65" s="29" t="n">
        <f aca="false">Assumptions!A74</f>
        <v>18</v>
      </c>
      <c r="B65" s="29" t="str">
        <f aca="false">Assumptions!B74</f>
        <v>B</v>
      </c>
      <c r="C65" s="29" t="str">
        <f aca="false">Assumptions!C74</f>
        <v>Verified</v>
      </c>
      <c r="D65" s="34" t="n">
        <f aca="false">Assumptions!D74</f>
        <v>6500</v>
      </c>
      <c r="E65" s="31" t="n">
        <f aca="false">Assumptions!E74</f>
        <v>30</v>
      </c>
      <c r="F65" s="29" t="n">
        <f aca="false">Assumptions!G74</f>
        <v>0</v>
      </c>
      <c r="G65" s="2" t="n">
        <f aca="false">Assumptions!F74+IF(F65=1,0,$C$15)</f>
        <v>15</v>
      </c>
      <c r="H65" s="24" t="n">
        <f aca="false">IF(H$45&lt;$G65,0,IF($F65=1,$C$10+($C$11-$C$10)*MIN(H$45-$G65,$C$12)/$C$12,$E65*$C$5*INDEX($C$6:$C$9,MIN(H$45-$G65,3)+1)))*(1-$C$14)*IF(AND($C65="Verified",$C$39=1),0,1)</f>
        <v>0</v>
      </c>
      <c r="I65" s="24" t="n">
        <f aca="false">IF(I$45&lt;$G65,0,IF($F65=1,$C$10+($C$11-$C$10)*MIN(I$45-$G65,$C$12)/$C$12,$E65*$C$5*INDEX($C$6:$C$9,MIN(I$45-$G65,3)+1)))*(1-$C$14)*IF(AND($C65="Verified",$C$39=1),0,1)</f>
        <v>0</v>
      </c>
      <c r="J65" s="24" t="n">
        <f aca="false">IF(J$45&lt;$G65,0,IF($F65=1,$C$10+($C$11-$C$10)*MIN(J$45-$G65,$C$12)/$C$12,$E65*$C$5*INDEX($C$6:$C$9,MIN(J$45-$G65,3)+1)))*(1-$C$14)*IF(AND($C65="Verified",$C$39=1),0,1)</f>
        <v>0</v>
      </c>
      <c r="K65" s="24" t="n">
        <f aca="false">IF(K$45&lt;$G65,0,IF($F65=1,$C$10+($C$11-$C$10)*MIN(K$45-$G65,$C$12)/$C$12,$E65*$C$5*INDEX($C$6:$C$9,MIN(K$45-$G65,3)+1)))*(1-$C$14)*IF(AND($C65="Verified",$C$39=1),0,1)</f>
        <v>0</v>
      </c>
      <c r="L65" s="24" t="n">
        <f aca="false">IF(L$45&lt;$G65,0,IF($F65=1,$C$10+($C$11-$C$10)*MIN(L$45-$G65,$C$12)/$C$12,$E65*$C$5*INDEX($C$6:$C$9,MIN(L$45-$G65,3)+1)))*(1-$C$14)*IF(AND($C65="Verified",$C$39=1),0,1)</f>
        <v>0</v>
      </c>
      <c r="M65" s="24" t="n">
        <f aca="false">IF(M$45&lt;$G65,0,IF($F65=1,$C$10+($C$11-$C$10)*MIN(M$45-$G65,$C$12)/$C$12,$E65*$C$5*INDEX($C$6:$C$9,MIN(M$45-$G65,3)+1)))*(1-$C$14)*IF(AND($C65="Verified",$C$39=1),0,1)</f>
        <v>0</v>
      </c>
      <c r="N65" s="24" t="n">
        <f aca="false">IF(N$45&lt;$G65,0,IF($F65=1,$C$10+($C$11-$C$10)*MIN(N$45-$G65,$C$12)/$C$12,$E65*$C$5*INDEX($C$6:$C$9,MIN(N$45-$G65,3)+1)))*(1-$C$14)*IF(AND($C65="Verified",$C$39=1),0,1)</f>
        <v>0</v>
      </c>
      <c r="O65" s="24" t="n">
        <f aca="false">IF(O$45&lt;$G65,0,IF($F65=1,$C$10+($C$11-$C$10)*MIN(O$45-$G65,$C$12)/$C$12,$E65*$C$5*INDEX($C$6:$C$9,MIN(O$45-$G65,3)+1)))*(1-$C$14)*IF(AND($C65="Verified",$C$39=1),0,1)</f>
        <v>0</v>
      </c>
      <c r="P65" s="24" t="n">
        <f aca="false">IF(P$45&lt;$G65,0,IF($F65=1,$C$10+($C$11-$C$10)*MIN(P$45-$G65,$C$12)/$C$12,$E65*$C$5*INDEX($C$6:$C$9,MIN(P$45-$G65,3)+1)))*(1-$C$14)*IF(AND($C65="Verified",$C$39=1),0,1)</f>
        <v>0</v>
      </c>
      <c r="Q65" s="24" t="n">
        <f aca="false">IF(Q$45&lt;$G65,0,IF($F65=1,$C$10+($C$11-$C$10)*MIN(Q$45-$G65,$C$12)/$C$12,$E65*$C$5*INDEX($C$6:$C$9,MIN(Q$45-$G65,3)+1)))*(1-$C$14)*IF(AND($C65="Verified",$C$39=1),0,1)</f>
        <v>0</v>
      </c>
      <c r="R65" s="24" t="n">
        <f aca="false">IF(R$45&lt;$G65,0,IF($F65=1,$C$10+($C$11-$C$10)*MIN(R$45-$G65,$C$12)/$C$12,$E65*$C$5*INDEX($C$6:$C$9,MIN(R$45-$G65,3)+1)))*(1-$C$14)*IF(AND($C65="Verified",$C$39=1),0,1)</f>
        <v>0</v>
      </c>
      <c r="S65" s="24" t="n">
        <f aca="false">IF(S$45&lt;$G65,0,IF($F65=1,$C$10+($C$11-$C$10)*MIN(S$45-$G65,$C$12)/$C$12,$E65*$C$5*INDEX($C$6:$C$9,MIN(S$45-$G65,3)+1)))*(1-$C$14)*IF(AND($C65="Verified",$C$39=1),0,1)</f>
        <v>0</v>
      </c>
      <c r="T65" s="24" t="n">
        <f aca="false">IF(T$45&lt;$G65,0,IF($F65=1,$C$10+($C$11-$C$10)*MIN(T$45-$G65,$C$12)/$C$12,$E65*$C$5*INDEX($C$6:$C$9,MIN(T$45-$G65,3)+1)))*(1-$C$14)*IF(AND($C65="Verified",$C$39=1),0,1)</f>
        <v>0</v>
      </c>
      <c r="U65" s="24" t="n">
        <f aca="false">IF(U$45&lt;$G65,0,IF($F65=1,$C$10+($C$11-$C$10)*MIN(U$45-$G65,$C$12)/$C$12,$E65*$C$5*INDEX($C$6:$C$9,MIN(U$45-$G65,3)+1)))*(1-$C$14)*IF(AND($C65="Verified",$C$39=1),0,1)</f>
        <v>0</v>
      </c>
      <c r="V65" s="24" t="n">
        <f aca="false">IF(V$45&lt;$G65,0,IF($F65=1,$C$10+($C$11-$C$10)*MIN(V$45-$G65,$C$12)/$C$12,$E65*$C$5*INDEX($C$6:$C$9,MIN(V$45-$G65,3)+1)))*(1-$C$14)*IF(AND($C65="Verified",$C$39=1),0,1)</f>
        <v>5.5575</v>
      </c>
      <c r="W65" s="24" t="n">
        <f aca="false">IF(W$45&lt;$G65,0,IF($F65=1,$C$10+($C$11-$C$10)*MIN(W$45-$G65,$C$12)/$C$12,$E65*$C$5*INDEX($C$6:$C$9,MIN(W$45-$G65,3)+1)))*(1-$C$14)*IF(AND($C65="Verified",$C$39=1),0,1)</f>
        <v>11.115</v>
      </c>
      <c r="X65" s="24" t="n">
        <f aca="false">IF(X$45&lt;$G65,0,IF($F65=1,$C$10+($C$11-$C$10)*MIN(X$45-$G65,$C$12)/$C$12,$E65*$C$5*INDEX($C$6:$C$9,MIN(X$45-$G65,3)+1)))*(1-$C$14)*IF(AND($C65="Verified",$C$39=1),0,1)</f>
        <v>15.74625</v>
      </c>
      <c r="Y65" s="24" t="n">
        <f aca="false">IF(Y$45&lt;$G65,0,IF($F65=1,$C$10+($C$11-$C$10)*MIN(Y$45-$G65,$C$12)/$C$12,$E65*$C$5*INDEX($C$6:$C$9,MIN(Y$45-$G65,3)+1)))*(1-$C$14)*IF(AND($C65="Verified",$C$39=1),0,1)</f>
        <v>18.525</v>
      </c>
    </row>
    <row r="66" customFormat="false" ht="15" hidden="false" customHeight="false" outlineLevel="0" collapsed="false">
      <c r="A66" s="29" t="n">
        <f aca="false">Assumptions!A75</f>
        <v>19</v>
      </c>
      <c r="B66" s="29" t="str">
        <f aca="false">Assumptions!B75</f>
        <v>B</v>
      </c>
      <c r="C66" s="29" t="str">
        <f aca="false">Assumptions!C75</f>
        <v>Verified</v>
      </c>
      <c r="D66" s="34" t="n">
        <f aca="false">Assumptions!D75</f>
        <v>6500</v>
      </c>
      <c r="E66" s="31" t="n">
        <f aca="false">Assumptions!E75</f>
        <v>30</v>
      </c>
      <c r="F66" s="29" t="n">
        <f aca="false">Assumptions!G75</f>
        <v>0</v>
      </c>
      <c r="G66" s="2" t="n">
        <f aca="false">Assumptions!F75+IF(F66=1,0,$C$15)</f>
        <v>16</v>
      </c>
      <c r="H66" s="24" t="n">
        <f aca="false">IF(H$45&lt;$G66,0,IF($F66=1,$C$10+($C$11-$C$10)*MIN(H$45-$G66,$C$12)/$C$12,$E66*$C$5*INDEX($C$6:$C$9,MIN(H$45-$G66,3)+1)))*(1-$C$14)*IF(AND($C66="Verified",$C$39=1),0,1)</f>
        <v>0</v>
      </c>
      <c r="I66" s="24" t="n">
        <f aca="false">IF(I$45&lt;$G66,0,IF($F66=1,$C$10+($C$11-$C$10)*MIN(I$45-$G66,$C$12)/$C$12,$E66*$C$5*INDEX($C$6:$C$9,MIN(I$45-$G66,3)+1)))*(1-$C$14)*IF(AND($C66="Verified",$C$39=1),0,1)</f>
        <v>0</v>
      </c>
      <c r="J66" s="24" t="n">
        <f aca="false">IF(J$45&lt;$G66,0,IF($F66=1,$C$10+($C$11-$C$10)*MIN(J$45-$G66,$C$12)/$C$12,$E66*$C$5*INDEX($C$6:$C$9,MIN(J$45-$G66,3)+1)))*(1-$C$14)*IF(AND($C66="Verified",$C$39=1),0,1)</f>
        <v>0</v>
      </c>
      <c r="K66" s="24" t="n">
        <f aca="false">IF(K$45&lt;$G66,0,IF($F66=1,$C$10+($C$11-$C$10)*MIN(K$45-$G66,$C$12)/$C$12,$E66*$C$5*INDEX($C$6:$C$9,MIN(K$45-$G66,3)+1)))*(1-$C$14)*IF(AND($C66="Verified",$C$39=1),0,1)</f>
        <v>0</v>
      </c>
      <c r="L66" s="24" t="n">
        <f aca="false">IF(L$45&lt;$G66,0,IF($F66=1,$C$10+($C$11-$C$10)*MIN(L$45-$G66,$C$12)/$C$12,$E66*$C$5*INDEX($C$6:$C$9,MIN(L$45-$G66,3)+1)))*(1-$C$14)*IF(AND($C66="Verified",$C$39=1),0,1)</f>
        <v>0</v>
      </c>
      <c r="M66" s="24" t="n">
        <f aca="false">IF(M$45&lt;$G66,0,IF($F66=1,$C$10+($C$11-$C$10)*MIN(M$45-$G66,$C$12)/$C$12,$E66*$C$5*INDEX($C$6:$C$9,MIN(M$45-$G66,3)+1)))*(1-$C$14)*IF(AND($C66="Verified",$C$39=1),0,1)</f>
        <v>0</v>
      </c>
      <c r="N66" s="24" t="n">
        <f aca="false">IF(N$45&lt;$G66,0,IF($F66=1,$C$10+($C$11-$C$10)*MIN(N$45-$G66,$C$12)/$C$12,$E66*$C$5*INDEX($C$6:$C$9,MIN(N$45-$G66,3)+1)))*(1-$C$14)*IF(AND($C66="Verified",$C$39=1),0,1)</f>
        <v>0</v>
      </c>
      <c r="O66" s="24" t="n">
        <f aca="false">IF(O$45&lt;$G66,0,IF($F66=1,$C$10+($C$11-$C$10)*MIN(O$45-$G66,$C$12)/$C$12,$E66*$C$5*INDEX($C$6:$C$9,MIN(O$45-$G66,3)+1)))*(1-$C$14)*IF(AND($C66="Verified",$C$39=1),0,1)</f>
        <v>0</v>
      </c>
      <c r="P66" s="24" t="n">
        <f aca="false">IF(P$45&lt;$G66,0,IF($F66=1,$C$10+($C$11-$C$10)*MIN(P$45-$G66,$C$12)/$C$12,$E66*$C$5*INDEX($C$6:$C$9,MIN(P$45-$G66,3)+1)))*(1-$C$14)*IF(AND($C66="Verified",$C$39=1),0,1)</f>
        <v>0</v>
      </c>
      <c r="Q66" s="24" t="n">
        <f aca="false">IF(Q$45&lt;$G66,0,IF($F66=1,$C$10+($C$11-$C$10)*MIN(Q$45-$G66,$C$12)/$C$12,$E66*$C$5*INDEX($C$6:$C$9,MIN(Q$45-$G66,3)+1)))*(1-$C$14)*IF(AND($C66="Verified",$C$39=1),0,1)</f>
        <v>0</v>
      </c>
      <c r="R66" s="24" t="n">
        <f aca="false">IF(R$45&lt;$G66,0,IF($F66=1,$C$10+($C$11-$C$10)*MIN(R$45-$G66,$C$12)/$C$12,$E66*$C$5*INDEX($C$6:$C$9,MIN(R$45-$G66,3)+1)))*(1-$C$14)*IF(AND($C66="Verified",$C$39=1),0,1)</f>
        <v>0</v>
      </c>
      <c r="S66" s="24" t="n">
        <f aca="false">IF(S$45&lt;$G66,0,IF($F66=1,$C$10+($C$11-$C$10)*MIN(S$45-$G66,$C$12)/$C$12,$E66*$C$5*INDEX($C$6:$C$9,MIN(S$45-$G66,3)+1)))*(1-$C$14)*IF(AND($C66="Verified",$C$39=1),0,1)</f>
        <v>0</v>
      </c>
      <c r="T66" s="24" t="n">
        <f aca="false">IF(T$45&lt;$G66,0,IF($F66=1,$C$10+($C$11-$C$10)*MIN(T$45-$G66,$C$12)/$C$12,$E66*$C$5*INDEX($C$6:$C$9,MIN(T$45-$G66,3)+1)))*(1-$C$14)*IF(AND($C66="Verified",$C$39=1),0,1)</f>
        <v>0</v>
      </c>
      <c r="U66" s="24" t="n">
        <f aca="false">IF(U$45&lt;$G66,0,IF($F66=1,$C$10+($C$11-$C$10)*MIN(U$45-$G66,$C$12)/$C$12,$E66*$C$5*INDEX($C$6:$C$9,MIN(U$45-$G66,3)+1)))*(1-$C$14)*IF(AND($C66="Verified",$C$39=1),0,1)</f>
        <v>0</v>
      </c>
      <c r="V66" s="24" t="n">
        <f aca="false">IF(V$45&lt;$G66,0,IF($F66=1,$C$10+($C$11-$C$10)*MIN(V$45-$G66,$C$12)/$C$12,$E66*$C$5*INDEX($C$6:$C$9,MIN(V$45-$G66,3)+1)))*(1-$C$14)*IF(AND($C66="Verified",$C$39=1),0,1)</f>
        <v>0</v>
      </c>
      <c r="W66" s="24" t="n">
        <f aca="false">IF(W$45&lt;$G66,0,IF($F66=1,$C$10+($C$11-$C$10)*MIN(W$45-$G66,$C$12)/$C$12,$E66*$C$5*INDEX($C$6:$C$9,MIN(W$45-$G66,3)+1)))*(1-$C$14)*IF(AND($C66="Verified",$C$39=1),0,1)</f>
        <v>5.5575</v>
      </c>
      <c r="X66" s="24" t="n">
        <f aca="false">IF(X$45&lt;$G66,0,IF($F66=1,$C$10+($C$11-$C$10)*MIN(X$45-$G66,$C$12)/$C$12,$E66*$C$5*INDEX($C$6:$C$9,MIN(X$45-$G66,3)+1)))*(1-$C$14)*IF(AND($C66="Verified",$C$39=1),0,1)</f>
        <v>11.115</v>
      </c>
      <c r="Y66" s="24" t="n">
        <f aca="false">IF(Y$45&lt;$G66,0,IF($F66=1,$C$10+($C$11-$C$10)*MIN(Y$45-$G66,$C$12)/$C$12,$E66*$C$5*INDEX($C$6:$C$9,MIN(Y$45-$G66,3)+1)))*(1-$C$14)*IF(AND($C66="Verified",$C$39=1),0,1)</f>
        <v>15.74625</v>
      </c>
    </row>
    <row r="67" customFormat="false" ht="15" hidden="false" customHeight="false" outlineLevel="0" collapsed="false">
      <c r="A67" s="29" t="n">
        <f aca="false">Assumptions!A76</f>
        <v>20</v>
      </c>
      <c r="B67" s="29" t="str">
        <f aca="false">Assumptions!B76</f>
        <v>B</v>
      </c>
      <c r="C67" s="29" t="str">
        <f aca="false">Assumptions!C76</f>
        <v>Verified</v>
      </c>
      <c r="D67" s="34" t="n">
        <f aca="false">Assumptions!D76</f>
        <v>6500</v>
      </c>
      <c r="E67" s="31" t="n">
        <f aca="false">Assumptions!E76</f>
        <v>30</v>
      </c>
      <c r="F67" s="29" t="n">
        <f aca="false">Assumptions!G76</f>
        <v>0</v>
      </c>
      <c r="G67" s="2" t="n">
        <f aca="false">Assumptions!F76+IF(F67=1,0,$C$15)</f>
        <v>16</v>
      </c>
      <c r="H67" s="24" t="n">
        <f aca="false">IF(H$45&lt;$G67,0,IF($F67=1,$C$10+($C$11-$C$10)*MIN(H$45-$G67,$C$12)/$C$12,$E67*$C$5*INDEX($C$6:$C$9,MIN(H$45-$G67,3)+1)))*(1-$C$14)*IF(AND($C67="Verified",$C$39=1),0,1)</f>
        <v>0</v>
      </c>
      <c r="I67" s="24" t="n">
        <f aca="false">IF(I$45&lt;$G67,0,IF($F67=1,$C$10+($C$11-$C$10)*MIN(I$45-$G67,$C$12)/$C$12,$E67*$C$5*INDEX($C$6:$C$9,MIN(I$45-$G67,3)+1)))*(1-$C$14)*IF(AND($C67="Verified",$C$39=1),0,1)</f>
        <v>0</v>
      </c>
      <c r="J67" s="24" t="n">
        <f aca="false">IF(J$45&lt;$G67,0,IF($F67=1,$C$10+($C$11-$C$10)*MIN(J$45-$G67,$C$12)/$C$12,$E67*$C$5*INDEX($C$6:$C$9,MIN(J$45-$G67,3)+1)))*(1-$C$14)*IF(AND($C67="Verified",$C$39=1),0,1)</f>
        <v>0</v>
      </c>
      <c r="K67" s="24" t="n">
        <f aca="false">IF(K$45&lt;$G67,0,IF($F67=1,$C$10+($C$11-$C$10)*MIN(K$45-$G67,$C$12)/$C$12,$E67*$C$5*INDEX($C$6:$C$9,MIN(K$45-$G67,3)+1)))*(1-$C$14)*IF(AND($C67="Verified",$C$39=1),0,1)</f>
        <v>0</v>
      </c>
      <c r="L67" s="24" t="n">
        <f aca="false">IF(L$45&lt;$G67,0,IF($F67=1,$C$10+($C$11-$C$10)*MIN(L$45-$G67,$C$12)/$C$12,$E67*$C$5*INDEX($C$6:$C$9,MIN(L$45-$G67,3)+1)))*(1-$C$14)*IF(AND($C67="Verified",$C$39=1),0,1)</f>
        <v>0</v>
      </c>
      <c r="M67" s="24" t="n">
        <f aca="false">IF(M$45&lt;$G67,0,IF($F67=1,$C$10+($C$11-$C$10)*MIN(M$45-$G67,$C$12)/$C$12,$E67*$C$5*INDEX($C$6:$C$9,MIN(M$45-$G67,3)+1)))*(1-$C$14)*IF(AND($C67="Verified",$C$39=1),0,1)</f>
        <v>0</v>
      </c>
      <c r="N67" s="24" t="n">
        <f aca="false">IF(N$45&lt;$G67,0,IF($F67=1,$C$10+($C$11-$C$10)*MIN(N$45-$G67,$C$12)/$C$12,$E67*$C$5*INDEX($C$6:$C$9,MIN(N$45-$G67,3)+1)))*(1-$C$14)*IF(AND($C67="Verified",$C$39=1),0,1)</f>
        <v>0</v>
      </c>
      <c r="O67" s="24" t="n">
        <f aca="false">IF(O$45&lt;$G67,0,IF($F67=1,$C$10+($C$11-$C$10)*MIN(O$45-$G67,$C$12)/$C$12,$E67*$C$5*INDEX($C$6:$C$9,MIN(O$45-$G67,3)+1)))*(1-$C$14)*IF(AND($C67="Verified",$C$39=1),0,1)</f>
        <v>0</v>
      </c>
      <c r="P67" s="24" t="n">
        <f aca="false">IF(P$45&lt;$G67,0,IF($F67=1,$C$10+($C$11-$C$10)*MIN(P$45-$G67,$C$12)/$C$12,$E67*$C$5*INDEX($C$6:$C$9,MIN(P$45-$G67,3)+1)))*(1-$C$14)*IF(AND($C67="Verified",$C$39=1),0,1)</f>
        <v>0</v>
      </c>
      <c r="Q67" s="24" t="n">
        <f aca="false">IF(Q$45&lt;$G67,0,IF($F67=1,$C$10+($C$11-$C$10)*MIN(Q$45-$G67,$C$12)/$C$12,$E67*$C$5*INDEX($C$6:$C$9,MIN(Q$45-$G67,3)+1)))*(1-$C$14)*IF(AND($C67="Verified",$C$39=1),0,1)</f>
        <v>0</v>
      </c>
      <c r="R67" s="24" t="n">
        <f aca="false">IF(R$45&lt;$G67,0,IF($F67=1,$C$10+($C$11-$C$10)*MIN(R$45-$G67,$C$12)/$C$12,$E67*$C$5*INDEX($C$6:$C$9,MIN(R$45-$G67,3)+1)))*(1-$C$14)*IF(AND($C67="Verified",$C$39=1),0,1)</f>
        <v>0</v>
      </c>
      <c r="S67" s="24" t="n">
        <f aca="false">IF(S$45&lt;$G67,0,IF($F67=1,$C$10+($C$11-$C$10)*MIN(S$45-$G67,$C$12)/$C$12,$E67*$C$5*INDEX($C$6:$C$9,MIN(S$45-$G67,3)+1)))*(1-$C$14)*IF(AND($C67="Verified",$C$39=1),0,1)</f>
        <v>0</v>
      </c>
      <c r="T67" s="24" t="n">
        <f aca="false">IF(T$45&lt;$G67,0,IF($F67=1,$C$10+($C$11-$C$10)*MIN(T$45-$G67,$C$12)/$C$12,$E67*$C$5*INDEX($C$6:$C$9,MIN(T$45-$G67,3)+1)))*(1-$C$14)*IF(AND($C67="Verified",$C$39=1),0,1)</f>
        <v>0</v>
      </c>
      <c r="U67" s="24" t="n">
        <f aca="false">IF(U$45&lt;$G67,0,IF($F67=1,$C$10+($C$11-$C$10)*MIN(U$45-$G67,$C$12)/$C$12,$E67*$C$5*INDEX($C$6:$C$9,MIN(U$45-$G67,3)+1)))*(1-$C$14)*IF(AND($C67="Verified",$C$39=1),0,1)</f>
        <v>0</v>
      </c>
      <c r="V67" s="24" t="n">
        <f aca="false">IF(V$45&lt;$G67,0,IF($F67=1,$C$10+($C$11-$C$10)*MIN(V$45-$G67,$C$12)/$C$12,$E67*$C$5*INDEX($C$6:$C$9,MIN(V$45-$G67,3)+1)))*(1-$C$14)*IF(AND($C67="Verified",$C$39=1),0,1)</f>
        <v>0</v>
      </c>
      <c r="W67" s="24" t="n">
        <f aca="false">IF(W$45&lt;$G67,0,IF($F67=1,$C$10+($C$11-$C$10)*MIN(W$45-$G67,$C$12)/$C$12,$E67*$C$5*INDEX($C$6:$C$9,MIN(W$45-$G67,3)+1)))*(1-$C$14)*IF(AND($C67="Verified",$C$39=1),0,1)</f>
        <v>5.5575</v>
      </c>
      <c r="X67" s="24" t="n">
        <f aca="false">IF(X$45&lt;$G67,0,IF($F67=1,$C$10+($C$11-$C$10)*MIN(X$45-$G67,$C$12)/$C$12,$E67*$C$5*INDEX($C$6:$C$9,MIN(X$45-$G67,3)+1)))*(1-$C$14)*IF(AND($C67="Verified",$C$39=1),0,1)</f>
        <v>11.115</v>
      </c>
      <c r="Y67" s="24" t="n">
        <f aca="false">IF(Y$45&lt;$G67,0,IF($F67=1,$C$10+($C$11-$C$10)*MIN(Y$45-$G67,$C$12)/$C$12,$E67*$C$5*INDEX($C$6:$C$9,MIN(Y$45-$G67,3)+1)))*(1-$C$14)*IF(AND($C67="Verified",$C$39=1),0,1)</f>
        <v>15.74625</v>
      </c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5" hidden="false" customHeight="false" outlineLevel="0" collapsed="false">
      <c r="A69" s="37" t="s">
        <v>199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customFormat="false" ht="15" hidden="false" customHeight="false" outlineLevel="0" collapsed="false">
      <c r="A70" s="2" t="n">
        <f aca="false">A48</f>
        <v>1</v>
      </c>
      <c r="B70" s="2" t="str">
        <f aca="false">B48</f>
        <v>Pilot</v>
      </c>
      <c r="C70" s="2" t="str">
        <f aca="false">C48</f>
        <v>Assured</v>
      </c>
      <c r="D70" s="2"/>
      <c r="E70" s="2"/>
      <c r="F70" s="2"/>
      <c r="G70" s="2"/>
      <c r="H70" s="23" t="n">
        <f aca="false">H48*$D48*$C$13*INDEX(Assumptions!$B$44:$B$46,MATCH($C48,Assumptions!$A$44:$A$46,0))+IF(H$45&gt;=$G48,INDEX(Assumptions!$C$44:$C$46,MATCH($C48,Assumptions!$A$44:$A$46,0)),0)+IF($C48="Assured",H48*$D48*$C$13*$C$26*$C$27*$C$28,0)</f>
        <v>40380.046875</v>
      </c>
      <c r="I70" s="23" t="n">
        <f aca="false">I48*$D48*$C$13*INDEX(Assumptions!$B$44:$B$46,MATCH($C48,Assumptions!$A$44:$A$46,0))+IF(I$45&gt;=$G48,INDEX(Assumptions!$C$44:$C$46,MATCH($C48,Assumptions!$A$44:$A$46,0)),0)+IF($C48="Assured",I48*$D48*$C$13*$C$26*$C$27*$C$28,0)</f>
        <v>42302.90625</v>
      </c>
      <c r="J70" s="23" t="n">
        <f aca="false">J48*$D48*$C$13*INDEX(Assumptions!$B$44:$B$46,MATCH($C48,Assumptions!$A$44:$A$46,0))+IF(J$45&gt;=$G48,INDEX(Assumptions!$C$44:$C$46,MATCH($C48,Assumptions!$A$44:$A$46,0)),0)+IF($C48="Assured",J48*$D48*$C$13*$C$26*$C$27*$C$28,0)</f>
        <v>44225.765625</v>
      </c>
      <c r="K70" s="23" t="n">
        <f aca="false">K48*$D48*$C$13*INDEX(Assumptions!$B$44:$B$46,MATCH($C48,Assumptions!$A$44:$A$46,0))+IF(K$45&gt;=$G48,INDEX(Assumptions!$C$44:$C$46,MATCH($C48,Assumptions!$A$44:$A$46,0)),0)+IF($C48="Assured",K48*$D48*$C$13*$C$26*$C$27*$C$28,0)</f>
        <v>46148.625</v>
      </c>
      <c r="L70" s="23" t="n">
        <f aca="false">L48*$D48*$C$13*INDEX(Assumptions!$B$44:$B$46,MATCH($C48,Assumptions!$A$44:$A$46,0))+IF(L$45&gt;=$G48,INDEX(Assumptions!$C$44:$C$46,MATCH($C48,Assumptions!$A$44:$A$46,0)),0)+IF($C48="Assured",L48*$D48*$C$13*$C$26*$C$27*$C$28,0)</f>
        <v>46148.625</v>
      </c>
      <c r="M70" s="23" t="n">
        <f aca="false">M48*$D48*$C$13*INDEX(Assumptions!$B$44:$B$46,MATCH($C48,Assumptions!$A$44:$A$46,0))+IF(M$45&gt;=$G48,INDEX(Assumptions!$C$44:$C$46,MATCH($C48,Assumptions!$A$44:$A$46,0)),0)+IF($C48="Assured",M48*$D48*$C$13*$C$26*$C$27*$C$28,0)</f>
        <v>46148.625</v>
      </c>
      <c r="N70" s="23" t="n">
        <f aca="false">N48*$D48*$C$13*INDEX(Assumptions!$B$44:$B$46,MATCH($C48,Assumptions!$A$44:$A$46,0))+IF(N$45&gt;=$G48,INDEX(Assumptions!$C$44:$C$46,MATCH($C48,Assumptions!$A$44:$A$46,0)),0)+IF($C48="Assured",N48*$D48*$C$13*$C$26*$C$27*$C$28,0)</f>
        <v>46148.625</v>
      </c>
      <c r="O70" s="23" t="n">
        <f aca="false">O48*$D48*$C$13*INDEX(Assumptions!$B$44:$B$46,MATCH($C48,Assumptions!$A$44:$A$46,0))+IF(O$45&gt;=$G48,INDEX(Assumptions!$C$44:$C$46,MATCH($C48,Assumptions!$A$44:$A$46,0)),0)+IF($C48="Assured",O48*$D48*$C$13*$C$26*$C$27*$C$28,0)</f>
        <v>46148.625</v>
      </c>
      <c r="P70" s="23" t="n">
        <f aca="false">P48*$D48*$C$13*INDEX(Assumptions!$B$44:$B$46,MATCH($C48,Assumptions!$A$44:$A$46,0))+IF(P$45&gt;=$G48,INDEX(Assumptions!$C$44:$C$46,MATCH($C48,Assumptions!$A$44:$A$46,0)),0)+IF($C48="Assured",P48*$D48*$C$13*$C$26*$C$27*$C$28,0)</f>
        <v>46148.625</v>
      </c>
      <c r="Q70" s="23" t="n">
        <f aca="false">Q48*$D48*$C$13*INDEX(Assumptions!$B$44:$B$46,MATCH($C48,Assumptions!$A$44:$A$46,0))+IF(Q$45&gt;=$G48,INDEX(Assumptions!$C$44:$C$46,MATCH($C48,Assumptions!$A$44:$A$46,0)),0)+IF($C48="Assured",Q48*$D48*$C$13*$C$26*$C$27*$C$28,0)</f>
        <v>46148.625</v>
      </c>
      <c r="R70" s="23" t="n">
        <f aca="false">R48*$D48*$C$13*INDEX(Assumptions!$B$44:$B$46,MATCH($C48,Assumptions!$A$44:$A$46,0))+IF(R$45&gt;=$G48,INDEX(Assumptions!$C$44:$C$46,MATCH($C48,Assumptions!$A$44:$A$46,0)),0)+IF($C48="Assured",R48*$D48*$C$13*$C$26*$C$27*$C$28,0)</f>
        <v>46148.625</v>
      </c>
      <c r="S70" s="23" t="n">
        <f aca="false">S48*$D48*$C$13*INDEX(Assumptions!$B$44:$B$46,MATCH($C48,Assumptions!$A$44:$A$46,0))+IF(S$45&gt;=$G48,INDEX(Assumptions!$C$44:$C$46,MATCH($C48,Assumptions!$A$44:$A$46,0)),0)+IF($C48="Assured",S48*$D48*$C$13*$C$26*$C$27*$C$28,0)</f>
        <v>46148.625</v>
      </c>
      <c r="T70" s="23" t="n">
        <f aca="false">T48*$D48*$C$13*INDEX(Assumptions!$B$44:$B$46,MATCH($C48,Assumptions!$A$44:$A$46,0))+IF(T$45&gt;=$G48,INDEX(Assumptions!$C$44:$C$46,MATCH($C48,Assumptions!$A$44:$A$46,0)),0)+IF($C48="Assured",T48*$D48*$C$13*$C$26*$C$27*$C$28,0)</f>
        <v>46148.625</v>
      </c>
      <c r="U70" s="23" t="n">
        <f aca="false">U48*$D48*$C$13*INDEX(Assumptions!$B$44:$B$46,MATCH($C48,Assumptions!$A$44:$A$46,0))+IF(U$45&gt;=$G48,INDEX(Assumptions!$C$44:$C$46,MATCH($C48,Assumptions!$A$44:$A$46,0)),0)+IF($C48="Assured",U48*$D48*$C$13*$C$26*$C$27*$C$28,0)</f>
        <v>46148.625</v>
      </c>
      <c r="V70" s="23" t="n">
        <f aca="false">V48*$D48*$C$13*INDEX(Assumptions!$B$44:$B$46,MATCH($C48,Assumptions!$A$44:$A$46,0))+IF(V$45&gt;=$G48,INDEX(Assumptions!$C$44:$C$46,MATCH($C48,Assumptions!$A$44:$A$46,0)),0)+IF($C48="Assured",V48*$D48*$C$13*$C$26*$C$27*$C$28,0)</f>
        <v>46148.625</v>
      </c>
      <c r="W70" s="23" t="n">
        <f aca="false">W48*$D48*$C$13*INDEX(Assumptions!$B$44:$B$46,MATCH($C48,Assumptions!$A$44:$A$46,0))+IF(W$45&gt;=$G48,INDEX(Assumptions!$C$44:$C$46,MATCH($C48,Assumptions!$A$44:$A$46,0)),0)+IF($C48="Assured",W48*$D48*$C$13*$C$26*$C$27*$C$28,0)</f>
        <v>46148.625</v>
      </c>
      <c r="X70" s="23" t="n">
        <f aca="false">X48*$D48*$C$13*INDEX(Assumptions!$B$44:$B$46,MATCH($C48,Assumptions!$A$44:$A$46,0))+IF(X$45&gt;=$G48,INDEX(Assumptions!$C$44:$C$46,MATCH($C48,Assumptions!$A$44:$A$46,0)),0)+IF($C48="Assured",X48*$D48*$C$13*$C$26*$C$27*$C$28,0)</f>
        <v>46148.625</v>
      </c>
      <c r="Y70" s="23" t="n">
        <f aca="false">Y48*$D48*$C$13*INDEX(Assumptions!$B$44:$B$46,MATCH($C48,Assumptions!$A$44:$A$46,0))+IF(Y$45&gt;=$G48,INDEX(Assumptions!$C$44:$C$46,MATCH($C48,Assumptions!$A$44:$A$46,0)),0)+IF($C48="Assured",Y48*$D48*$C$13*$C$26*$C$27*$C$28,0)</f>
        <v>46148.625</v>
      </c>
    </row>
    <row r="71" customFormat="false" ht="15" hidden="false" customHeight="false" outlineLevel="0" collapsed="false">
      <c r="A71" s="2" t="n">
        <f aca="false">A49</f>
        <v>2</v>
      </c>
      <c r="B71" s="2" t="str">
        <f aca="false">B49</f>
        <v>Pilot</v>
      </c>
      <c r="C71" s="2" t="str">
        <f aca="false">C49</f>
        <v>Assured</v>
      </c>
      <c r="D71" s="2"/>
      <c r="E71" s="2"/>
      <c r="F71" s="2"/>
      <c r="G71" s="2"/>
      <c r="H71" s="23" t="n">
        <f aca="false">H49*$D49*$C$13*INDEX(Assumptions!$B$44:$B$46,MATCH($C49,Assumptions!$A$44:$A$46,0))+IF(H$45&gt;=$G49,INDEX(Assumptions!$C$44:$C$46,MATCH($C49,Assumptions!$A$44:$A$46,0)),0)+IF($C49="Assured",H49*$D49*$C$13*$C$26*$C$27*$C$28,0)</f>
        <v>40380.046875</v>
      </c>
      <c r="I71" s="23" t="n">
        <f aca="false">I49*$D49*$C$13*INDEX(Assumptions!$B$44:$B$46,MATCH($C49,Assumptions!$A$44:$A$46,0))+IF(I$45&gt;=$G49,INDEX(Assumptions!$C$44:$C$46,MATCH($C49,Assumptions!$A$44:$A$46,0)),0)+IF($C49="Assured",I49*$D49*$C$13*$C$26*$C$27*$C$28,0)</f>
        <v>42302.90625</v>
      </c>
      <c r="J71" s="23" t="n">
        <f aca="false">J49*$D49*$C$13*INDEX(Assumptions!$B$44:$B$46,MATCH($C49,Assumptions!$A$44:$A$46,0))+IF(J$45&gt;=$G49,INDEX(Assumptions!$C$44:$C$46,MATCH($C49,Assumptions!$A$44:$A$46,0)),0)+IF($C49="Assured",J49*$D49*$C$13*$C$26*$C$27*$C$28,0)</f>
        <v>44225.765625</v>
      </c>
      <c r="K71" s="23" t="n">
        <f aca="false">K49*$D49*$C$13*INDEX(Assumptions!$B$44:$B$46,MATCH($C49,Assumptions!$A$44:$A$46,0))+IF(K$45&gt;=$G49,INDEX(Assumptions!$C$44:$C$46,MATCH($C49,Assumptions!$A$44:$A$46,0)),0)+IF($C49="Assured",K49*$D49*$C$13*$C$26*$C$27*$C$28,0)</f>
        <v>46148.625</v>
      </c>
      <c r="L71" s="23" t="n">
        <f aca="false">L49*$D49*$C$13*INDEX(Assumptions!$B$44:$B$46,MATCH($C49,Assumptions!$A$44:$A$46,0))+IF(L$45&gt;=$G49,INDEX(Assumptions!$C$44:$C$46,MATCH($C49,Assumptions!$A$44:$A$46,0)),0)+IF($C49="Assured",L49*$D49*$C$13*$C$26*$C$27*$C$28,0)</f>
        <v>46148.625</v>
      </c>
      <c r="M71" s="23" t="n">
        <f aca="false">M49*$D49*$C$13*INDEX(Assumptions!$B$44:$B$46,MATCH($C49,Assumptions!$A$44:$A$46,0))+IF(M$45&gt;=$G49,INDEX(Assumptions!$C$44:$C$46,MATCH($C49,Assumptions!$A$44:$A$46,0)),0)+IF($C49="Assured",M49*$D49*$C$13*$C$26*$C$27*$C$28,0)</f>
        <v>46148.625</v>
      </c>
      <c r="N71" s="23" t="n">
        <f aca="false">N49*$D49*$C$13*INDEX(Assumptions!$B$44:$B$46,MATCH($C49,Assumptions!$A$44:$A$46,0))+IF(N$45&gt;=$G49,INDEX(Assumptions!$C$44:$C$46,MATCH($C49,Assumptions!$A$44:$A$46,0)),0)+IF($C49="Assured",N49*$D49*$C$13*$C$26*$C$27*$C$28,0)</f>
        <v>46148.625</v>
      </c>
      <c r="O71" s="23" t="n">
        <f aca="false">O49*$D49*$C$13*INDEX(Assumptions!$B$44:$B$46,MATCH($C49,Assumptions!$A$44:$A$46,0))+IF(O$45&gt;=$G49,INDEX(Assumptions!$C$44:$C$46,MATCH($C49,Assumptions!$A$44:$A$46,0)),0)+IF($C49="Assured",O49*$D49*$C$13*$C$26*$C$27*$C$28,0)</f>
        <v>46148.625</v>
      </c>
      <c r="P71" s="23" t="n">
        <f aca="false">P49*$D49*$C$13*INDEX(Assumptions!$B$44:$B$46,MATCH($C49,Assumptions!$A$44:$A$46,0))+IF(P$45&gt;=$G49,INDEX(Assumptions!$C$44:$C$46,MATCH($C49,Assumptions!$A$44:$A$46,0)),0)+IF($C49="Assured",P49*$D49*$C$13*$C$26*$C$27*$C$28,0)</f>
        <v>46148.625</v>
      </c>
      <c r="Q71" s="23" t="n">
        <f aca="false">Q49*$D49*$C$13*INDEX(Assumptions!$B$44:$B$46,MATCH($C49,Assumptions!$A$44:$A$46,0))+IF(Q$45&gt;=$G49,INDEX(Assumptions!$C$44:$C$46,MATCH($C49,Assumptions!$A$44:$A$46,0)),0)+IF($C49="Assured",Q49*$D49*$C$13*$C$26*$C$27*$C$28,0)</f>
        <v>46148.625</v>
      </c>
      <c r="R71" s="23" t="n">
        <f aca="false">R49*$D49*$C$13*INDEX(Assumptions!$B$44:$B$46,MATCH($C49,Assumptions!$A$44:$A$46,0))+IF(R$45&gt;=$G49,INDEX(Assumptions!$C$44:$C$46,MATCH($C49,Assumptions!$A$44:$A$46,0)),0)+IF($C49="Assured",R49*$D49*$C$13*$C$26*$C$27*$C$28,0)</f>
        <v>46148.625</v>
      </c>
      <c r="S71" s="23" t="n">
        <f aca="false">S49*$D49*$C$13*INDEX(Assumptions!$B$44:$B$46,MATCH($C49,Assumptions!$A$44:$A$46,0))+IF(S$45&gt;=$G49,INDEX(Assumptions!$C$44:$C$46,MATCH($C49,Assumptions!$A$44:$A$46,0)),0)+IF($C49="Assured",S49*$D49*$C$13*$C$26*$C$27*$C$28,0)</f>
        <v>46148.625</v>
      </c>
      <c r="T71" s="23" t="n">
        <f aca="false">T49*$D49*$C$13*INDEX(Assumptions!$B$44:$B$46,MATCH($C49,Assumptions!$A$44:$A$46,0))+IF(T$45&gt;=$G49,INDEX(Assumptions!$C$44:$C$46,MATCH($C49,Assumptions!$A$44:$A$46,0)),0)+IF($C49="Assured",T49*$D49*$C$13*$C$26*$C$27*$C$28,0)</f>
        <v>46148.625</v>
      </c>
      <c r="U71" s="23" t="n">
        <f aca="false">U49*$D49*$C$13*INDEX(Assumptions!$B$44:$B$46,MATCH($C49,Assumptions!$A$44:$A$46,0))+IF(U$45&gt;=$G49,INDEX(Assumptions!$C$44:$C$46,MATCH($C49,Assumptions!$A$44:$A$46,0)),0)+IF($C49="Assured",U49*$D49*$C$13*$C$26*$C$27*$C$28,0)</f>
        <v>46148.625</v>
      </c>
      <c r="V71" s="23" t="n">
        <f aca="false">V49*$D49*$C$13*INDEX(Assumptions!$B$44:$B$46,MATCH($C49,Assumptions!$A$44:$A$46,0))+IF(V$45&gt;=$G49,INDEX(Assumptions!$C$44:$C$46,MATCH($C49,Assumptions!$A$44:$A$46,0)),0)+IF($C49="Assured",V49*$D49*$C$13*$C$26*$C$27*$C$28,0)</f>
        <v>46148.625</v>
      </c>
      <c r="W71" s="23" t="n">
        <f aca="false">W49*$D49*$C$13*INDEX(Assumptions!$B$44:$B$46,MATCH($C49,Assumptions!$A$44:$A$46,0))+IF(W$45&gt;=$G49,INDEX(Assumptions!$C$44:$C$46,MATCH($C49,Assumptions!$A$44:$A$46,0)),0)+IF($C49="Assured",W49*$D49*$C$13*$C$26*$C$27*$C$28,0)</f>
        <v>46148.625</v>
      </c>
      <c r="X71" s="23" t="n">
        <f aca="false">X49*$D49*$C$13*INDEX(Assumptions!$B$44:$B$46,MATCH($C49,Assumptions!$A$44:$A$46,0))+IF(X$45&gt;=$G49,INDEX(Assumptions!$C$44:$C$46,MATCH($C49,Assumptions!$A$44:$A$46,0)),0)+IF($C49="Assured",X49*$D49*$C$13*$C$26*$C$27*$C$28,0)</f>
        <v>46148.625</v>
      </c>
      <c r="Y71" s="23" t="n">
        <f aca="false">Y49*$D49*$C$13*INDEX(Assumptions!$B$44:$B$46,MATCH($C49,Assumptions!$A$44:$A$46,0))+IF(Y$45&gt;=$G49,INDEX(Assumptions!$C$44:$C$46,MATCH($C49,Assumptions!$A$44:$A$46,0)),0)+IF($C49="Assured",Y49*$D49*$C$13*$C$26*$C$27*$C$28,0)</f>
        <v>46148.625</v>
      </c>
    </row>
    <row r="72" customFormat="false" ht="15" hidden="false" customHeight="false" outlineLevel="0" collapsed="false">
      <c r="A72" s="2" t="n">
        <f aca="false">A50</f>
        <v>3</v>
      </c>
      <c r="B72" s="2" t="str">
        <f aca="false">B50</f>
        <v>Pilot</v>
      </c>
      <c r="C72" s="2" t="str">
        <f aca="false">C50</f>
        <v>Assured</v>
      </c>
      <c r="D72" s="2"/>
      <c r="E72" s="2"/>
      <c r="F72" s="2"/>
      <c r="G72" s="2"/>
      <c r="H72" s="23" t="n">
        <f aca="false">H50*$D50*$C$13*INDEX(Assumptions!$B$44:$B$46,MATCH($C50,Assumptions!$A$44:$A$46,0))+IF(H$45&gt;=$G50,INDEX(Assumptions!$C$44:$C$46,MATCH($C50,Assumptions!$A$44:$A$46,0)),0)+IF($C50="Assured",H50*$D50*$C$13*$C$26*$C$27*$C$28,0)</f>
        <v>40380.046875</v>
      </c>
      <c r="I72" s="23" t="n">
        <f aca="false">I50*$D50*$C$13*INDEX(Assumptions!$B$44:$B$46,MATCH($C50,Assumptions!$A$44:$A$46,0))+IF(I$45&gt;=$G50,INDEX(Assumptions!$C$44:$C$46,MATCH($C50,Assumptions!$A$44:$A$46,0)),0)+IF($C50="Assured",I50*$D50*$C$13*$C$26*$C$27*$C$28,0)</f>
        <v>42302.90625</v>
      </c>
      <c r="J72" s="23" t="n">
        <f aca="false">J50*$D50*$C$13*INDEX(Assumptions!$B$44:$B$46,MATCH($C50,Assumptions!$A$44:$A$46,0))+IF(J$45&gt;=$G50,INDEX(Assumptions!$C$44:$C$46,MATCH($C50,Assumptions!$A$44:$A$46,0)),0)+IF($C50="Assured",J50*$D50*$C$13*$C$26*$C$27*$C$28,0)</f>
        <v>44225.765625</v>
      </c>
      <c r="K72" s="23" t="n">
        <f aca="false">K50*$D50*$C$13*INDEX(Assumptions!$B$44:$B$46,MATCH($C50,Assumptions!$A$44:$A$46,0))+IF(K$45&gt;=$G50,INDEX(Assumptions!$C$44:$C$46,MATCH($C50,Assumptions!$A$44:$A$46,0)),0)+IF($C50="Assured",K50*$D50*$C$13*$C$26*$C$27*$C$28,0)</f>
        <v>46148.625</v>
      </c>
      <c r="L72" s="23" t="n">
        <f aca="false">L50*$D50*$C$13*INDEX(Assumptions!$B$44:$B$46,MATCH($C50,Assumptions!$A$44:$A$46,0))+IF(L$45&gt;=$G50,INDEX(Assumptions!$C$44:$C$46,MATCH($C50,Assumptions!$A$44:$A$46,0)),0)+IF($C50="Assured",L50*$D50*$C$13*$C$26*$C$27*$C$28,0)</f>
        <v>46148.625</v>
      </c>
      <c r="M72" s="23" t="n">
        <f aca="false">M50*$D50*$C$13*INDEX(Assumptions!$B$44:$B$46,MATCH($C50,Assumptions!$A$44:$A$46,0))+IF(M$45&gt;=$G50,INDEX(Assumptions!$C$44:$C$46,MATCH($C50,Assumptions!$A$44:$A$46,0)),0)+IF($C50="Assured",M50*$D50*$C$13*$C$26*$C$27*$C$28,0)</f>
        <v>46148.625</v>
      </c>
      <c r="N72" s="23" t="n">
        <f aca="false">N50*$D50*$C$13*INDEX(Assumptions!$B$44:$B$46,MATCH($C50,Assumptions!$A$44:$A$46,0))+IF(N$45&gt;=$G50,INDEX(Assumptions!$C$44:$C$46,MATCH($C50,Assumptions!$A$44:$A$46,0)),0)+IF($C50="Assured",N50*$D50*$C$13*$C$26*$C$27*$C$28,0)</f>
        <v>46148.625</v>
      </c>
      <c r="O72" s="23" t="n">
        <f aca="false">O50*$D50*$C$13*INDEX(Assumptions!$B$44:$B$46,MATCH($C50,Assumptions!$A$44:$A$46,0))+IF(O$45&gt;=$G50,INDEX(Assumptions!$C$44:$C$46,MATCH($C50,Assumptions!$A$44:$A$46,0)),0)+IF($C50="Assured",O50*$D50*$C$13*$C$26*$C$27*$C$28,0)</f>
        <v>46148.625</v>
      </c>
      <c r="P72" s="23" t="n">
        <f aca="false">P50*$D50*$C$13*INDEX(Assumptions!$B$44:$B$46,MATCH($C50,Assumptions!$A$44:$A$46,0))+IF(P$45&gt;=$G50,INDEX(Assumptions!$C$44:$C$46,MATCH($C50,Assumptions!$A$44:$A$46,0)),0)+IF($C50="Assured",P50*$D50*$C$13*$C$26*$C$27*$C$28,0)</f>
        <v>46148.625</v>
      </c>
      <c r="Q72" s="23" t="n">
        <f aca="false">Q50*$D50*$C$13*INDEX(Assumptions!$B$44:$B$46,MATCH($C50,Assumptions!$A$44:$A$46,0))+IF(Q$45&gt;=$G50,INDEX(Assumptions!$C$44:$C$46,MATCH($C50,Assumptions!$A$44:$A$46,0)),0)+IF($C50="Assured",Q50*$D50*$C$13*$C$26*$C$27*$C$28,0)</f>
        <v>46148.625</v>
      </c>
      <c r="R72" s="23" t="n">
        <f aca="false">R50*$D50*$C$13*INDEX(Assumptions!$B$44:$B$46,MATCH($C50,Assumptions!$A$44:$A$46,0))+IF(R$45&gt;=$G50,INDEX(Assumptions!$C$44:$C$46,MATCH($C50,Assumptions!$A$44:$A$46,0)),0)+IF($C50="Assured",R50*$D50*$C$13*$C$26*$C$27*$C$28,0)</f>
        <v>46148.625</v>
      </c>
      <c r="S72" s="23" t="n">
        <f aca="false">S50*$D50*$C$13*INDEX(Assumptions!$B$44:$B$46,MATCH($C50,Assumptions!$A$44:$A$46,0))+IF(S$45&gt;=$G50,INDEX(Assumptions!$C$44:$C$46,MATCH($C50,Assumptions!$A$44:$A$46,0)),0)+IF($C50="Assured",S50*$D50*$C$13*$C$26*$C$27*$C$28,0)</f>
        <v>46148.625</v>
      </c>
      <c r="T72" s="23" t="n">
        <f aca="false">T50*$D50*$C$13*INDEX(Assumptions!$B$44:$B$46,MATCH($C50,Assumptions!$A$44:$A$46,0))+IF(T$45&gt;=$G50,INDEX(Assumptions!$C$44:$C$46,MATCH($C50,Assumptions!$A$44:$A$46,0)),0)+IF($C50="Assured",T50*$D50*$C$13*$C$26*$C$27*$C$28,0)</f>
        <v>46148.625</v>
      </c>
      <c r="U72" s="23" t="n">
        <f aca="false">U50*$D50*$C$13*INDEX(Assumptions!$B$44:$B$46,MATCH($C50,Assumptions!$A$44:$A$46,0))+IF(U$45&gt;=$G50,INDEX(Assumptions!$C$44:$C$46,MATCH($C50,Assumptions!$A$44:$A$46,0)),0)+IF($C50="Assured",U50*$D50*$C$13*$C$26*$C$27*$C$28,0)</f>
        <v>46148.625</v>
      </c>
      <c r="V72" s="23" t="n">
        <f aca="false">V50*$D50*$C$13*INDEX(Assumptions!$B$44:$B$46,MATCH($C50,Assumptions!$A$44:$A$46,0))+IF(V$45&gt;=$G50,INDEX(Assumptions!$C$44:$C$46,MATCH($C50,Assumptions!$A$44:$A$46,0)),0)+IF($C50="Assured",V50*$D50*$C$13*$C$26*$C$27*$C$28,0)</f>
        <v>46148.625</v>
      </c>
      <c r="W72" s="23" t="n">
        <f aca="false">W50*$D50*$C$13*INDEX(Assumptions!$B$44:$B$46,MATCH($C50,Assumptions!$A$44:$A$46,0))+IF(W$45&gt;=$G50,INDEX(Assumptions!$C$44:$C$46,MATCH($C50,Assumptions!$A$44:$A$46,0)),0)+IF($C50="Assured",W50*$D50*$C$13*$C$26*$C$27*$C$28,0)</f>
        <v>46148.625</v>
      </c>
      <c r="X72" s="23" t="n">
        <f aca="false">X50*$D50*$C$13*INDEX(Assumptions!$B$44:$B$46,MATCH($C50,Assumptions!$A$44:$A$46,0))+IF(X$45&gt;=$G50,INDEX(Assumptions!$C$44:$C$46,MATCH($C50,Assumptions!$A$44:$A$46,0)),0)+IF($C50="Assured",X50*$D50*$C$13*$C$26*$C$27*$C$28,0)</f>
        <v>46148.625</v>
      </c>
      <c r="Y72" s="23" t="n">
        <f aca="false">Y50*$D50*$C$13*INDEX(Assumptions!$B$44:$B$46,MATCH($C50,Assumptions!$A$44:$A$46,0))+IF(Y$45&gt;=$G50,INDEX(Assumptions!$C$44:$C$46,MATCH($C50,Assumptions!$A$44:$A$46,0)),0)+IF($C50="Assured",Y50*$D50*$C$13*$C$26*$C$27*$C$28,0)</f>
        <v>46148.625</v>
      </c>
    </row>
    <row r="73" customFormat="false" ht="15" hidden="false" customHeight="false" outlineLevel="0" collapsed="false">
      <c r="A73" s="2" t="n">
        <f aca="false">A51</f>
        <v>4</v>
      </c>
      <c r="B73" s="2" t="str">
        <f aca="false">B51</f>
        <v>Pilot</v>
      </c>
      <c r="C73" s="2" t="str">
        <f aca="false">C51</f>
        <v>Assured</v>
      </c>
      <c r="D73" s="2"/>
      <c r="E73" s="2"/>
      <c r="F73" s="2"/>
      <c r="G73" s="2"/>
      <c r="H73" s="23" t="n">
        <f aca="false">H51*$D51*$C$13*INDEX(Assumptions!$B$44:$B$46,MATCH($C51,Assumptions!$A$44:$A$46,0))+IF(H$45&gt;=$G51,INDEX(Assumptions!$C$44:$C$46,MATCH($C51,Assumptions!$A$44:$A$46,0)),0)+IF($C51="Assured",H51*$D51*$C$13*$C$26*$C$27*$C$28,0)</f>
        <v>40380.046875</v>
      </c>
      <c r="I73" s="23" t="n">
        <f aca="false">I51*$D51*$C$13*INDEX(Assumptions!$B$44:$B$46,MATCH($C51,Assumptions!$A$44:$A$46,0))+IF(I$45&gt;=$G51,INDEX(Assumptions!$C$44:$C$46,MATCH($C51,Assumptions!$A$44:$A$46,0)),0)+IF($C51="Assured",I51*$D51*$C$13*$C$26*$C$27*$C$28,0)</f>
        <v>42302.90625</v>
      </c>
      <c r="J73" s="23" t="n">
        <f aca="false">J51*$D51*$C$13*INDEX(Assumptions!$B$44:$B$46,MATCH($C51,Assumptions!$A$44:$A$46,0))+IF(J$45&gt;=$G51,INDEX(Assumptions!$C$44:$C$46,MATCH($C51,Assumptions!$A$44:$A$46,0)),0)+IF($C51="Assured",J51*$D51*$C$13*$C$26*$C$27*$C$28,0)</f>
        <v>44225.765625</v>
      </c>
      <c r="K73" s="23" t="n">
        <f aca="false">K51*$D51*$C$13*INDEX(Assumptions!$B$44:$B$46,MATCH($C51,Assumptions!$A$44:$A$46,0))+IF(K$45&gt;=$G51,INDEX(Assumptions!$C$44:$C$46,MATCH($C51,Assumptions!$A$44:$A$46,0)),0)+IF($C51="Assured",K51*$D51*$C$13*$C$26*$C$27*$C$28,0)</f>
        <v>46148.625</v>
      </c>
      <c r="L73" s="23" t="n">
        <f aca="false">L51*$D51*$C$13*INDEX(Assumptions!$B$44:$B$46,MATCH($C51,Assumptions!$A$44:$A$46,0))+IF(L$45&gt;=$G51,INDEX(Assumptions!$C$44:$C$46,MATCH($C51,Assumptions!$A$44:$A$46,0)),0)+IF($C51="Assured",L51*$D51*$C$13*$C$26*$C$27*$C$28,0)</f>
        <v>46148.625</v>
      </c>
      <c r="M73" s="23" t="n">
        <f aca="false">M51*$D51*$C$13*INDEX(Assumptions!$B$44:$B$46,MATCH($C51,Assumptions!$A$44:$A$46,0))+IF(M$45&gt;=$G51,INDEX(Assumptions!$C$44:$C$46,MATCH($C51,Assumptions!$A$44:$A$46,0)),0)+IF($C51="Assured",M51*$D51*$C$13*$C$26*$C$27*$C$28,0)</f>
        <v>46148.625</v>
      </c>
      <c r="N73" s="23" t="n">
        <f aca="false">N51*$D51*$C$13*INDEX(Assumptions!$B$44:$B$46,MATCH($C51,Assumptions!$A$44:$A$46,0))+IF(N$45&gt;=$G51,INDEX(Assumptions!$C$44:$C$46,MATCH($C51,Assumptions!$A$44:$A$46,0)),0)+IF($C51="Assured",N51*$D51*$C$13*$C$26*$C$27*$C$28,0)</f>
        <v>46148.625</v>
      </c>
      <c r="O73" s="23" t="n">
        <f aca="false">O51*$D51*$C$13*INDEX(Assumptions!$B$44:$B$46,MATCH($C51,Assumptions!$A$44:$A$46,0))+IF(O$45&gt;=$G51,INDEX(Assumptions!$C$44:$C$46,MATCH($C51,Assumptions!$A$44:$A$46,0)),0)+IF($C51="Assured",O51*$D51*$C$13*$C$26*$C$27*$C$28,0)</f>
        <v>46148.625</v>
      </c>
      <c r="P73" s="23" t="n">
        <f aca="false">P51*$D51*$C$13*INDEX(Assumptions!$B$44:$B$46,MATCH($C51,Assumptions!$A$44:$A$46,0))+IF(P$45&gt;=$G51,INDEX(Assumptions!$C$44:$C$46,MATCH($C51,Assumptions!$A$44:$A$46,0)),0)+IF($C51="Assured",P51*$D51*$C$13*$C$26*$C$27*$C$28,0)</f>
        <v>46148.625</v>
      </c>
      <c r="Q73" s="23" t="n">
        <f aca="false">Q51*$D51*$C$13*INDEX(Assumptions!$B$44:$B$46,MATCH($C51,Assumptions!$A$44:$A$46,0))+IF(Q$45&gt;=$G51,INDEX(Assumptions!$C$44:$C$46,MATCH($C51,Assumptions!$A$44:$A$46,0)),0)+IF($C51="Assured",Q51*$D51*$C$13*$C$26*$C$27*$C$28,0)</f>
        <v>46148.625</v>
      </c>
      <c r="R73" s="23" t="n">
        <f aca="false">R51*$D51*$C$13*INDEX(Assumptions!$B$44:$B$46,MATCH($C51,Assumptions!$A$44:$A$46,0))+IF(R$45&gt;=$G51,INDEX(Assumptions!$C$44:$C$46,MATCH($C51,Assumptions!$A$44:$A$46,0)),0)+IF($C51="Assured",R51*$D51*$C$13*$C$26*$C$27*$C$28,0)</f>
        <v>46148.625</v>
      </c>
      <c r="S73" s="23" t="n">
        <f aca="false">S51*$D51*$C$13*INDEX(Assumptions!$B$44:$B$46,MATCH($C51,Assumptions!$A$44:$A$46,0))+IF(S$45&gt;=$G51,INDEX(Assumptions!$C$44:$C$46,MATCH($C51,Assumptions!$A$44:$A$46,0)),0)+IF($C51="Assured",S51*$D51*$C$13*$C$26*$C$27*$C$28,0)</f>
        <v>46148.625</v>
      </c>
      <c r="T73" s="23" t="n">
        <f aca="false">T51*$D51*$C$13*INDEX(Assumptions!$B$44:$B$46,MATCH($C51,Assumptions!$A$44:$A$46,0))+IF(T$45&gt;=$G51,INDEX(Assumptions!$C$44:$C$46,MATCH($C51,Assumptions!$A$44:$A$46,0)),0)+IF($C51="Assured",T51*$D51*$C$13*$C$26*$C$27*$C$28,0)</f>
        <v>46148.625</v>
      </c>
      <c r="U73" s="23" t="n">
        <f aca="false">U51*$D51*$C$13*INDEX(Assumptions!$B$44:$B$46,MATCH($C51,Assumptions!$A$44:$A$46,0))+IF(U$45&gt;=$G51,INDEX(Assumptions!$C$44:$C$46,MATCH($C51,Assumptions!$A$44:$A$46,0)),0)+IF($C51="Assured",U51*$D51*$C$13*$C$26*$C$27*$C$28,0)</f>
        <v>46148.625</v>
      </c>
      <c r="V73" s="23" t="n">
        <f aca="false">V51*$D51*$C$13*INDEX(Assumptions!$B$44:$B$46,MATCH($C51,Assumptions!$A$44:$A$46,0))+IF(V$45&gt;=$G51,INDEX(Assumptions!$C$44:$C$46,MATCH($C51,Assumptions!$A$44:$A$46,0)),0)+IF($C51="Assured",V51*$D51*$C$13*$C$26*$C$27*$C$28,0)</f>
        <v>46148.625</v>
      </c>
      <c r="W73" s="23" t="n">
        <f aca="false">W51*$D51*$C$13*INDEX(Assumptions!$B$44:$B$46,MATCH($C51,Assumptions!$A$44:$A$46,0))+IF(W$45&gt;=$G51,INDEX(Assumptions!$C$44:$C$46,MATCH($C51,Assumptions!$A$44:$A$46,0)),0)+IF($C51="Assured",W51*$D51*$C$13*$C$26*$C$27*$C$28,0)</f>
        <v>46148.625</v>
      </c>
      <c r="X73" s="23" t="n">
        <f aca="false">X51*$D51*$C$13*INDEX(Assumptions!$B$44:$B$46,MATCH($C51,Assumptions!$A$44:$A$46,0))+IF(X$45&gt;=$G51,INDEX(Assumptions!$C$44:$C$46,MATCH($C51,Assumptions!$A$44:$A$46,0)),0)+IF($C51="Assured",X51*$D51*$C$13*$C$26*$C$27*$C$28,0)</f>
        <v>46148.625</v>
      </c>
      <c r="Y73" s="23" t="n">
        <f aca="false">Y51*$D51*$C$13*INDEX(Assumptions!$B$44:$B$46,MATCH($C51,Assumptions!$A$44:$A$46,0))+IF(Y$45&gt;=$G51,INDEX(Assumptions!$C$44:$C$46,MATCH($C51,Assumptions!$A$44:$A$46,0)),0)+IF($C51="Assured",Y51*$D51*$C$13*$C$26*$C$27*$C$28,0)</f>
        <v>46148.625</v>
      </c>
    </row>
    <row r="74" customFormat="false" ht="15" hidden="false" customHeight="false" outlineLevel="0" collapsed="false">
      <c r="A74" s="2" t="n">
        <f aca="false">A52</f>
        <v>5</v>
      </c>
      <c r="B74" s="2" t="str">
        <f aca="false">B52</f>
        <v>A</v>
      </c>
      <c r="C74" s="2" t="str">
        <f aca="false">C52</f>
        <v>Assured</v>
      </c>
      <c r="D74" s="2"/>
      <c r="E74" s="2"/>
      <c r="F74" s="2"/>
      <c r="G74" s="2"/>
      <c r="H74" s="23" t="n">
        <f aca="false">H52*$D52*$C$13*INDEX(Assumptions!$B$44:$B$46,MATCH($C52,Assumptions!$A$44:$A$46,0))+IF(H$45&gt;=$G52,INDEX(Assumptions!$C$44:$C$46,MATCH($C52,Assumptions!$A$44:$A$46,0)),0)+IF($C52="Assured",H52*$D52*$C$13*$C$26*$C$27*$C$28,0)</f>
        <v>0</v>
      </c>
      <c r="I74" s="23" t="n">
        <f aca="false">I52*$D52*$C$13*INDEX(Assumptions!$B$44:$B$46,MATCH($C52,Assumptions!$A$44:$A$46,0))+IF(I$45&gt;=$G52,INDEX(Assumptions!$C$44:$C$46,MATCH($C52,Assumptions!$A$44:$A$46,0)),0)+IF($C52="Assured",I52*$D52*$C$13*$C$26*$C$27*$C$28,0)</f>
        <v>0</v>
      </c>
      <c r="J74" s="23" t="n">
        <f aca="false">J52*$D52*$C$13*INDEX(Assumptions!$B$44:$B$46,MATCH($C52,Assumptions!$A$44:$A$46,0))+IF(J$45&gt;=$G52,INDEX(Assumptions!$C$44:$C$46,MATCH($C52,Assumptions!$A$44:$A$46,0)),0)+IF($C52="Assured",J52*$D52*$C$13*$C$26*$C$27*$C$28,0)</f>
        <v>0</v>
      </c>
      <c r="K74" s="23" t="n">
        <f aca="false">K52*$D52*$C$13*INDEX(Assumptions!$B$44:$B$46,MATCH($C52,Assumptions!$A$44:$A$46,0))+IF(K$45&gt;=$G52,INDEX(Assumptions!$C$44:$C$46,MATCH($C52,Assumptions!$A$44:$A$46,0)),0)+IF($C52="Assured",K52*$D52*$C$13*$C$26*$C$27*$C$28,0)</f>
        <v>0</v>
      </c>
      <c r="L74" s="23" t="n">
        <f aca="false">L52*$D52*$C$13*INDEX(Assumptions!$B$44:$B$46,MATCH($C52,Assumptions!$A$44:$A$46,0))+IF(L$45&gt;=$G52,INDEX(Assumptions!$C$44:$C$46,MATCH($C52,Assumptions!$A$44:$A$46,0)),0)+IF($C52="Assured",L52*$D52*$C$13*$C$26*$C$27*$C$28,0)</f>
        <v>15245.334</v>
      </c>
      <c r="M74" s="23" t="n">
        <f aca="false">M52*$D52*$C$13*INDEX(Assumptions!$B$44:$B$46,MATCH($C52,Assumptions!$A$44:$A$46,0))+IF(M$45&gt;=$G52,INDEX(Assumptions!$C$44:$C$46,MATCH($C52,Assumptions!$A$44:$A$46,0)),0)+IF($C52="Assured",M52*$D52*$C$13*$C$26*$C$27*$C$28,0)</f>
        <v>30490.668</v>
      </c>
      <c r="N74" s="23" t="n">
        <f aca="false">N52*$D52*$C$13*INDEX(Assumptions!$B$44:$B$46,MATCH($C52,Assumptions!$A$44:$A$46,0))+IF(N$45&gt;=$G52,INDEX(Assumptions!$C$44:$C$46,MATCH($C52,Assumptions!$A$44:$A$46,0)),0)+IF($C52="Assured",N52*$D52*$C$13*$C$26*$C$27*$C$28,0)</f>
        <v>43195.113</v>
      </c>
      <c r="O74" s="23" t="n">
        <f aca="false">O52*$D52*$C$13*INDEX(Assumptions!$B$44:$B$46,MATCH($C52,Assumptions!$A$44:$A$46,0))+IF(O$45&gt;=$G52,INDEX(Assumptions!$C$44:$C$46,MATCH($C52,Assumptions!$A$44:$A$46,0)),0)+IF($C52="Assured",O52*$D52*$C$13*$C$26*$C$27*$C$28,0)</f>
        <v>50817.78</v>
      </c>
      <c r="P74" s="23" t="n">
        <f aca="false">P52*$D52*$C$13*INDEX(Assumptions!$B$44:$B$46,MATCH($C52,Assumptions!$A$44:$A$46,0))+IF(P$45&gt;=$G52,INDEX(Assumptions!$C$44:$C$46,MATCH($C52,Assumptions!$A$44:$A$46,0)),0)+IF($C52="Assured",P52*$D52*$C$13*$C$26*$C$27*$C$28,0)</f>
        <v>50817.78</v>
      </c>
      <c r="Q74" s="23" t="n">
        <f aca="false">Q52*$D52*$C$13*INDEX(Assumptions!$B$44:$B$46,MATCH($C52,Assumptions!$A$44:$A$46,0))+IF(Q$45&gt;=$G52,INDEX(Assumptions!$C$44:$C$46,MATCH($C52,Assumptions!$A$44:$A$46,0)),0)+IF($C52="Assured",Q52*$D52*$C$13*$C$26*$C$27*$C$28,0)</f>
        <v>50817.78</v>
      </c>
      <c r="R74" s="23" t="n">
        <f aca="false">R52*$D52*$C$13*INDEX(Assumptions!$B$44:$B$46,MATCH($C52,Assumptions!$A$44:$A$46,0))+IF(R$45&gt;=$G52,INDEX(Assumptions!$C$44:$C$46,MATCH($C52,Assumptions!$A$44:$A$46,0)),0)+IF($C52="Assured",R52*$D52*$C$13*$C$26*$C$27*$C$28,0)</f>
        <v>50817.78</v>
      </c>
      <c r="S74" s="23" t="n">
        <f aca="false">S52*$D52*$C$13*INDEX(Assumptions!$B$44:$B$46,MATCH($C52,Assumptions!$A$44:$A$46,0))+IF(S$45&gt;=$G52,INDEX(Assumptions!$C$44:$C$46,MATCH($C52,Assumptions!$A$44:$A$46,0)),0)+IF($C52="Assured",S52*$D52*$C$13*$C$26*$C$27*$C$28,0)</f>
        <v>50817.78</v>
      </c>
      <c r="T74" s="23" t="n">
        <f aca="false">T52*$D52*$C$13*INDEX(Assumptions!$B$44:$B$46,MATCH($C52,Assumptions!$A$44:$A$46,0))+IF(T$45&gt;=$G52,INDEX(Assumptions!$C$44:$C$46,MATCH($C52,Assumptions!$A$44:$A$46,0)),0)+IF($C52="Assured",T52*$D52*$C$13*$C$26*$C$27*$C$28,0)</f>
        <v>50817.78</v>
      </c>
      <c r="U74" s="23" t="n">
        <f aca="false">U52*$D52*$C$13*INDEX(Assumptions!$B$44:$B$46,MATCH($C52,Assumptions!$A$44:$A$46,0))+IF(U$45&gt;=$G52,INDEX(Assumptions!$C$44:$C$46,MATCH($C52,Assumptions!$A$44:$A$46,0)),0)+IF($C52="Assured",U52*$D52*$C$13*$C$26*$C$27*$C$28,0)</f>
        <v>50817.78</v>
      </c>
      <c r="V74" s="23" t="n">
        <f aca="false">V52*$D52*$C$13*INDEX(Assumptions!$B$44:$B$46,MATCH($C52,Assumptions!$A$44:$A$46,0))+IF(V$45&gt;=$G52,INDEX(Assumptions!$C$44:$C$46,MATCH($C52,Assumptions!$A$44:$A$46,0)),0)+IF($C52="Assured",V52*$D52*$C$13*$C$26*$C$27*$C$28,0)</f>
        <v>50817.78</v>
      </c>
      <c r="W74" s="23" t="n">
        <f aca="false">W52*$D52*$C$13*INDEX(Assumptions!$B$44:$B$46,MATCH($C52,Assumptions!$A$44:$A$46,0))+IF(W$45&gt;=$G52,INDEX(Assumptions!$C$44:$C$46,MATCH($C52,Assumptions!$A$44:$A$46,0)),0)+IF($C52="Assured",W52*$D52*$C$13*$C$26*$C$27*$C$28,0)</f>
        <v>50817.78</v>
      </c>
      <c r="X74" s="23" t="n">
        <f aca="false">X52*$D52*$C$13*INDEX(Assumptions!$B$44:$B$46,MATCH($C52,Assumptions!$A$44:$A$46,0))+IF(X$45&gt;=$G52,INDEX(Assumptions!$C$44:$C$46,MATCH($C52,Assumptions!$A$44:$A$46,0)),0)+IF($C52="Assured",X52*$D52*$C$13*$C$26*$C$27*$C$28,0)</f>
        <v>50817.78</v>
      </c>
      <c r="Y74" s="23" t="n">
        <f aca="false">Y52*$D52*$C$13*INDEX(Assumptions!$B$44:$B$46,MATCH($C52,Assumptions!$A$44:$A$46,0))+IF(Y$45&gt;=$G52,INDEX(Assumptions!$C$44:$C$46,MATCH($C52,Assumptions!$A$44:$A$46,0)),0)+IF($C52="Assured",Y52*$D52*$C$13*$C$26*$C$27*$C$28,0)</f>
        <v>50817.78</v>
      </c>
    </row>
    <row r="75" customFormat="false" ht="15" hidden="false" customHeight="false" outlineLevel="0" collapsed="false">
      <c r="A75" s="2" t="n">
        <f aca="false">A53</f>
        <v>6</v>
      </c>
      <c r="B75" s="2" t="str">
        <f aca="false">B53</f>
        <v>A</v>
      </c>
      <c r="C75" s="2" t="str">
        <f aca="false">C53</f>
        <v>Assured</v>
      </c>
      <c r="D75" s="2"/>
      <c r="E75" s="2"/>
      <c r="F75" s="2"/>
      <c r="G75" s="2"/>
      <c r="H75" s="23" t="n">
        <f aca="false">H53*$D53*$C$13*INDEX(Assumptions!$B$44:$B$46,MATCH($C53,Assumptions!$A$44:$A$46,0))+IF(H$45&gt;=$G53,INDEX(Assumptions!$C$44:$C$46,MATCH($C53,Assumptions!$A$44:$A$46,0)),0)+IF($C53="Assured",H53*$D53*$C$13*$C$26*$C$27*$C$28,0)</f>
        <v>0</v>
      </c>
      <c r="I75" s="23" t="n">
        <f aca="false">I53*$D53*$C$13*INDEX(Assumptions!$B$44:$B$46,MATCH($C53,Assumptions!$A$44:$A$46,0))+IF(I$45&gt;=$G53,INDEX(Assumptions!$C$44:$C$46,MATCH($C53,Assumptions!$A$44:$A$46,0)),0)+IF($C53="Assured",I53*$D53*$C$13*$C$26*$C$27*$C$28,0)</f>
        <v>0</v>
      </c>
      <c r="J75" s="23" t="n">
        <f aca="false">J53*$D53*$C$13*INDEX(Assumptions!$B$44:$B$46,MATCH($C53,Assumptions!$A$44:$A$46,0))+IF(J$45&gt;=$G53,INDEX(Assumptions!$C$44:$C$46,MATCH($C53,Assumptions!$A$44:$A$46,0)),0)+IF($C53="Assured",J53*$D53*$C$13*$C$26*$C$27*$C$28,0)</f>
        <v>0</v>
      </c>
      <c r="K75" s="23" t="n">
        <f aca="false">K53*$D53*$C$13*INDEX(Assumptions!$B$44:$B$46,MATCH($C53,Assumptions!$A$44:$A$46,0))+IF(K$45&gt;=$G53,INDEX(Assumptions!$C$44:$C$46,MATCH($C53,Assumptions!$A$44:$A$46,0)),0)+IF($C53="Assured",K53*$D53*$C$13*$C$26*$C$27*$C$28,0)</f>
        <v>0</v>
      </c>
      <c r="L75" s="23" t="n">
        <f aca="false">L53*$D53*$C$13*INDEX(Assumptions!$B$44:$B$46,MATCH($C53,Assumptions!$A$44:$A$46,0))+IF(L$45&gt;=$G53,INDEX(Assumptions!$C$44:$C$46,MATCH($C53,Assumptions!$A$44:$A$46,0)),0)+IF($C53="Assured",L53*$D53*$C$13*$C$26*$C$27*$C$28,0)</f>
        <v>15245.334</v>
      </c>
      <c r="M75" s="23" t="n">
        <f aca="false">M53*$D53*$C$13*INDEX(Assumptions!$B$44:$B$46,MATCH($C53,Assumptions!$A$44:$A$46,0))+IF(M$45&gt;=$G53,INDEX(Assumptions!$C$44:$C$46,MATCH($C53,Assumptions!$A$44:$A$46,0)),0)+IF($C53="Assured",M53*$D53*$C$13*$C$26*$C$27*$C$28,0)</f>
        <v>30490.668</v>
      </c>
      <c r="N75" s="23" t="n">
        <f aca="false">N53*$D53*$C$13*INDEX(Assumptions!$B$44:$B$46,MATCH($C53,Assumptions!$A$44:$A$46,0))+IF(N$45&gt;=$G53,INDEX(Assumptions!$C$44:$C$46,MATCH($C53,Assumptions!$A$44:$A$46,0)),0)+IF($C53="Assured",N53*$D53*$C$13*$C$26*$C$27*$C$28,0)</f>
        <v>43195.113</v>
      </c>
      <c r="O75" s="23" t="n">
        <f aca="false">O53*$D53*$C$13*INDEX(Assumptions!$B$44:$B$46,MATCH($C53,Assumptions!$A$44:$A$46,0))+IF(O$45&gt;=$G53,INDEX(Assumptions!$C$44:$C$46,MATCH($C53,Assumptions!$A$44:$A$46,0)),0)+IF($C53="Assured",O53*$D53*$C$13*$C$26*$C$27*$C$28,0)</f>
        <v>50817.78</v>
      </c>
      <c r="P75" s="23" t="n">
        <f aca="false">P53*$D53*$C$13*INDEX(Assumptions!$B$44:$B$46,MATCH($C53,Assumptions!$A$44:$A$46,0))+IF(P$45&gt;=$G53,INDEX(Assumptions!$C$44:$C$46,MATCH($C53,Assumptions!$A$44:$A$46,0)),0)+IF($C53="Assured",P53*$D53*$C$13*$C$26*$C$27*$C$28,0)</f>
        <v>50817.78</v>
      </c>
      <c r="Q75" s="23" t="n">
        <f aca="false">Q53*$D53*$C$13*INDEX(Assumptions!$B$44:$B$46,MATCH($C53,Assumptions!$A$44:$A$46,0))+IF(Q$45&gt;=$G53,INDEX(Assumptions!$C$44:$C$46,MATCH($C53,Assumptions!$A$44:$A$46,0)),0)+IF($C53="Assured",Q53*$D53*$C$13*$C$26*$C$27*$C$28,0)</f>
        <v>50817.78</v>
      </c>
      <c r="R75" s="23" t="n">
        <f aca="false">R53*$D53*$C$13*INDEX(Assumptions!$B$44:$B$46,MATCH($C53,Assumptions!$A$44:$A$46,0))+IF(R$45&gt;=$G53,INDEX(Assumptions!$C$44:$C$46,MATCH($C53,Assumptions!$A$44:$A$46,0)),0)+IF($C53="Assured",R53*$D53*$C$13*$C$26*$C$27*$C$28,0)</f>
        <v>50817.78</v>
      </c>
      <c r="S75" s="23" t="n">
        <f aca="false">S53*$D53*$C$13*INDEX(Assumptions!$B$44:$B$46,MATCH($C53,Assumptions!$A$44:$A$46,0))+IF(S$45&gt;=$G53,INDEX(Assumptions!$C$44:$C$46,MATCH($C53,Assumptions!$A$44:$A$46,0)),0)+IF($C53="Assured",S53*$D53*$C$13*$C$26*$C$27*$C$28,0)</f>
        <v>50817.78</v>
      </c>
      <c r="T75" s="23" t="n">
        <f aca="false">T53*$D53*$C$13*INDEX(Assumptions!$B$44:$B$46,MATCH($C53,Assumptions!$A$44:$A$46,0))+IF(T$45&gt;=$G53,INDEX(Assumptions!$C$44:$C$46,MATCH($C53,Assumptions!$A$44:$A$46,0)),0)+IF($C53="Assured",T53*$D53*$C$13*$C$26*$C$27*$C$28,0)</f>
        <v>50817.78</v>
      </c>
      <c r="U75" s="23" t="n">
        <f aca="false">U53*$D53*$C$13*INDEX(Assumptions!$B$44:$B$46,MATCH($C53,Assumptions!$A$44:$A$46,0))+IF(U$45&gt;=$G53,INDEX(Assumptions!$C$44:$C$46,MATCH($C53,Assumptions!$A$44:$A$46,0)),0)+IF($C53="Assured",U53*$D53*$C$13*$C$26*$C$27*$C$28,0)</f>
        <v>50817.78</v>
      </c>
      <c r="V75" s="23" t="n">
        <f aca="false">V53*$D53*$C$13*INDEX(Assumptions!$B$44:$B$46,MATCH($C53,Assumptions!$A$44:$A$46,0))+IF(V$45&gt;=$G53,INDEX(Assumptions!$C$44:$C$46,MATCH($C53,Assumptions!$A$44:$A$46,0)),0)+IF($C53="Assured",V53*$D53*$C$13*$C$26*$C$27*$C$28,0)</f>
        <v>50817.78</v>
      </c>
      <c r="W75" s="23" t="n">
        <f aca="false">W53*$D53*$C$13*INDEX(Assumptions!$B$44:$B$46,MATCH($C53,Assumptions!$A$44:$A$46,0))+IF(W$45&gt;=$G53,INDEX(Assumptions!$C$44:$C$46,MATCH($C53,Assumptions!$A$44:$A$46,0)),0)+IF($C53="Assured",W53*$D53*$C$13*$C$26*$C$27*$C$28,0)</f>
        <v>50817.78</v>
      </c>
      <c r="X75" s="23" t="n">
        <f aca="false">X53*$D53*$C$13*INDEX(Assumptions!$B$44:$B$46,MATCH($C53,Assumptions!$A$44:$A$46,0))+IF(X$45&gt;=$G53,INDEX(Assumptions!$C$44:$C$46,MATCH($C53,Assumptions!$A$44:$A$46,0)),0)+IF($C53="Assured",X53*$D53*$C$13*$C$26*$C$27*$C$28,0)</f>
        <v>50817.78</v>
      </c>
      <c r="Y75" s="23" t="n">
        <f aca="false">Y53*$D53*$C$13*INDEX(Assumptions!$B$44:$B$46,MATCH($C53,Assumptions!$A$44:$A$46,0))+IF(Y$45&gt;=$G53,INDEX(Assumptions!$C$44:$C$46,MATCH($C53,Assumptions!$A$44:$A$46,0)),0)+IF($C53="Assured",Y53*$D53*$C$13*$C$26*$C$27*$C$28,0)</f>
        <v>50817.78</v>
      </c>
    </row>
    <row r="76" customFormat="false" ht="15" hidden="false" customHeight="false" outlineLevel="0" collapsed="false">
      <c r="A76" s="2" t="n">
        <f aca="false">A54</f>
        <v>7</v>
      </c>
      <c r="B76" s="2" t="str">
        <f aca="false">B54</f>
        <v>A</v>
      </c>
      <c r="C76" s="2" t="str">
        <f aca="false">C54</f>
        <v>Assured</v>
      </c>
      <c r="D76" s="2"/>
      <c r="E76" s="2"/>
      <c r="F76" s="2"/>
      <c r="G76" s="2"/>
      <c r="H76" s="23" t="n">
        <f aca="false">H54*$D54*$C$13*INDEX(Assumptions!$B$44:$B$46,MATCH($C54,Assumptions!$A$44:$A$46,0))+IF(H$45&gt;=$G54,INDEX(Assumptions!$C$44:$C$46,MATCH($C54,Assumptions!$A$44:$A$46,0)),0)+IF($C54="Assured",H54*$D54*$C$13*$C$26*$C$27*$C$28,0)</f>
        <v>0</v>
      </c>
      <c r="I76" s="23" t="n">
        <f aca="false">I54*$D54*$C$13*INDEX(Assumptions!$B$44:$B$46,MATCH($C54,Assumptions!$A$44:$A$46,0))+IF(I$45&gt;=$G54,INDEX(Assumptions!$C$44:$C$46,MATCH($C54,Assumptions!$A$44:$A$46,0)),0)+IF($C54="Assured",I54*$D54*$C$13*$C$26*$C$27*$C$28,0)</f>
        <v>0</v>
      </c>
      <c r="J76" s="23" t="n">
        <f aca="false">J54*$D54*$C$13*INDEX(Assumptions!$B$44:$B$46,MATCH($C54,Assumptions!$A$44:$A$46,0))+IF(J$45&gt;=$G54,INDEX(Assumptions!$C$44:$C$46,MATCH($C54,Assumptions!$A$44:$A$46,0)),0)+IF($C54="Assured",J54*$D54*$C$13*$C$26*$C$27*$C$28,0)</f>
        <v>0</v>
      </c>
      <c r="K76" s="23" t="n">
        <f aca="false">K54*$D54*$C$13*INDEX(Assumptions!$B$44:$B$46,MATCH($C54,Assumptions!$A$44:$A$46,0))+IF(K$45&gt;=$G54,INDEX(Assumptions!$C$44:$C$46,MATCH($C54,Assumptions!$A$44:$A$46,0)),0)+IF($C54="Assured",K54*$D54*$C$13*$C$26*$C$27*$C$28,0)</f>
        <v>0</v>
      </c>
      <c r="L76" s="23" t="n">
        <f aca="false">L54*$D54*$C$13*INDEX(Assumptions!$B$44:$B$46,MATCH($C54,Assumptions!$A$44:$A$46,0))+IF(L$45&gt;=$G54,INDEX(Assumptions!$C$44:$C$46,MATCH($C54,Assumptions!$A$44:$A$46,0)),0)+IF($C54="Assured",L54*$D54*$C$13*$C$26*$C$27*$C$28,0)</f>
        <v>0</v>
      </c>
      <c r="M76" s="23" t="n">
        <f aca="false">M54*$D54*$C$13*INDEX(Assumptions!$B$44:$B$46,MATCH($C54,Assumptions!$A$44:$A$46,0))+IF(M$45&gt;=$G54,INDEX(Assumptions!$C$44:$C$46,MATCH($C54,Assumptions!$A$44:$A$46,0)),0)+IF($C54="Assured",M54*$D54*$C$13*$C$26*$C$27*$C$28,0)</f>
        <v>15245.334</v>
      </c>
      <c r="N76" s="23" t="n">
        <f aca="false">N54*$D54*$C$13*INDEX(Assumptions!$B$44:$B$46,MATCH($C54,Assumptions!$A$44:$A$46,0))+IF(N$45&gt;=$G54,INDEX(Assumptions!$C$44:$C$46,MATCH($C54,Assumptions!$A$44:$A$46,0)),0)+IF($C54="Assured",N54*$D54*$C$13*$C$26*$C$27*$C$28,0)</f>
        <v>30490.668</v>
      </c>
      <c r="O76" s="23" t="n">
        <f aca="false">O54*$D54*$C$13*INDEX(Assumptions!$B$44:$B$46,MATCH($C54,Assumptions!$A$44:$A$46,0))+IF(O$45&gt;=$G54,INDEX(Assumptions!$C$44:$C$46,MATCH($C54,Assumptions!$A$44:$A$46,0)),0)+IF($C54="Assured",O54*$D54*$C$13*$C$26*$C$27*$C$28,0)</f>
        <v>43195.113</v>
      </c>
      <c r="P76" s="23" t="n">
        <f aca="false">P54*$D54*$C$13*INDEX(Assumptions!$B$44:$B$46,MATCH($C54,Assumptions!$A$44:$A$46,0))+IF(P$45&gt;=$G54,INDEX(Assumptions!$C$44:$C$46,MATCH($C54,Assumptions!$A$44:$A$46,0)),0)+IF($C54="Assured",P54*$D54*$C$13*$C$26*$C$27*$C$28,0)</f>
        <v>50817.78</v>
      </c>
      <c r="Q76" s="23" t="n">
        <f aca="false">Q54*$D54*$C$13*INDEX(Assumptions!$B$44:$B$46,MATCH($C54,Assumptions!$A$44:$A$46,0))+IF(Q$45&gt;=$G54,INDEX(Assumptions!$C$44:$C$46,MATCH($C54,Assumptions!$A$44:$A$46,0)),0)+IF($C54="Assured",Q54*$D54*$C$13*$C$26*$C$27*$C$28,0)</f>
        <v>50817.78</v>
      </c>
      <c r="R76" s="23" t="n">
        <f aca="false">R54*$D54*$C$13*INDEX(Assumptions!$B$44:$B$46,MATCH($C54,Assumptions!$A$44:$A$46,0))+IF(R$45&gt;=$G54,INDEX(Assumptions!$C$44:$C$46,MATCH($C54,Assumptions!$A$44:$A$46,0)),0)+IF($C54="Assured",R54*$D54*$C$13*$C$26*$C$27*$C$28,0)</f>
        <v>50817.78</v>
      </c>
      <c r="S76" s="23" t="n">
        <f aca="false">S54*$D54*$C$13*INDEX(Assumptions!$B$44:$B$46,MATCH($C54,Assumptions!$A$44:$A$46,0))+IF(S$45&gt;=$G54,INDEX(Assumptions!$C$44:$C$46,MATCH($C54,Assumptions!$A$44:$A$46,0)),0)+IF($C54="Assured",S54*$D54*$C$13*$C$26*$C$27*$C$28,0)</f>
        <v>50817.78</v>
      </c>
      <c r="T76" s="23" t="n">
        <f aca="false">T54*$D54*$C$13*INDEX(Assumptions!$B$44:$B$46,MATCH($C54,Assumptions!$A$44:$A$46,0))+IF(T$45&gt;=$G54,INDEX(Assumptions!$C$44:$C$46,MATCH($C54,Assumptions!$A$44:$A$46,0)),0)+IF($C54="Assured",T54*$D54*$C$13*$C$26*$C$27*$C$28,0)</f>
        <v>50817.78</v>
      </c>
      <c r="U76" s="23" t="n">
        <f aca="false">U54*$D54*$C$13*INDEX(Assumptions!$B$44:$B$46,MATCH($C54,Assumptions!$A$44:$A$46,0))+IF(U$45&gt;=$G54,INDEX(Assumptions!$C$44:$C$46,MATCH($C54,Assumptions!$A$44:$A$46,0)),0)+IF($C54="Assured",U54*$D54*$C$13*$C$26*$C$27*$C$28,0)</f>
        <v>50817.78</v>
      </c>
      <c r="V76" s="23" t="n">
        <f aca="false">V54*$D54*$C$13*INDEX(Assumptions!$B$44:$B$46,MATCH($C54,Assumptions!$A$44:$A$46,0))+IF(V$45&gt;=$G54,INDEX(Assumptions!$C$44:$C$46,MATCH($C54,Assumptions!$A$44:$A$46,0)),0)+IF($C54="Assured",V54*$D54*$C$13*$C$26*$C$27*$C$28,0)</f>
        <v>50817.78</v>
      </c>
      <c r="W76" s="23" t="n">
        <f aca="false">W54*$D54*$C$13*INDEX(Assumptions!$B$44:$B$46,MATCH($C54,Assumptions!$A$44:$A$46,0))+IF(W$45&gt;=$G54,INDEX(Assumptions!$C$44:$C$46,MATCH($C54,Assumptions!$A$44:$A$46,0)),0)+IF($C54="Assured",W54*$D54*$C$13*$C$26*$C$27*$C$28,0)</f>
        <v>50817.78</v>
      </c>
      <c r="X76" s="23" t="n">
        <f aca="false">X54*$D54*$C$13*INDEX(Assumptions!$B$44:$B$46,MATCH($C54,Assumptions!$A$44:$A$46,0))+IF(X$45&gt;=$G54,INDEX(Assumptions!$C$44:$C$46,MATCH($C54,Assumptions!$A$44:$A$46,0)),0)+IF($C54="Assured",X54*$D54*$C$13*$C$26*$C$27*$C$28,0)</f>
        <v>50817.78</v>
      </c>
      <c r="Y76" s="23" t="n">
        <f aca="false">Y54*$D54*$C$13*INDEX(Assumptions!$B$44:$B$46,MATCH($C54,Assumptions!$A$44:$A$46,0))+IF(Y$45&gt;=$G54,INDEX(Assumptions!$C$44:$C$46,MATCH($C54,Assumptions!$A$44:$A$46,0)),0)+IF($C54="Assured",Y54*$D54*$C$13*$C$26*$C$27*$C$28,0)</f>
        <v>50817.78</v>
      </c>
    </row>
    <row r="77" customFormat="false" ht="15" hidden="false" customHeight="false" outlineLevel="0" collapsed="false">
      <c r="A77" s="2" t="n">
        <f aca="false">A55</f>
        <v>8</v>
      </c>
      <c r="B77" s="2" t="str">
        <f aca="false">B55</f>
        <v>A</v>
      </c>
      <c r="C77" s="2" t="str">
        <f aca="false">C55</f>
        <v>Assured</v>
      </c>
      <c r="D77" s="2"/>
      <c r="E77" s="2"/>
      <c r="F77" s="2"/>
      <c r="G77" s="2"/>
      <c r="H77" s="23" t="n">
        <f aca="false">H55*$D55*$C$13*INDEX(Assumptions!$B$44:$B$46,MATCH($C55,Assumptions!$A$44:$A$46,0))+IF(H$45&gt;=$G55,INDEX(Assumptions!$C$44:$C$46,MATCH($C55,Assumptions!$A$44:$A$46,0)),0)+IF($C55="Assured",H55*$D55*$C$13*$C$26*$C$27*$C$28,0)</f>
        <v>0</v>
      </c>
      <c r="I77" s="23" t="n">
        <f aca="false">I55*$D55*$C$13*INDEX(Assumptions!$B$44:$B$46,MATCH($C55,Assumptions!$A$44:$A$46,0))+IF(I$45&gt;=$G55,INDEX(Assumptions!$C$44:$C$46,MATCH($C55,Assumptions!$A$44:$A$46,0)),0)+IF($C55="Assured",I55*$D55*$C$13*$C$26*$C$27*$C$28,0)</f>
        <v>0</v>
      </c>
      <c r="J77" s="23" t="n">
        <f aca="false">J55*$D55*$C$13*INDEX(Assumptions!$B$44:$B$46,MATCH($C55,Assumptions!$A$44:$A$46,0))+IF(J$45&gt;=$G55,INDEX(Assumptions!$C$44:$C$46,MATCH($C55,Assumptions!$A$44:$A$46,0)),0)+IF($C55="Assured",J55*$D55*$C$13*$C$26*$C$27*$C$28,0)</f>
        <v>0</v>
      </c>
      <c r="K77" s="23" t="n">
        <f aca="false">K55*$D55*$C$13*INDEX(Assumptions!$B$44:$B$46,MATCH($C55,Assumptions!$A$44:$A$46,0))+IF(K$45&gt;=$G55,INDEX(Assumptions!$C$44:$C$46,MATCH($C55,Assumptions!$A$44:$A$46,0)),0)+IF($C55="Assured",K55*$D55*$C$13*$C$26*$C$27*$C$28,0)</f>
        <v>0</v>
      </c>
      <c r="L77" s="23" t="n">
        <f aca="false">L55*$D55*$C$13*INDEX(Assumptions!$B$44:$B$46,MATCH($C55,Assumptions!$A$44:$A$46,0))+IF(L$45&gt;=$G55,INDEX(Assumptions!$C$44:$C$46,MATCH($C55,Assumptions!$A$44:$A$46,0)),0)+IF($C55="Assured",L55*$D55*$C$13*$C$26*$C$27*$C$28,0)</f>
        <v>0</v>
      </c>
      <c r="M77" s="23" t="n">
        <f aca="false">M55*$D55*$C$13*INDEX(Assumptions!$B$44:$B$46,MATCH($C55,Assumptions!$A$44:$A$46,0))+IF(M$45&gt;=$G55,INDEX(Assumptions!$C$44:$C$46,MATCH($C55,Assumptions!$A$44:$A$46,0)),0)+IF($C55="Assured",M55*$D55*$C$13*$C$26*$C$27*$C$28,0)</f>
        <v>15245.334</v>
      </c>
      <c r="N77" s="23" t="n">
        <f aca="false">N55*$D55*$C$13*INDEX(Assumptions!$B$44:$B$46,MATCH($C55,Assumptions!$A$44:$A$46,0))+IF(N$45&gt;=$G55,INDEX(Assumptions!$C$44:$C$46,MATCH($C55,Assumptions!$A$44:$A$46,0)),0)+IF($C55="Assured",N55*$D55*$C$13*$C$26*$C$27*$C$28,0)</f>
        <v>30490.668</v>
      </c>
      <c r="O77" s="23" t="n">
        <f aca="false">O55*$D55*$C$13*INDEX(Assumptions!$B$44:$B$46,MATCH($C55,Assumptions!$A$44:$A$46,0))+IF(O$45&gt;=$G55,INDEX(Assumptions!$C$44:$C$46,MATCH($C55,Assumptions!$A$44:$A$46,0)),0)+IF($C55="Assured",O55*$D55*$C$13*$C$26*$C$27*$C$28,0)</f>
        <v>43195.113</v>
      </c>
      <c r="P77" s="23" t="n">
        <f aca="false">P55*$D55*$C$13*INDEX(Assumptions!$B$44:$B$46,MATCH($C55,Assumptions!$A$44:$A$46,0))+IF(P$45&gt;=$G55,INDEX(Assumptions!$C$44:$C$46,MATCH($C55,Assumptions!$A$44:$A$46,0)),0)+IF($C55="Assured",P55*$D55*$C$13*$C$26*$C$27*$C$28,0)</f>
        <v>50817.78</v>
      </c>
      <c r="Q77" s="23" t="n">
        <f aca="false">Q55*$D55*$C$13*INDEX(Assumptions!$B$44:$B$46,MATCH($C55,Assumptions!$A$44:$A$46,0))+IF(Q$45&gt;=$G55,INDEX(Assumptions!$C$44:$C$46,MATCH($C55,Assumptions!$A$44:$A$46,0)),0)+IF($C55="Assured",Q55*$D55*$C$13*$C$26*$C$27*$C$28,0)</f>
        <v>50817.78</v>
      </c>
      <c r="R77" s="23" t="n">
        <f aca="false">R55*$D55*$C$13*INDEX(Assumptions!$B$44:$B$46,MATCH($C55,Assumptions!$A$44:$A$46,0))+IF(R$45&gt;=$G55,INDEX(Assumptions!$C$44:$C$46,MATCH($C55,Assumptions!$A$44:$A$46,0)),0)+IF($C55="Assured",R55*$D55*$C$13*$C$26*$C$27*$C$28,0)</f>
        <v>50817.78</v>
      </c>
      <c r="S77" s="23" t="n">
        <f aca="false">S55*$D55*$C$13*INDEX(Assumptions!$B$44:$B$46,MATCH($C55,Assumptions!$A$44:$A$46,0))+IF(S$45&gt;=$G55,INDEX(Assumptions!$C$44:$C$46,MATCH($C55,Assumptions!$A$44:$A$46,0)),0)+IF($C55="Assured",S55*$D55*$C$13*$C$26*$C$27*$C$28,0)</f>
        <v>50817.78</v>
      </c>
      <c r="T77" s="23" t="n">
        <f aca="false">T55*$D55*$C$13*INDEX(Assumptions!$B$44:$B$46,MATCH($C55,Assumptions!$A$44:$A$46,0))+IF(T$45&gt;=$G55,INDEX(Assumptions!$C$44:$C$46,MATCH($C55,Assumptions!$A$44:$A$46,0)),0)+IF($C55="Assured",T55*$D55*$C$13*$C$26*$C$27*$C$28,0)</f>
        <v>50817.78</v>
      </c>
      <c r="U77" s="23" t="n">
        <f aca="false">U55*$D55*$C$13*INDEX(Assumptions!$B$44:$B$46,MATCH($C55,Assumptions!$A$44:$A$46,0))+IF(U$45&gt;=$G55,INDEX(Assumptions!$C$44:$C$46,MATCH($C55,Assumptions!$A$44:$A$46,0)),0)+IF($C55="Assured",U55*$D55*$C$13*$C$26*$C$27*$C$28,0)</f>
        <v>50817.78</v>
      </c>
      <c r="V77" s="23" t="n">
        <f aca="false">V55*$D55*$C$13*INDEX(Assumptions!$B$44:$B$46,MATCH($C55,Assumptions!$A$44:$A$46,0))+IF(V$45&gt;=$G55,INDEX(Assumptions!$C$44:$C$46,MATCH($C55,Assumptions!$A$44:$A$46,0)),0)+IF($C55="Assured",V55*$D55*$C$13*$C$26*$C$27*$C$28,0)</f>
        <v>50817.78</v>
      </c>
      <c r="W77" s="23" t="n">
        <f aca="false">W55*$D55*$C$13*INDEX(Assumptions!$B$44:$B$46,MATCH($C55,Assumptions!$A$44:$A$46,0))+IF(W$45&gt;=$G55,INDEX(Assumptions!$C$44:$C$46,MATCH($C55,Assumptions!$A$44:$A$46,0)),0)+IF($C55="Assured",W55*$D55*$C$13*$C$26*$C$27*$C$28,0)</f>
        <v>50817.78</v>
      </c>
      <c r="X77" s="23" t="n">
        <f aca="false">X55*$D55*$C$13*INDEX(Assumptions!$B$44:$B$46,MATCH($C55,Assumptions!$A$44:$A$46,0))+IF(X$45&gt;=$G55,INDEX(Assumptions!$C$44:$C$46,MATCH($C55,Assumptions!$A$44:$A$46,0)),0)+IF($C55="Assured",X55*$D55*$C$13*$C$26*$C$27*$C$28,0)</f>
        <v>50817.78</v>
      </c>
      <c r="Y77" s="23" t="n">
        <f aca="false">Y55*$D55*$C$13*INDEX(Assumptions!$B$44:$B$46,MATCH($C55,Assumptions!$A$44:$A$46,0))+IF(Y$45&gt;=$G55,INDEX(Assumptions!$C$44:$C$46,MATCH($C55,Assumptions!$A$44:$A$46,0)),0)+IF($C55="Assured",Y55*$D55*$C$13*$C$26*$C$27*$C$28,0)</f>
        <v>50817.78</v>
      </c>
    </row>
    <row r="78" customFormat="false" ht="15" hidden="false" customHeight="false" outlineLevel="0" collapsed="false">
      <c r="A78" s="2" t="n">
        <f aca="false">A56</f>
        <v>9</v>
      </c>
      <c r="B78" s="2" t="str">
        <f aca="false">B56</f>
        <v>A</v>
      </c>
      <c r="C78" s="2" t="str">
        <f aca="false">C56</f>
        <v>Assured</v>
      </c>
      <c r="D78" s="2"/>
      <c r="E78" s="2"/>
      <c r="F78" s="2"/>
      <c r="G78" s="2"/>
      <c r="H78" s="23" t="n">
        <f aca="false">H56*$D56*$C$13*INDEX(Assumptions!$B$44:$B$46,MATCH($C56,Assumptions!$A$44:$A$46,0))+IF(H$45&gt;=$G56,INDEX(Assumptions!$C$44:$C$46,MATCH($C56,Assumptions!$A$44:$A$46,0)),0)+IF($C56="Assured",H56*$D56*$C$13*$C$26*$C$27*$C$28,0)</f>
        <v>0</v>
      </c>
      <c r="I78" s="23" t="n">
        <f aca="false">I56*$D56*$C$13*INDEX(Assumptions!$B$44:$B$46,MATCH($C56,Assumptions!$A$44:$A$46,0))+IF(I$45&gt;=$G56,INDEX(Assumptions!$C$44:$C$46,MATCH($C56,Assumptions!$A$44:$A$46,0)),0)+IF($C56="Assured",I56*$D56*$C$13*$C$26*$C$27*$C$28,0)</f>
        <v>0</v>
      </c>
      <c r="J78" s="23" t="n">
        <f aca="false">J56*$D56*$C$13*INDEX(Assumptions!$B$44:$B$46,MATCH($C56,Assumptions!$A$44:$A$46,0))+IF(J$45&gt;=$G56,INDEX(Assumptions!$C$44:$C$46,MATCH($C56,Assumptions!$A$44:$A$46,0)),0)+IF($C56="Assured",J56*$D56*$C$13*$C$26*$C$27*$C$28,0)</f>
        <v>0</v>
      </c>
      <c r="K78" s="23" t="n">
        <f aca="false">K56*$D56*$C$13*INDEX(Assumptions!$B$44:$B$46,MATCH($C56,Assumptions!$A$44:$A$46,0))+IF(K$45&gt;=$G56,INDEX(Assumptions!$C$44:$C$46,MATCH($C56,Assumptions!$A$44:$A$46,0)),0)+IF($C56="Assured",K56*$D56*$C$13*$C$26*$C$27*$C$28,0)</f>
        <v>0</v>
      </c>
      <c r="L78" s="23" t="n">
        <f aca="false">L56*$D56*$C$13*INDEX(Assumptions!$B$44:$B$46,MATCH($C56,Assumptions!$A$44:$A$46,0))+IF(L$45&gt;=$G56,INDEX(Assumptions!$C$44:$C$46,MATCH($C56,Assumptions!$A$44:$A$46,0)),0)+IF($C56="Assured",L56*$D56*$C$13*$C$26*$C$27*$C$28,0)</f>
        <v>0</v>
      </c>
      <c r="M78" s="23" t="n">
        <f aca="false">M56*$D56*$C$13*INDEX(Assumptions!$B$44:$B$46,MATCH($C56,Assumptions!$A$44:$A$46,0))+IF(M$45&gt;=$G56,INDEX(Assumptions!$C$44:$C$46,MATCH($C56,Assumptions!$A$44:$A$46,0)),0)+IF($C56="Assured",M56*$D56*$C$13*$C$26*$C$27*$C$28,0)</f>
        <v>0</v>
      </c>
      <c r="N78" s="23" t="n">
        <f aca="false">N56*$D56*$C$13*INDEX(Assumptions!$B$44:$B$46,MATCH($C56,Assumptions!$A$44:$A$46,0))+IF(N$45&gt;=$G56,INDEX(Assumptions!$C$44:$C$46,MATCH($C56,Assumptions!$A$44:$A$46,0)),0)+IF($C56="Assured",N56*$D56*$C$13*$C$26*$C$27*$C$28,0)</f>
        <v>15245.334</v>
      </c>
      <c r="O78" s="23" t="n">
        <f aca="false">O56*$D56*$C$13*INDEX(Assumptions!$B$44:$B$46,MATCH($C56,Assumptions!$A$44:$A$46,0))+IF(O$45&gt;=$G56,INDEX(Assumptions!$C$44:$C$46,MATCH($C56,Assumptions!$A$44:$A$46,0)),0)+IF($C56="Assured",O56*$D56*$C$13*$C$26*$C$27*$C$28,0)</f>
        <v>30490.668</v>
      </c>
      <c r="P78" s="23" t="n">
        <f aca="false">P56*$D56*$C$13*INDEX(Assumptions!$B$44:$B$46,MATCH($C56,Assumptions!$A$44:$A$46,0))+IF(P$45&gt;=$G56,INDEX(Assumptions!$C$44:$C$46,MATCH($C56,Assumptions!$A$44:$A$46,0)),0)+IF($C56="Assured",P56*$D56*$C$13*$C$26*$C$27*$C$28,0)</f>
        <v>43195.113</v>
      </c>
      <c r="Q78" s="23" t="n">
        <f aca="false">Q56*$D56*$C$13*INDEX(Assumptions!$B$44:$B$46,MATCH($C56,Assumptions!$A$44:$A$46,0))+IF(Q$45&gt;=$G56,INDEX(Assumptions!$C$44:$C$46,MATCH($C56,Assumptions!$A$44:$A$46,0)),0)+IF($C56="Assured",Q56*$D56*$C$13*$C$26*$C$27*$C$28,0)</f>
        <v>50817.78</v>
      </c>
      <c r="R78" s="23" t="n">
        <f aca="false">R56*$D56*$C$13*INDEX(Assumptions!$B$44:$B$46,MATCH($C56,Assumptions!$A$44:$A$46,0))+IF(R$45&gt;=$G56,INDEX(Assumptions!$C$44:$C$46,MATCH($C56,Assumptions!$A$44:$A$46,0)),0)+IF($C56="Assured",R56*$D56*$C$13*$C$26*$C$27*$C$28,0)</f>
        <v>50817.78</v>
      </c>
      <c r="S78" s="23" t="n">
        <f aca="false">S56*$D56*$C$13*INDEX(Assumptions!$B$44:$B$46,MATCH($C56,Assumptions!$A$44:$A$46,0))+IF(S$45&gt;=$G56,INDEX(Assumptions!$C$44:$C$46,MATCH($C56,Assumptions!$A$44:$A$46,0)),0)+IF($C56="Assured",S56*$D56*$C$13*$C$26*$C$27*$C$28,0)</f>
        <v>50817.78</v>
      </c>
      <c r="T78" s="23" t="n">
        <f aca="false">T56*$D56*$C$13*INDEX(Assumptions!$B$44:$B$46,MATCH($C56,Assumptions!$A$44:$A$46,0))+IF(T$45&gt;=$G56,INDEX(Assumptions!$C$44:$C$46,MATCH($C56,Assumptions!$A$44:$A$46,0)),0)+IF($C56="Assured",T56*$D56*$C$13*$C$26*$C$27*$C$28,0)</f>
        <v>50817.78</v>
      </c>
      <c r="U78" s="23" t="n">
        <f aca="false">U56*$D56*$C$13*INDEX(Assumptions!$B$44:$B$46,MATCH($C56,Assumptions!$A$44:$A$46,0))+IF(U$45&gt;=$G56,INDEX(Assumptions!$C$44:$C$46,MATCH($C56,Assumptions!$A$44:$A$46,0)),0)+IF($C56="Assured",U56*$D56*$C$13*$C$26*$C$27*$C$28,0)</f>
        <v>50817.78</v>
      </c>
      <c r="V78" s="23" t="n">
        <f aca="false">V56*$D56*$C$13*INDEX(Assumptions!$B$44:$B$46,MATCH($C56,Assumptions!$A$44:$A$46,0))+IF(V$45&gt;=$G56,INDEX(Assumptions!$C$44:$C$46,MATCH($C56,Assumptions!$A$44:$A$46,0)),0)+IF($C56="Assured",V56*$D56*$C$13*$C$26*$C$27*$C$28,0)</f>
        <v>50817.78</v>
      </c>
      <c r="W78" s="23" t="n">
        <f aca="false">W56*$D56*$C$13*INDEX(Assumptions!$B$44:$B$46,MATCH($C56,Assumptions!$A$44:$A$46,0))+IF(W$45&gt;=$G56,INDEX(Assumptions!$C$44:$C$46,MATCH($C56,Assumptions!$A$44:$A$46,0)),0)+IF($C56="Assured",W56*$D56*$C$13*$C$26*$C$27*$C$28,0)</f>
        <v>50817.78</v>
      </c>
      <c r="X78" s="23" t="n">
        <f aca="false">X56*$D56*$C$13*INDEX(Assumptions!$B$44:$B$46,MATCH($C56,Assumptions!$A$44:$A$46,0))+IF(X$45&gt;=$G56,INDEX(Assumptions!$C$44:$C$46,MATCH($C56,Assumptions!$A$44:$A$46,0)),0)+IF($C56="Assured",X56*$D56*$C$13*$C$26*$C$27*$C$28,0)</f>
        <v>50817.78</v>
      </c>
      <c r="Y78" s="23" t="n">
        <f aca="false">Y56*$D56*$C$13*INDEX(Assumptions!$B$44:$B$46,MATCH($C56,Assumptions!$A$44:$A$46,0))+IF(Y$45&gt;=$G56,INDEX(Assumptions!$C$44:$C$46,MATCH($C56,Assumptions!$A$44:$A$46,0)),0)+IF($C56="Assured",Y56*$D56*$C$13*$C$26*$C$27*$C$28,0)</f>
        <v>50817.78</v>
      </c>
    </row>
    <row r="79" customFormat="false" ht="15" hidden="false" customHeight="false" outlineLevel="0" collapsed="false">
      <c r="A79" s="2" t="n">
        <f aca="false">A57</f>
        <v>10</v>
      </c>
      <c r="B79" s="2" t="str">
        <f aca="false">B57</f>
        <v>C</v>
      </c>
      <c r="C79" s="2" t="str">
        <f aca="false">C57</f>
        <v>Assured</v>
      </c>
      <c r="D79" s="2"/>
      <c r="E79" s="2"/>
      <c r="F79" s="2"/>
      <c r="G79" s="2"/>
      <c r="H79" s="23" t="n">
        <f aca="false">H57*$D57*$C$13*INDEX(Assumptions!$B$44:$B$46,MATCH($C57,Assumptions!$A$44:$A$46,0))+IF(H$45&gt;=$G57,INDEX(Assumptions!$C$44:$C$46,MATCH($C57,Assumptions!$A$44:$A$46,0)),0)+IF($C57="Assured",H57*$D57*$C$13*$C$26*$C$27*$C$28,0)</f>
        <v>0</v>
      </c>
      <c r="I79" s="23" t="n">
        <f aca="false">I57*$D57*$C$13*INDEX(Assumptions!$B$44:$B$46,MATCH($C57,Assumptions!$A$44:$A$46,0))+IF(I$45&gt;=$G57,INDEX(Assumptions!$C$44:$C$46,MATCH($C57,Assumptions!$A$44:$A$46,0)),0)+IF($C57="Assured",I57*$D57*$C$13*$C$26*$C$27*$C$28,0)</f>
        <v>0</v>
      </c>
      <c r="J79" s="23" t="n">
        <f aca="false">J57*$D57*$C$13*INDEX(Assumptions!$B$44:$B$46,MATCH($C57,Assumptions!$A$44:$A$46,0))+IF(J$45&gt;=$G57,INDEX(Assumptions!$C$44:$C$46,MATCH($C57,Assumptions!$A$44:$A$46,0)),0)+IF($C57="Assured",J57*$D57*$C$13*$C$26*$C$27*$C$28,0)</f>
        <v>0</v>
      </c>
      <c r="K79" s="23" t="n">
        <f aca="false">K57*$D57*$C$13*INDEX(Assumptions!$B$44:$B$46,MATCH($C57,Assumptions!$A$44:$A$46,0))+IF(K$45&gt;=$G57,INDEX(Assumptions!$C$44:$C$46,MATCH($C57,Assumptions!$A$44:$A$46,0)),0)+IF($C57="Assured",K57*$D57*$C$13*$C$26*$C$27*$C$28,0)</f>
        <v>0</v>
      </c>
      <c r="L79" s="23" t="n">
        <f aca="false">L57*$D57*$C$13*INDEX(Assumptions!$B$44:$B$46,MATCH($C57,Assumptions!$A$44:$A$46,0))+IF(L$45&gt;=$G57,INDEX(Assumptions!$C$44:$C$46,MATCH($C57,Assumptions!$A$44:$A$46,0)),0)+IF($C57="Assured",L57*$D57*$C$13*$C$26*$C$27*$C$28,0)</f>
        <v>0</v>
      </c>
      <c r="M79" s="23" t="n">
        <f aca="false">M57*$D57*$C$13*INDEX(Assumptions!$B$44:$B$46,MATCH($C57,Assumptions!$A$44:$A$46,0))+IF(M$45&gt;=$G57,INDEX(Assumptions!$C$44:$C$46,MATCH($C57,Assumptions!$A$44:$A$46,0)),0)+IF($C57="Assured",M57*$D57*$C$13*$C$26*$C$27*$C$28,0)</f>
        <v>0</v>
      </c>
      <c r="N79" s="23" t="n">
        <f aca="false">N57*$D57*$C$13*INDEX(Assumptions!$B$44:$B$46,MATCH($C57,Assumptions!$A$44:$A$46,0))+IF(N$45&gt;=$G57,INDEX(Assumptions!$C$44:$C$46,MATCH($C57,Assumptions!$A$44:$A$46,0)),0)+IF($C57="Assured",N57*$D57*$C$13*$C$26*$C$27*$C$28,0)</f>
        <v>0</v>
      </c>
      <c r="O79" s="23" t="n">
        <f aca="false">O57*$D57*$C$13*INDEX(Assumptions!$B$44:$B$46,MATCH($C57,Assumptions!$A$44:$A$46,0))+IF(O$45&gt;=$G57,INDEX(Assumptions!$C$44:$C$46,MATCH($C57,Assumptions!$A$44:$A$46,0)),0)+IF($C57="Assured",O57*$D57*$C$13*$C$26*$C$27*$C$28,0)</f>
        <v>11010.519</v>
      </c>
      <c r="P79" s="23" t="n">
        <f aca="false">P57*$D57*$C$13*INDEX(Assumptions!$B$44:$B$46,MATCH($C57,Assumptions!$A$44:$A$46,0))+IF(P$45&gt;=$G57,INDEX(Assumptions!$C$44:$C$46,MATCH($C57,Assumptions!$A$44:$A$46,0)),0)+IF($C57="Assured",P57*$D57*$C$13*$C$26*$C$27*$C$28,0)</f>
        <v>22021.038</v>
      </c>
      <c r="Q79" s="23" t="n">
        <f aca="false">Q57*$D57*$C$13*INDEX(Assumptions!$B$44:$B$46,MATCH($C57,Assumptions!$A$44:$A$46,0))+IF(Q$45&gt;=$G57,INDEX(Assumptions!$C$44:$C$46,MATCH($C57,Assumptions!$A$44:$A$46,0)),0)+IF($C57="Assured",Q57*$D57*$C$13*$C$26*$C$27*$C$28,0)</f>
        <v>31196.4705</v>
      </c>
      <c r="R79" s="23" t="n">
        <f aca="false">R57*$D57*$C$13*INDEX(Assumptions!$B$44:$B$46,MATCH($C57,Assumptions!$A$44:$A$46,0))+IF(R$45&gt;=$G57,INDEX(Assumptions!$C$44:$C$46,MATCH($C57,Assumptions!$A$44:$A$46,0)),0)+IF($C57="Assured",R57*$D57*$C$13*$C$26*$C$27*$C$28,0)</f>
        <v>36701.73</v>
      </c>
      <c r="S79" s="23" t="n">
        <f aca="false">S57*$D57*$C$13*INDEX(Assumptions!$B$44:$B$46,MATCH($C57,Assumptions!$A$44:$A$46,0))+IF(S$45&gt;=$G57,INDEX(Assumptions!$C$44:$C$46,MATCH($C57,Assumptions!$A$44:$A$46,0)),0)+IF($C57="Assured",S57*$D57*$C$13*$C$26*$C$27*$C$28,0)</f>
        <v>36701.73</v>
      </c>
      <c r="T79" s="23" t="n">
        <f aca="false">T57*$D57*$C$13*INDEX(Assumptions!$B$44:$B$46,MATCH($C57,Assumptions!$A$44:$A$46,0))+IF(T$45&gt;=$G57,INDEX(Assumptions!$C$44:$C$46,MATCH($C57,Assumptions!$A$44:$A$46,0)),0)+IF($C57="Assured",T57*$D57*$C$13*$C$26*$C$27*$C$28,0)</f>
        <v>36701.73</v>
      </c>
      <c r="U79" s="23" t="n">
        <f aca="false">U57*$D57*$C$13*INDEX(Assumptions!$B$44:$B$46,MATCH($C57,Assumptions!$A$44:$A$46,0))+IF(U$45&gt;=$G57,INDEX(Assumptions!$C$44:$C$46,MATCH($C57,Assumptions!$A$44:$A$46,0)),0)+IF($C57="Assured",U57*$D57*$C$13*$C$26*$C$27*$C$28,0)</f>
        <v>36701.73</v>
      </c>
      <c r="V79" s="23" t="n">
        <f aca="false">V57*$D57*$C$13*INDEX(Assumptions!$B$44:$B$46,MATCH($C57,Assumptions!$A$44:$A$46,0))+IF(V$45&gt;=$G57,INDEX(Assumptions!$C$44:$C$46,MATCH($C57,Assumptions!$A$44:$A$46,0)),0)+IF($C57="Assured",V57*$D57*$C$13*$C$26*$C$27*$C$28,0)</f>
        <v>36701.73</v>
      </c>
      <c r="W79" s="23" t="n">
        <f aca="false">W57*$D57*$C$13*INDEX(Assumptions!$B$44:$B$46,MATCH($C57,Assumptions!$A$44:$A$46,0))+IF(W$45&gt;=$G57,INDEX(Assumptions!$C$44:$C$46,MATCH($C57,Assumptions!$A$44:$A$46,0)),0)+IF($C57="Assured",W57*$D57*$C$13*$C$26*$C$27*$C$28,0)</f>
        <v>36701.73</v>
      </c>
      <c r="X79" s="23" t="n">
        <f aca="false">X57*$D57*$C$13*INDEX(Assumptions!$B$44:$B$46,MATCH($C57,Assumptions!$A$44:$A$46,0))+IF(X$45&gt;=$G57,INDEX(Assumptions!$C$44:$C$46,MATCH($C57,Assumptions!$A$44:$A$46,0)),0)+IF($C57="Assured",X57*$D57*$C$13*$C$26*$C$27*$C$28,0)</f>
        <v>36701.73</v>
      </c>
      <c r="Y79" s="23" t="n">
        <f aca="false">Y57*$D57*$C$13*INDEX(Assumptions!$B$44:$B$46,MATCH($C57,Assumptions!$A$44:$A$46,0))+IF(Y$45&gt;=$G57,INDEX(Assumptions!$C$44:$C$46,MATCH($C57,Assumptions!$A$44:$A$46,0)),0)+IF($C57="Assured",Y57*$D57*$C$13*$C$26*$C$27*$C$28,0)</f>
        <v>36701.73</v>
      </c>
    </row>
    <row r="80" customFormat="false" ht="15" hidden="false" customHeight="false" outlineLevel="0" collapsed="false">
      <c r="A80" s="2" t="n">
        <f aca="false">A58</f>
        <v>11</v>
      </c>
      <c r="B80" s="2" t="str">
        <f aca="false">B58</f>
        <v>C</v>
      </c>
      <c r="C80" s="2" t="str">
        <f aca="false">C58</f>
        <v>Assured</v>
      </c>
      <c r="D80" s="2"/>
      <c r="E80" s="2"/>
      <c r="F80" s="2"/>
      <c r="G80" s="2"/>
      <c r="H80" s="23" t="n">
        <f aca="false">H58*$D58*$C$13*INDEX(Assumptions!$B$44:$B$46,MATCH($C58,Assumptions!$A$44:$A$46,0))+IF(H$45&gt;=$G58,INDEX(Assumptions!$C$44:$C$46,MATCH($C58,Assumptions!$A$44:$A$46,0)),0)+IF($C58="Assured",H58*$D58*$C$13*$C$26*$C$27*$C$28,0)</f>
        <v>0</v>
      </c>
      <c r="I80" s="23" t="n">
        <f aca="false">I58*$D58*$C$13*INDEX(Assumptions!$B$44:$B$46,MATCH($C58,Assumptions!$A$44:$A$46,0))+IF(I$45&gt;=$G58,INDEX(Assumptions!$C$44:$C$46,MATCH($C58,Assumptions!$A$44:$A$46,0)),0)+IF($C58="Assured",I58*$D58*$C$13*$C$26*$C$27*$C$28,0)</f>
        <v>0</v>
      </c>
      <c r="J80" s="23" t="n">
        <f aca="false">J58*$D58*$C$13*INDEX(Assumptions!$B$44:$B$46,MATCH($C58,Assumptions!$A$44:$A$46,0))+IF(J$45&gt;=$G58,INDEX(Assumptions!$C$44:$C$46,MATCH($C58,Assumptions!$A$44:$A$46,0)),0)+IF($C58="Assured",J58*$D58*$C$13*$C$26*$C$27*$C$28,0)</f>
        <v>0</v>
      </c>
      <c r="K80" s="23" t="n">
        <f aca="false">K58*$D58*$C$13*INDEX(Assumptions!$B$44:$B$46,MATCH($C58,Assumptions!$A$44:$A$46,0))+IF(K$45&gt;=$G58,INDEX(Assumptions!$C$44:$C$46,MATCH($C58,Assumptions!$A$44:$A$46,0)),0)+IF($C58="Assured",K58*$D58*$C$13*$C$26*$C$27*$C$28,0)</f>
        <v>0</v>
      </c>
      <c r="L80" s="23" t="n">
        <f aca="false">L58*$D58*$C$13*INDEX(Assumptions!$B$44:$B$46,MATCH($C58,Assumptions!$A$44:$A$46,0))+IF(L$45&gt;=$G58,INDEX(Assumptions!$C$44:$C$46,MATCH($C58,Assumptions!$A$44:$A$46,0)),0)+IF($C58="Assured",L58*$D58*$C$13*$C$26*$C$27*$C$28,0)</f>
        <v>0</v>
      </c>
      <c r="M80" s="23" t="n">
        <f aca="false">M58*$D58*$C$13*INDEX(Assumptions!$B$44:$B$46,MATCH($C58,Assumptions!$A$44:$A$46,0))+IF(M$45&gt;=$G58,INDEX(Assumptions!$C$44:$C$46,MATCH($C58,Assumptions!$A$44:$A$46,0)),0)+IF($C58="Assured",M58*$D58*$C$13*$C$26*$C$27*$C$28,0)</f>
        <v>0</v>
      </c>
      <c r="N80" s="23" t="n">
        <f aca="false">N58*$D58*$C$13*INDEX(Assumptions!$B$44:$B$46,MATCH($C58,Assumptions!$A$44:$A$46,0))+IF(N$45&gt;=$G58,INDEX(Assumptions!$C$44:$C$46,MATCH($C58,Assumptions!$A$44:$A$46,0)),0)+IF($C58="Assured",N58*$D58*$C$13*$C$26*$C$27*$C$28,0)</f>
        <v>0</v>
      </c>
      <c r="O80" s="23" t="n">
        <f aca="false">O58*$D58*$C$13*INDEX(Assumptions!$B$44:$B$46,MATCH($C58,Assumptions!$A$44:$A$46,0))+IF(O$45&gt;=$G58,INDEX(Assumptions!$C$44:$C$46,MATCH($C58,Assumptions!$A$44:$A$46,0)),0)+IF($C58="Assured",O58*$D58*$C$13*$C$26*$C$27*$C$28,0)</f>
        <v>0</v>
      </c>
      <c r="P80" s="23" t="n">
        <f aca="false">P58*$D58*$C$13*INDEX(Assumptions!$B$44:$B$46,MATCH($C58,Assumptions!$A$44:$A$46,0))+IF(P$45&gt;=$G58,INDEX(Assumptions!$C$44:$C$46,MATCH($C58,Assumptions!$A$44:$A$46,0)),0)+IF($C58="Assured",P58*$D58*$C$13*$C$26*$C$27*$C$28,0)</f>
        <v>11010.519</v>
      </c>
      <c r="Q80" s="23" t="n">
        <f aca="false">Q58*$D58*$C$13*INDEX(Assumptions!$B$44:$B$46,MATCH($C58,Assumptions!$A$44:$A$46,0))+IF(Q$45&gt;=$G58,INDEX(Assumptions!$C$44:$C$46,MATCH($C58,Assumptions!$A$44:$A$46,0)),0)+IF($C58="Assured",Q58*$D58*$C$13*$C$26*$C$27*$C$28,0)</f>
        <v>22021.038</v>
      </c>
      <c r="R80" s="23" t="n">
        <f aca="false">R58*$D58*$C$13*INDEX(Assumptions!$B$44:$B$46,MATCH($C58,Assumptions!$A$44:$A$46,0))+IF(R$45&gt;=$G58,INDEX(Assumptions!$C$44:$C$46,MATCH($C58,Assumptions!$A$44:$A$46,0)),0)+IF($C58="Assured",R58*$D58*$C$13*$C$26*$C$27*$C$28,0)</f>
        <v>31196.4705</v>
      </c>
      <c r="S80" s="23" t="n">
        <f aca="false">S58*$D58*$C$13*INDEX(Assumptions!$B$44:$B$46,MATCH($C58,Assumptions!$A$44:$A$46,0))+IF(S$45&gt;=$G58,INDEX(Assumptions!$C$44:$C$46,MATCH($C58,Assumptions!$A$44:$A$46,0)),0)+IF($C58="Assured",S58*$D58*$C$13*$C$26*$C$27*$C$28,0)</f>
        <v>36701.73</v>
      </c>
      <c r="T80" s="23" t="n">
        <f aca="false">T58*$D58*$C$13*INDEX(Assumptions!$B$44:$B$46,MATCH($C58,Assumptions!$A$44:$A$46,0))+IF(T$45&gt;=$G58,INDEX(Assumptions!$C$44:$C$46,MATCH($C58,Assumptions!$A$44:$A$46,0)),0)+IF($C58="Assured",T58*$D58*$C$13*$C$26*$C$27*$C$28,0)</f>
        <v>36701.73</v>
      </c>
      <c r="U80" s="23" t="n">
        <f aca="false">U58*$D58*$C$13*INDEX(Assumptions!$B$44:$B$46,MATCH($C58,Assumptions!$A$44:$A$46,0))+IF(U$45&gt;=$G58,INDEX(Assumptions!$C$44:$C$46,MATCH($C58,Assumptions!$A$44:$A$46,0)),0)+IF($C58="Assured",U58*$D58*$C$13*$C$26*$C$27*$C$28,0)</f>
        <v>36701.73</v>
      </c>
      <c r="V80" s="23" t="n">
        <f aca="false">V58*$D58*$C$13*INDEX(Assumptions!$B$44:$B$46,MATCH($C58,Assumptions!$A$44:$A$46,0))+IF(V$45&gt;=$G58,INDEX(Assumptions!$C$44:$C$46,MATCH($C58,Assumptions!$A$44:$A$46,0)),0)+IF($C58="Assured",V58*$D58*$C$13*$C$26*$C$27*$C$28,0)</f>
        <v>36701.73</v>
      </c>
      <c r="W80" s="23" t="n">
        <f aca="false">W58*$D58*$C$13*INDEX(Assumptions!$B$44:$B$46,MATCH($C58,Assumptions!$A$44:$A$46,0))+IF(W$45&gt;=$G58,INDEX(Assumptions!$C$44:$C$46,MATCH($C58,Assumptions!$A$44:$A$46,0)),0)+IF($C58="Assured",W58*$D58*$C$13*$C$26*$C$27*$C$28,0)</f>
        <v>36701.73</v>
      </c>
      <c r="X80" s="23" t="n">
        <f aca="false">X58*$D58*$C$13*INDEX(Assumptions!$B$44:$B$46,MATCH($C58,Assumptions!$A$44:$A$46,0))+IF(X$45&gt;=$G58,INDEX(Assumptions!$C$44:$C$46,MATCH($C58,Assumptions!$A$44:$A$46,0)),0)+IF($C58="Assured",X58*$D58*$C$13*$C$26*$C$27*$C$28,0)</f>
        <v>36701.73</v>
      </c>
      <c r="Y80" s="23" t="n">
        <f aca="false">Y58*$D58*$C$13*INDEX(Assumptions!$B$44:$B$46,MATCH($C58,Assumptions!$A$44:$A$46,0))+IF(Y$45&gt;=$G58,INDEX(Assumptions!$C$44:$C$46,MATCH($C58,Assumptions!$A$44:$A$46,0)),0)+IF($C58="Assured",Y58*$D58*$C$13*$C$26*$C$27*$C$28,0)</f>
        <v>36701.73</v>
      </c>
    </row>
    <row r="81" customFormat="false" ht="15" hidden="false" customHeight="false" outlineLevel="0" collapsed="false">
      <c r="A81" s="2" t="n">
        <f aca="false">A59</f>
        <v>12</v>
      </c>
      <c r="B81" s="2" t="str">
        <f aca="false">B59</f>
        <v>C</v>
      </c>
      <c r="C81" s="2" t="str">
        <f aca="false">C59</f>
        <v>Assured</v>
      </c>
      <c r="D81" s="2"/>
      <c r="E81" s="2"/>
      <c r="F81" s="2"/>
      <c r="G81" s="2"/>
      <c r="H81" s="23" t="n">
        <f aca="false">H59*$D59*$C$13*INDEX(Assumptions!$B$44:$B$46,MATCH($C59,Assumptions!$A$44:$A$46,0))+IF(H$45&gt;=$G59,INDEX(Assumptions!$C$44:$C$46,MATCH($C59,Assumptions!$A$44:$A$46,0)),0)+IF($C59="Assured",H59*$D59*$C$13*$C$26*$C$27*$C$28,0)</f>
        <v>0</v>
      </c>
      <c r="I81" s="23" t="n">
        <f aca="false">I59*$D59*$C$13*INDEX(Assumptions!$B$44:$B$46,MATCH($C59,Assumptions!$A$44:$A$46,0))+IF(I$45&gt;=$G59,INDEX(Assumptions!$C$44:$C$46,MATCH($C59,Assumptions!$A$44:$A$46,0)),0)+IF($C59="Assured",I59*$D59*$C$13*$C$26*$C$27*$C$28,0)</f>
        <v>0</v>
      </c>
      <c r="J81" s="23" t="n">
        <f aca="false">J59*$D59*$C$13*INDEX(Assumptions!$B$44:$B$46,MATCH($C59,Assumptions!$A$44:$A$46,0))+IF(J$45&gt;=$G59,INDEX(Assumptions!$C$44:$C$46,MATCH($C59,Assumptions!$A$44:$A$46,0)),0)+IF($C59="Assured",J59*$D59*$C$13*$C$26*$C$27*$C$28,0)</f>
        <v>0</v>
      </c>
      <c r="K81" s="23" t="n">
        <f aca="false">K59*$D59*$C$13*INDEX(Assumptions!$B$44:$B$46,MATCH($C59,Assumptions!$A$44:$A$46,0))+IF(K$45&gt;=$G59,INDEX(Assumptions!$C$44:$C$46,MATCH($C59,Assumptions!$A$44:$A$46,0)),0)+IF($C59="Assured",K59*$D59*$C$13*$C$26*$C$27*$C$28,0)</f>
        <v>0</v>
      </c>
      <c r="L81" s="23" t="n">
        <f aca="false">L59*$D59*$C$13*INDEX(Assumptions!$B$44:$B$46,MATCH($C59,Assumptions!$A$44:$A$46,0))+IF(L$45&gt;=$G59,INDEX(Assumptions!$C$44:$C$46,MATCH($C59,Assumptions!$A$44:$A$46,0)),0)+IF($C59="Assured",L59*$D59*$C$13*$C$26*$C$27*$C$28,0)</f>
        <v>0</v>
      </c>
      <c r="M81" s="23" t="n">
        <f aca="false">M59*$D59*$C$13*INDEX(Assumptions!$B$44:$B$46,MATCH($C59,Assumptions!$A$44:$A$46,0))+IF(M$45&gt;=$G59,INDEX(Assumptions!$C$44:$C$46,MATCH($C59,Assumptions!$A$44:$A$46,0)),0)+IF($C59="Assured",M59*$D59*$C$13*$C$26*$C$27*$C$28,0)</f>
        <v>0</v>
      </c>
      <c r="N81" s="23" t="n">
        <f aca="false">N59*$D59*$C$13*INDEX(Assumptions!$B$44:$B$46,MATCH($C59,Assumptions!$A$44:$A$46,0))+IF(N$45&gt;=$G59,INDEX(Assumptions!$C$44:$C$46,MATCH($C59,Assumptions!$A$44:$A$46,0)),0)+IF($C59="Assured",N59*$D59*$C$13*$C$26*$C$27*$C$28,0)</f>
        <v>0</v>
      </c>
      <c r="O81" s="23" t="n">
        <f aca="false">O59*$D59*$C$13*INDEX(Assumptions!$B$44:$B$46,MATCH($C59,Assumptions!$A$44:$A$46,0))+IF(O$45&gt;=$G59,INDEX(Assumptions!$C$44:$C$46,MATCH($C59,Assumptions!$A$44:$A$46,0)),0)+IF($C59="Assured",O59*$D59*$C$13*$C$26*$C$27*$C$28,0)</f>
        <v>0</v>
      </c>
      <c r="P81" s="23" t="n">
        <f aca="false">P59*$D59*$C$13*INDEX(Assumptions!$B$44:$B$46,MATCH($C59,Assumptions!$A$44:$A$46,0))+IF(P$45&gt;=$G59,INDEX(Assumptions!$C$44:$C$46,MATCH($C59,Assumptions!$A$44:$A$46,0)),0)+IF($C59="Assured",P59*$D59*$C$13*$C$26*$C$27*$C$28,0)</f>
        <v>11010.519</v>
      </c>
      <c r="Q81" s="23" t="n">
        <f aca="false">Q59*$D59*$C$13*INDEX(Assumptions!$B$44:$B$46,MATCH($C59,Assumptions!$A$44:$A$46,0))+IF(Q$45&gt;=$G59,INDEX(Assumptions!$C$44:$C$46,MATCH($C59,Assumptions!$A$44:$A$46,0)),0)+IF($C59="Assured",Q59*$D59*$C$13*$C$26*$C$27*$C$28,0)</f>
        <v>22021.038</v>
      </c>
      <c r="R81" s="23" t="n">
        <f aca="false">R59*$D59*$C$13*INDEX(Assumptions!$B$44:$B$46,MATCH($C59,Assumptions!$A$44:$A$46,0))+IF(R$45&gt;=$G59,INDEX(Assumptions!$C$44:$C$46,MATCH($C59,Assumptions!$A$44:$A$46,0)),0)+IF($C59="Assured",R59*$D59*$C$13*$C$26*$C$27*$C$28,0)</f>
        <v>31196.4705</v>
      </c>
      <c r="S81" s="23" t="n">
        <f aca="false">S59*$D59*$C$13*INDEX(Assumptions!$B$44:$B$46,MATCH($C59,Assumptions!$A$44:$A$46,0))+IF(S$45&gt;=$G59,INDEX(Assumptions!$C$44:$C$46,MATCH($C59,Assumptions!$A$44:$A$46,0)),0)+IF($C59="Assured",S59*$D59*$C$13*$C$26*$C$27*$C$28,0)</f>
        <v>36701.73</v>
      </c>
      <c r="T81" s="23" t="n">
        <f aca="false">T59*$D59*$C$13*INDEX(Assumptions!$B$44:$B$46,MATCH($C59,Assumptions!$A$44:$A$46,0))+IF(T$45&gt;=$G59,INDEX(Assumptions!$C$44:$C$46,MATCH($C59,Assumptions!$A$44:$A$46,0)),0)+IF($C59="Assured",T59*$D59*$C$13*$C$26*$C$27*$C$28,0)</f>
        <v>36701.73</v>
      </c>
      <c r="U81" s="23" t="n">
        <f aca="false">U59*$D59*$C$13*INDEX(Assumptions!$B$44:$B$46,MATCH($C59,Assumptions!$A$44:$A$46,0))+IF(U$45&gt;=$G59,INDEX(Assumptions!$C$44:$C$46,MATCH($C59,Assumptions!$A$44:$A$46,0)),0)+IF($C59="Assured",U59*$D59*$C$13*$C$26*$C$27*$C$28,0)</f>
        <v>36701.73</v>
      </c>
      <c r="V81" s="23" t="n">
        <f aca="false">V59*$D59*$C$13*INDEX(Assumptions!$B$44:$B$46,MATCH($C59,Assumptions!$A$44:$A$46,0))+IF(V$45&gt;=$G59,INDEX(Assumptions!$C$44:$C$46,MATCH($C59,Assumptions!$A$44:$A$46,0)),0)+IF($C59="Assured",V59*$D59*$C$13*$C$26*$C$27*$C$28,0)</f>
        <v>36701.73</v>
      </c>
      <c r="W81" s="23" t="n">
        <f aca="false">W59*$D59*$C$13*INDEX(Assumptions!$B$44:$B$46,MATCH($C59,Assumptions!$A$44:$A$46,0))+IF(W$45&gt;=$G59,INDEX(Assumptions!$C$44:$C$46,MATCH($C59,Assumptions!$A$44:$A$46,0)),0)+IF($C59="Assured",W59*$D59*$C$13*$C$26*$C$27*$C$28,0)</f>
        <v>36701.73</v>
      </c>
      <c r="X81" s="23" t="n">
        <f aca="false">X59*$D59*$C$13*INDEX(Assumptions!$B$44:$B$46,MATCH($C59,Assumptions!$A$44:$A$46,0))+IF(X$45&gt;=$G59,INDEX(Assumptions!$C$44:$C$46,MATCH($C59,Assumptions!$A$44:$A$46,0)),0)+IF($C59="Assured",X59*$D59*$C$13*$C$26*$C$27*$C$28,0)</f>
        <v>36701.73</v>
      </c>
      <c r="Y81" s="23" t="n">
        <f aca="false">Y59*$D59*$C$13*INDEX(Assumptions!$B$44:$B$46,MATCH($C59,Assumptions!$A$44:$A$46,0))+IF(Y$45&gt;=$G59,INDEX(Assumptions!$C$44:$C$46,MATCH($C59,Assumptions!$A$44:$A$46,0)),0)+IF($C59="Assured",Y59*$D59*$C$13*$C$26*$C$27*$C$28,0)</f>
        <v>36701.73</v>
      </c>
    </row>
    <row r="82" customFormat="false" ht="15" hidden="false" customHeight="false" outlineLevel="0" collapsed="false">
      <c r="A82" s="2" t="n">
        <f aca="false">A60</f>
        <v>13</v>
      </c>
      <c r="B82" s="2" t="str">
        <f aca="false">B60</f>
        <v>C</v>
      </c>
      <c r="C82" s="2" t="str">
        <f aca="false">C60</f>
        <v>Assured</v>
      </c>
      <c r="D82" s="2"/>
      <c r="E82" s="2"/>
      <c r="F82" s="2"/>
      <c r="G82" s="2"/>
      <c r="H82" s="23" t="n">
        <f aca="false">H60*$D60*$C$13*INDEX(Assumptions!$B$44:$B$46,MATCH($C60,Assumptions!$A$44:$A$46,0))+IF(H$45&gt;=$G60,INDEX(Assumptions!$C$44:$C$46,MATCH($C60,Assumptions!$A$44:$A$46,0)),0)+IF($C60="Assured",H60*$D60*$C$13*$C$26*$C$27*$C$28,0)</f>
        <v>0</v>
      </c>
      <c r="I82" s="23" t="n">
        <f aca="false">I60*$D60*$C$13*INDEX(Assumptions!$B$44:$B$46,MATCH($C60,Assumptions!$A$44:$A$46,0))+IF(I$45&gt;=$G60,INDEX(Assumptions!$C$44:$C$46,MATCH($C60,Assumptions!$A$44:$A$46,0)),0)+IF($C60="Assured",I60*$D60*$C$13*$C$26*$C$27*$C$28,0)</f>
        <v>0</v>
      </c>
      <c r="J82" s="23" t="n">
        <f aca="false">J60*$D60*$C$13*INDEX(Assumptions!$B$44:$B$46,MATCH($C60,Assumptions!$A$44:$A$46,0))+IF(J$45&gt;=$G60,INDEX(Assumptions!$C$44:$C$46,MATCH($C60,Assumptions!$A$44:$A$46,0)),0)+IF($C60="Assured",J60*$D60*$C$13*$C$26*$C$27*$C$28,0)</f>
        <v>0</v>
      </c>
      <c r="K82" s="23" t="n">
        <f aca="false">K60*$D60*$C$13*INDEX(Assumptions!$B$44:$B$46,MATCH($C60,Assumptions!$A$44:$A$46,0))+IF(K$45&gt;=$G60,INDEX(Assumptions!$C$44:$C$46,MATCH($C60,Assumptions!$A$44:$A$46,0)),0)+IF($C60="Assured",K60*$D60*$C$13*$C$26*$C$27*$C$28,0)</f>
        <v>0</v>
      </c>
      <c r="L82" s="23" t="n">
        <f aca="false">L60*$D60*$C$13*INDEX(Assumptions!$B$44:$B$46,MATCH($C60,Assumptions!$A$44:$A$46,0))+IF(L$45&gt;=$G60,INDEX(Assumptions!$C$44:$C$46,MATCH($C60,Assumptions!$A$44:$A$46,0)),0)+IF($C60="Assured",L60*$D60*$C$13*$C$26*$C$27*$C$28,0)</f>
        <v>0</v>
      </c>
      <c r="M82" s="23" t="n">
        <f aca="false">M60*$D60*$C$13*INDEX(Assumptions!$B$44:$B$46,MATCH($C60,Assumptions!$A$44:$A$46,0))+IF(M$45&gt;=$G60,INDEX(Assumptions!$C$44:$C$46,MATCH($C60,Assumptions!$A$44:$A$46,0)),0)+IF($C60="Assured",M60*$D60*$C$13*$C$26*$C$27*$C$28,0)</f>
        <v>0</v>
      </c>
      <c r="N82" s="23" t="n">
        <f aca="false">N60*$D60*$C$13*INDEX(Assumptions!$B$44:$B$46,MATCH($C60,Assumptions!$A$44:$A$46,0))+IF(N$45&gt;=$G60,INDEX(Assumptions!$C$44:$C$46,MATCH($C60,Assumptions!$A$44:$A$46,0)),0)+IF($C60="Assured",N60*$D60*$C$13*$C$26*$C$27*$C$28,0)</f>
        <v>0</v>
      </c>
      <c r="O82" s="23" t="n">
        <f aca="false">O60*$D60*$C$13*INDEX(Assumptions!$B$44:$B$46,MATCH($C60,Assumptions!$A$44:$A$46,0))+IF(O$45&gt;=$G60,INDEX(Assumptions!$C$44:$C$46,MATCH($C60,Assumptions!$A$44:$A$46,0)),0)+IF($C60="Assured",O60*$D60*$C$13*$C$26*$C$27*$C$28,0)</f>
        <v>0</v>
      </c>
      <c r="P82" s="23" t="n">
        <f aca="false">P60*$D60*$C$13*INDEX(Assumptions!$B$44:$B$46,MATCH($C60,Assumptions!$A$44:$A$46,0))+IF(P$45&gt;=$G60,INDEX(Assumptions!$C$44:$C$46,MATCH($C60,Assumptions!$A$44:$A$46,0)),0)+IF($C60="Assured",P60*$D60*$C$13*$C$26*$C$27*$C$28,0)</f>
        <v>0</v>
      </c>
      <c r="Q82" s="23" t="n">
        <f aca="false">Q60*$D60*$C$13*INDEX(Assumptions!$B$44:$B$46,MATCH($C60,Assumptions!$A$44:$A$46,0))+IF(Q$45&gt;=$G60,INDEX(Assumptions!$C$44:$C$46,MATCH($C60,Assumptions!$A$44:$A$46,0)),0)+IF($C60="Assured",Q60*$D60*$C$13*$C$26*$C$27*$C$28,0)</f>
        <v>11010.519</v>
      </c>
      <c r="R82" s="23" t="n">
        <f aca="false">R60*$D60*$C$13*INDEX(Assumptions!$B$44:$B$46,MATCH($C60,Assumptions!$A$44:$A$46,0))+IF(R$45&gt;=$G60,INDEX(Assumptions!$C$44:$C$46,MATCH($C60,Assumptions!$A$44:$A$46,0)),0)+IF($C60="Assured",R60*$D60*$C$13*$C$26*$C$27*$C$28,0)</f>
        <v>22021.038</v>
      </c>
      <c r="S82" s="23" t="n">
        <f aca="false">S60*$D60*$C$13*INDEX(Assumptions!$B$44:$B$46,MATCH($C60,Assumptions!$A$44:$A$46,0))+IF(S$45&gt;=$G60,INDEX(Assumptions!$C$44:$C$46,MATCH($C60,Assumptions!$A$44:$A$46,0)),0)+IF($C60="Assured",S60*$D60*$C$13*$C$26*$C$27*$C$28,0)</f>
        <v>31196.4705</v>
      </c>
      <c r="T82" s="23" t="n">
        <f aca="false">T60*$D60*$C$13*INDEX(Assumptions!$B$44:$B$46,MATCH($C60,Assumptions!$A$44:$A$46,0))+IF(T$45&gt;=$G60,INDEX(Assumptions!$C$44:$C$46,MATCH($C60,Assumptions!$A$44:$A$46,0)),0)+IF($C60="Assured",T60*$D60*$C$13*$C$26*$C$27*$C$28,0)</f>
        <v>36701.73</v>
      </c>
      <c r="U82" s="23" t="n">
        <f aca="false">U60*$D60*$C$13*INDEX(Assumptions!$B$44:$B$46,MATCH($C60,Assumptions!$A$44:$A$46,0))+IF(U$45&gt;=$G60,INDEX(Assumptions!$C$44:$C$46,MATCH($C60,Assumptions!$A$44:$A$46,0)),0)+IF($C60="Assured",U60*$D60*$C$13*$C$26*$C$27*$C$28,0)</f>
        <v>36701.73</v>
      </c>
      <c r="V82" s="23" t="n">
        <f aca="false">V60*$D60*$C$13*INDEX(Assumptions!$B$44:$B$46,MATCH($C60,Assumptions!$A$44:$A$46,0))+IF(V$45&gt;=$G60,INDEX(Assumptions!$C$44:$C$46,MATCH($C60,Assumptions!$A$44:$A$46,0)),0)+IF($C60="Assured",V60*$D60*$C$13*$C$26*$C$27*$C$28,0)</f>
        <v>36701.73</v>
      </c>
      <c r="W82" s="23" t="n">
        <f aca="false">W60*$D60*$C$13*INDEX(Assumptions!$B$44:$B$46,MATCH($C60,Assumptions!$A$44:$A$46,0))+IF(W$45&gt;=$G60,INDEX(Assumptions!$C$44:$C$46,MATCH($C60,Assumptions!$A$44:$A$46,0)),0)+IF($C60="Assured",W60*$D60*$C$13*$C$26*$C$27*$C$28,0)</f>
        <v>36701.73</v>
      </c>
      <c r="X82" s="23" t="n">
        <f aca="false">X60*$D60*$C$13*INDEX(Assumptions!$B$44:$B$46,MATCH($C60,Assumptions!$A$44:$A$46,0))+IF(X$45&gt;=$G60,INDEX(Assumptions!$C$44:$C$46,MATCH($C60,Assumptions!$A$44:$A$46,0)),0)+IF($C60="Assured",X60*$D60*$C$13*$C$26*$C$27*$C$28,0)</f>
        <v>36701.73</v>
      </c>
      <c r="Y82" s="23" t="n">
        <f aca="false">Y60*$D60*$C$13*INDEX(Assumptions!$B$44:$B$46,MATCH($C60,Assumptions!$A$44:$A$46,0))+IF(Y$45&gt;=$G60,INDEX(Assumptions!$C$44:$C$46,MATCH($C60,Assumptions!$A$44:$A$46,0)),0)+IF($C60="Assured",Y60*$D60*$C$13*$C$26*$C$27*$C$28,0)</f>
        <v>36701.73</v>
      </c>
    </row>
    <row r="83" customFormat="false" ht="15" hidden="false" customHeight="false" outlineLevel="0" collapsed="false">
      <c r="A83" s="2" t="n">
        <f aca="false">A61</f>
        <v>14</v>
      </c>
      <c r="B83" s="2" t="str">
        <f aca="false">B61</f>
        <v>B</v>
      </c>
      <c r="C83" s="2" t="str">
        <f aca="false">C61</f>
        <v>Connect</v>
      </c>
      <c r="D83" s="2"/>
      <c r="E83" s="2"/>
      <c r="F83" s="2"/>
      <c r="G83" s="2"/>
      <c r="H83" s="23" t="n">
        <f aca="false">H61*$D61*$C$13*INDEX(Assumptions!$B$44:$B$46,MATCH($C61,Assumptions!$A$44:$A$46,0))+IF(H$45&gt;=$G61,INDEX(Assumptions!$C$44:$C$46,MATCH($C61,Assumptions!$A$44:$A$46,0)),0)+IF($C61="Assured",H61*$D61*$C$13*$C$26*$C$27*$C$28,0)</f>
        <v>0</v>
      </c>
      <c r="I83" s="23" t="n">
        <f aca="false">I61*$D61*$C$13*INDEX(Assumptions!$B$44:$B$46,MATCH($C61,Assumptions!$A$44:$A$46,0))+IF(I$45&gt;=$G61,INDEX(Assumptions!$C$44:$C$46,MATCH($C61,Assumptions!$A$44:$A$46,0)),0)+IF($C61="Assured",I61*$D61*$C$13*$C$26*$C$27*$C$28,0)</f>
        <v>0</v>
      </c>
      <c r="J83" s="23" t="n">
        <f aca="false">J61*$D61*$C$13*INDEX(Assumptions!$B$44:$B$46,MATCH($C61,Assumptions!$A$44:$A$46,0))+IF(J$45&gt;=$G61,INDEX(Assumptions!$C$44:$C$46,MATCH($C61,Assumptions!$A$44:$A$46,0)),0)+IF($C61="Assured",J61*$D61*$C$13*$C$26*$C$27*$C$28,0)</f>
        <v>0</v>
      </c>
      <c r="K83" s="23" t="n">
        <f aca="false">K61*$D61*$C$13*INDEX(Assumptions!$B$44:$B$46,MATCH($C61,Assumptions!$A$44:$A$46,0))+IF(K$45&gt;=$G61,INDEX(Assumptions!$C$44:$C$46,MATCH($C61,Assumptions!$A$44:$A$46,0)),0)+IF($C61="Assured",K61*$D61*$C$13*$C$26*$C$27*$C$28,0)</f>
        <v>0</v>
      </c>
      <c r="L83" s="23" t="n">
        <f aca="false">L61*$D61*$C$13*INDEX(Assumptions!$B$44:$B$46,MATCH($C61,Assumptions!$A$44:$A$46,0))+IF(L$45&gt;=$G61,INDEX(Assumptions!$C$44:$C$46,MATCH($C61,Assumptions!$A$44:$A$46,0)),0)+IF($C61="Assured",L61*$D61*$C$13*$C$26*$C$27*$C$28,0)</f>
        <v>0</v>
      </c>
      <c r="M83" s="23" t="n">
        <f aca="false">M61*$D61*$C$13*INDEX(Assumptions!$B$44:$B$46,MATCH($C61,Assumptions!$A$44:$A$46,0))+IF(M$45&gt;=$G61,INDEX(Assumptions!$C$44:$C$46,MATCH($C61,Assumptions!$A$44:$A$46,0)),0)+IF($C61="Assured",M61*$D61*$C$13*$C$26*$C$27*$C$28,0)</f>
        <v>0</v>
      </c>
      <c r="N83" s="23" t="n">
        <f aca="false">N61*$D61*$C$13*INDEX(Assumptions!$B$44:$B$46,MATCH($C61,Assumptions!$A$44:$A$46,0))+IF(N$45&gt;=$G61,INDEX(Assumptions!$C$44:$C$46,MATCH($C61,Assumptions!$A$44:$A$46,0)),0)+IF($C61="Assured",N61*$D61*$C$13*$C$26*$C$27*$C$28,0)</f>
        <v>0</v>
      </c>
      <c r="O83" s="23" t="n">
        <f aca="false">O61*$D61*$C$13*INDEX(Assumptions!$B$44:$B$46,MATCH($C61,Assumptions!$A$44:$A$46,0))+IF(O$45&gt;=$G61,INDEX(Assumptions!$C$44:$C$46,MATCH($C61,Assumptions!$A$44:$A$46,0)),0)+IF($C61="Assured",O61*$D61*$C$13*$C$26*$C$27*$C$28,0)</f>
        <v>0</v>
      </c>
      <c r="P83" s="23" t="n">
        <f aca="false">P61*$D61*$C$13*INDEX(Assumptions!$B$44:$B$46,MATCH($C61,Assumptions!$A$44:$A$46,0))+IF(P$45&gt;=$G61,INDEX(Assumptions!$C$44:$C$46,MATCH($C61,Assumptions!$A$44:$A$46,0)),0)+IF($C61="Assured",P61*$D61*$C$13*$C$26*$C$27*$C$28,0)</f>
        <v>0</v>
      </c>
      <c r="Q83" s="23" t="n">
        <f aca="false">Q61*$D61*$C$13*INDEX(Assumptions!$B$44:$B$46,MATCH($C61,Assumptions!$A$44:$A$46,0))+IF(Q$45&gt;=$G61,INDEX(Assumptions!$C$44:$C$46,MATCH($C61,Assumptions!$A$44:$A$46,0)),0)+IF($C61="Assured",Q61*$D61*$C$13*$C$26*$C$27*$C$28,0)</f>
        <v>0</v>
      </c>
      <c r="R83" s="23" t="n">
        <f aca="false">R61*$D61*$C$13*INDEX(Assumptions!$B$44:$B$46,MATCH($C61,Assumptions!$A$44:$A$46,0))+IF(R$45&gt;=$G61,INDEX(Assumptions!$C$44:$C$46,MATCH($C61,Assumptions!$A$44:$A$46,0)),0)+IF($C61="Assured",R61*$D61*$C$13*$C$26*$C$27*$C$28,0)</f>
        <v>14600.91</v>
      </c>
      <c r="S83" s="23" t="n">
        <f aca="false">S61*$D61*$C$13*INDEX(Assumptions!$B$44:$B$46,MATCH($C61,Assumptions!$A$44:$A$46,0))+IF(S$45&gt;=$G61,INDEX(Assumptions!$C$44:$C$46,MATCH($C61,Assumptions!$A$44:$A$46,0)),0)+IF($C61="Assured",S61*$D61*$C$13*$C$26*$C$27*$C$28,0)</f>
        <v>17201.82</v>
      </c>
      <c r="T83" s="23" t="n">
        <f aca="false">T61*$D61*$C$13*INDEX(Assumptions!$B$44:$B$46,MATCH($C61,Assumptions!$A$44:$A$46,0))+IF(T$45&gt;=$G61,INDEX(Assumptions!$C$44:$C$46,MATCH($C61,Assumptions!$A$44:$A$46,0)),0)+IF($C61="Assured",T61*$D61*$C$13*$C$26*$C$27*$C$28,0)</f>
        <v>19369.245</v>
      </c>
      <c r="U83" s="23" t="n">
        <f aca="false">U61*$D61*$C$13*INDEX(Assumptions!$B$44:$B$46,MATCH($C61,Assumptions!$A$44:$A$46,0))+IF(U$45&gt;=$G61,INDEX(Assumptions!$C$44:$C$46,MATCH($C61,Assumptions!$A$44:$A$46,0)),0)+IF($C61="Assured",U61*$D61*$C$13*$C$26*$C$27*$C$28,0)</f>
        <v>20669.7</v>
      </c>
      <c r="V83" s="23" t="n">
        <f aca="false">V61*$D61*$C$13*INDEX(Assumptions!$B$44:$B$46,MATCH($C61,Assumptions!$A$44:$A$46,0))+IF(V$45&gt;=$G61,INDEX(Assumptions!$C$44:$C$46,MATCH($C61,Assumptions!$A$44:$A$46,0)),0)+IF($C61="Assured",V61*$D61*$C$13*$C$26*$C$27*$C$28,0)</f>
        <v>20669.7</v>
      </c>
      <c r="W83" s="23" t="n">
        <f aca="false">W61*$D61*$C$13*INDEX(Assumptions!$B$44:$B$46,MATCH($C61,Assumptions!$A$44:$A$46,0))+IF(W$45&gt;=$G61,INDEX(Assumptions!$C$44:$C$46,MATCH($C61,Assumptions!$A$44:$A$46,0)),0)+IF($C61="Assured",W61*$D61*$C$13*$C$26*$C$27*$C$28,0)</f>
        <v>20669.7</v>
      </c>
      <c r="X83" s="23" t="n">
        <f aca="false">X61*$D61*$C$13*INDEX(Assumptions!$B$44:$B$46,MATCH($C61,Assumptions!$A$44:$A$46,0))+IF(X$45&gt;=$G61,INDEX(Assumptions!$C$44:$C$46,MATCH($C61,Assumptions!$A$44:$A$46,0)),0)+IF($C61="Assured",X61*$D61*$C$13*$C$26*$C$27*$C$28,0)</f>
        <v>20669.7</v>
      </c>
      <c r="Y83" s="23" t="n">
        <f aca="false">Y61*$D61*$C$13*INDEX(Assumptions!$B$44:$B$46,MATCH($C61,Assumptions!$A$44:$A$46,0))+IF(Y$45&gt;=$G61,INDEX(Assumptions!$C$44:$C$46,MATCH($C61,Assumptions!$A$44:$A$46,0)),0)+IF($C61="Assured",Y61*$D61*$C$13*$C$26*$C$27*$C$28,0)</f>
        <v>20669.7</v>
      </c>
    </row>
    <row r="84" customFormat="false" ht="15" hidden="false" customHeight="false" outlineLevel="0" collapsed="false">
      <c r="A84" s="2" t="n">
        <f aca="false">A62</f>
        <v>15</v>
      </c>
      <c r="B84" s="2" t="str">
        <f aca="false">B62</f>
        <v>B</v>
      </c>
      <c r="C84" s="2" t="str">
        <f aca="false">C62</f>
        <v>Connect</v>
      </c>
      <c r="D84" s="2"/>
      <c r="E84" s="2"/>
      <c r="F84" s="2"/>
      <c r="G84" s="2"/>
      <c r="H84" s="23" t="n">
        <f aca="false">H62*$D62*$C$13*INDEX(Assumptions!$B$44:$B$46,MATCH($C62,Assumptions!$A$44:$A$46,0))+IF(H$45&gt;=$G62,INDEX(Assumptions!$C$44:$C$46,MATCH($C62,Assumptions!$A$44:$A$46,0)),0)+IF($C62="Assured",H62*$D62*$C$13*$C$26*$C$27*$C$28,0)</f>
        <v>0</v>
      </c>
      <c r="I84" s="23" t="n">
        <f aca="false">I62*$D62*$C$13*INDEX(Assumptions!$B$44:$B$46,MATCH($C62,Assumptions!$A$44:$A$46,0))+IF(I$45&gt;=$G62,INDEX(Assumptions!$C$44:$C$46,MATCH($C62,Assumptions!$A$44:$A$46,0)),0)+IF($C62="Assured",I62*$D62*$C$13*$C$26*$C$27*$C$28,0)</f>
        <v>0</v>
      </c>
      <c r="J84" s="23" t="n">
        <f aca="false">J62*$D62*$C$13*INDEX(Assumptions!$B$44:$B$46,MATCH($C62,Assumptions!$A$44:$A$46,0))+IF(J$45&gt;=$G62,INDEX(Assumptions!$C$44:$C$46,MATCH($C62,Assumptions!$A$44:$A$46,0)),0)+IF($C62="Assured",J62*$D62*$C$13*$C$26*$C$27*$C$28,0)</f>
        <v>0</v>
      </c>
      <c r="K84" s="23" t="n">
        <f aca="false">K62*$D62*$C$13*INDEX(Assumptions!$B$44:$B$46,MATCH($C62,Assumptions!$A$44:$A$46,0))+IF(K$45&gt;=$G62,INDEX(Assumptions!$C$44:$C$46,MATCH($C62,Assumptions!$A$44:$A$46,0)),0)+IF($C62="Assured",K62*$D62*$C$13*$C$26*$C$27*$C$28,0)</f>
        <v>0</v>
      </c>
      <c r="L84" s="23" t="n">
        <f aca="false">L62*$D62*$C$13*INDEX(Assumptions!$B$44:$B$46,MATCH($C62,Assumptions!$A$44:$A$46,0))+IF(L$45&gt;=$G62,INDEX(Assumptions!$C$44:$C$46,MATCH($C62,Assumptions!$A$44:$A$46,0)),0)+IF($C62="Assured",L62*$D62*$C$13*$C$26*$C$27*$C$28,0)</f>
        <v>0</v>
      </c>
      <c r="M84" s="23" t="n">
        <f aca="false">M62*$D62*$C$13*INDEX(Assumptions!$B$44:$B$46,MATCH($C62,Assumptions!$A$44:$A$46,0))+IF(M$45&gt;=$G62,INDEX(Assumptions!$C$44:$C$46,MATCH($C62,Assumptions!$A$44:$A$46,0)),0)+IF($C62="Assured",M62*$D62*$C$13*$C$26*$C$27*$C$28,0)</f>
        <v>0</v>
      </c>
      <c r="N84" s="23" t="n">
        <f aca="false">N62*$D62*$C$13*INDEX(Assumptions!$B$44:$B$46,MATCH($C62,Assumptions!$A$44:$A$46,0))+IF(N$45&gt;=$G62,INDEX(Assumptions!$C$44:$C$46,MATCH($C62,Assumptions!$A$44:$A$46,0)),0)+IF($C62="Assured",N62*$D62*$C$13*$C$26*$C$27*$C$28,0)</f>
        <v>0</v>
      </c>
      <c r="O84" s="23" t="n">
        <f aca="false">O62*$D62*$C$13*INDEX(Assumptions!$B$44:$B$46,MATCH($C62,Assumptions!$A$44:$A$46,0))+IF(O$45&gt;=$G62,INDEX(Assumptions!$C$44:$C$46,MATCH($C62,Assumptions!$A$44:$A$46,0)),0)+IF($C62="Assured",O62*$D62*$C$13*$C$26*$C$27*$C$28,0)</f>
        <v>0</v>
      </c>
      <c r="P84" s="23" t="n">
        <f aca="false">P62*$D62*$C$13*INDEX(Assumptions!$B$44:$B$46,MATCH($C62,Assumptions!$A$44:$A$46,0))+IF(P$45&gt;=$G62,INDEX(Assumptions!$C$44:$C$46,MATCH($C62,Assumptions!$A$44:$A$46,0)),0)+IF($C62="Assured",P62*$D62*$C$13*$C$26*$C$27*$C$28,0)</f>
        <v>0</v>
      </c>
      <c r="Q84" s="23" t="n">
        <f aca="false">Q62*$D62*$C$13*INDEX(Assumptions!$B$44:$B$46,MATCH($C62,Assumptions!$A$44:$A$46,0))+IF(Q$45&gt;=$G62,INDEX(Assumptions!$C$44:$C$46,MATCH($C62,Assumptions!$A$44:$A$46,0)),0)+IF($C62="Assured",Q62*$D62*$C$13*$C$26*$C$27*$C$28,0)</f>
        <v>0</v>
      </c>
      <c r="R84" s="23" t="n">
        <f aca="false">R62*$D62*$C$13*INDEX(Assumptions!$B$44:$B$46,MATCH($C62,Assumptions!$A$44:$A$46,0))+IF(R$45&gt;=$G62,INDEX(Assumptions!$C$44:$C$46,MATCH($C62,Assumptions!$A$44:$A$46,0)),0)+IF($C62="Assured",R62*$D62*$C$13*$C$26*$C$27*$C$28,0)</f>
        <v>0</v>
      </c>
      <c r="S84" s="23" t="n">
        <f aca="false">S62*$D62*$C$13*INDEX(Assumptions!$B$44:$B$46,MATCH($C62,Assumptions!$A$44:$A$46,0))+IF(S$45&gt;=$G62,INDEX(Assumptions!$C$44:$C$46,MATCH($C62,Assumptions!$A$44:$A$46,0)),0)+IF($C62="Assured",S62*$D62*$C$13*$C$26*$C$27*$C$28,0)</f>
        <v>14600.91</v>
      </c>
      <c r="T84" s="23" t="n">
        <f aca="false">T62*$D62*$C$13*INDEX(Assumptions!$B$44:$B$46,MATCH($C62,Assumptions!$A$44:$A$46,0))+IF(T$45&gt;=$G62,INDEX(Assumptions!$C$44:$C$46,MATCH($C62,Assumptions!$A$44:$A$46,0)),0)+IF($C62="Assured",T62*$D62*$C$13*$C$26*$C$27*$C$28,0)</f>
        <v>17201.82</v>
      </c>
      <c r="U84" s="23" t="n">
        <f aca="false">U62*$D62*$C$13*INDEX(Assumptions!$B$44:$B$46,MATCH($C62,Assumptions!$A$44:$A$46,0))+IF(U$45&gt;=$G62,INDEX(Assumptions!$C$44:$C$46,MATCH($C62,Assumptions!$A$44:$A$46,0)),0)+IF($C62="Assured",U62*$D62*$C$13*$C$26*$C$27*$C$28,0)</f>
        <v>19369.245</v>
      </c>
      <c r="V84" s="23" t="n">
        <f aca="false">V62*$D62*$C$13*INDEX(Assumptions!$B$44:$B$46,MATCH($C62,Assumptions!$A$44:$A$46,0))+IF(V$45&gt;=$G62,INDEX(Assumptions!$C$44:$C$46,MATCH($C62,Assumptions!$A$44:$A$46,0)),0)+IF($C62="Assured",V62*$D62*$C$13*$C$26*$C$27*$C$28,0)</f>
        <v>20669.7</v>
      </c>
      <c r="W84" s="23" t="n">
        <f aca="false">W62*$D62*$C$13*INDEX(Assumptions!$B$44:$B$46,MATCH($C62,Assumptions!$A$44:$A$46,0))+IF(W$45&gt;=$G62,INDEX(Assumptions!$C$44:$C$46,MATCH($C62,Assumptions!$A$44:$A$46,0)),0)+IF($C62="Assured",W62*$D62*$C$13*$C$26*$C$27*$C$28,0)</f>
        <v>20669.7</v>
      </c>
      <c r="X84" s="23" t="n">
        <f aca="false">X62*$D62*$C$13*INDEX(Assumptions!$B$44:$B$46,MATCH($C62,Assumptions!$A$44:$A$46,0))+IF(X$45&gt;=$G62,INDEX(Assumptions!$C$44:$C$46,MATCH($C62,Assumptions!$A$44:$A$46,0)),0)+IF($C62="Assured",X62*$D62*$C$13*$C$26*$C$27*$C$28,0)</f>
        <v>20669.7</v>
      </c>
      <c r="Y84" s="23" t="n">
        <f aca="false">Y62*$D62*$C$13*INDEX(Assumptions!$B$44:$B$46,MATCH($C62,Assumptions!$A$44:$A$46,0))+IF(Y$45&gt;=$G62,INDEX(Assumptions!$C$44:$C$46,MATCH($C62,Assumptions!$A$44:$A$46,0)),0)+IF($C62="Assured",Y62*$D62*$C$13*$C$26*$C$27*$C$28,0)</f>
        <v>20669.7</v>
      </c>
    </row>
    <row r="85" customFormat="false" ht="15" hidden="false" customHeight="false" outlineLevel="0" collapsed="false">
      <c r="A85" s="2" t="n">
        <f aca="false">A63</f>
        <v>16</v>
      </c>
      <c r="B85" s="2" t="str">
        <f aca="false">B63</f>
        <v>B</v>
      </c>
      <c r="C85" s="2" t="str">
        <f aca="false">C63</f>
        <v>Connect</v>
      </c>
      <c r="D85" s="2"/>
      <c r="E85" s="2"/>
      <c r="F85" s="2"/>
      <c r="G85" s="2"/>
      <c r="H85" s="23" t="n">
        <f aca="false">H63*$D63*$C$13*INDEX(Assumptions!$B$44:$B$46,MATCH($C63,Assumptions!$A$44:$A$46,0))+IF(H$45&gt;=$G63,INDEX(Assumptions!$C$44:$C$46,MATCH($C63,Assumptions!$A$44:$A$46,0)),0)+IF($C63="Assured",H63*$D63*$C$13*$C$26*$C$27*$C$28,0)</f>
        <v>0</v>
      </c>
      <c r="I85" s="23" t="n">
        <f aca="false">I63*$D63*$C$13*INDEX(Assumptions!$B$44:$B$46,MATCH($C63,Assumptions!$A$44:$A$46,0))+IF(I$45&gt;=$G63,INDEX(Assumptions!$C$44:$C$46,MATCH($C63,Assumptions!$A$44:$A$46,0)),0)+IF($C63="Assured",I63*$D63*$C$13*$C$26*$C$27*$C$28,0)</f>
        <v>0</v>
      </c>
      <c r="J85" s="23" t="n">
        <f aca="false">J63*$D63*$C$13*INDEX(Assumptions!$B$44:$B$46,MATCH($C63,Assumptions!$A$44:$A$46,0))+IF(J$45&gt;=$G63,INDEX(Assumptions!$C$44:$C$46,MATCH($C63,Assumptions!$A$44:$A$46,0)),0)+IF($C63="Assured",J63*$D63*$C$13*$C$26*$C$27*$C$28,0)</f>
        <v>0</v>
      </c>
      <c r="K85" s="23" t="n">
        <f aca="false">K63*$D63*$C$13*INDEX(Assumptions!$B$44:$B$46,MATCH($C63,Assumptions!$A$44:$A$46,0))+IF(K$45&gt;=$G63,INDEX(Assumptions!$C$44:$C$46,MATCH($C63,Assumptions!$A$44:$A$46,0)),0)+IF($C63="Assured",K63*$D63*$C$13*$C$26*$C$27*$C$28,0)</f>
        <v>0</v>
      </c>
      <c r="L85" s="23" t="n">
        <f aca="false">L63*$D63*$C$13*INDEX(Assumptions!$B$44:$B$46,MATCH($C63,Assumptions!$A$44:$A$46,0))+IF(L$45&gt;=$G63,INDEX(Assumptions!$C$44:$C$46,MATCH($C63,Assumptions!$A$44:$A$46,0)),0)+IF($C63="Assured",L63*$D63*$C$13*$C$26*$C$27*$C$28,0)</f>
        <v>0</v>
      </c>
      <c r="M85" s="23" t="n">
        <f aca="false">M63*$D63*$C$13*INDEX(Assumptions!$B$44:$B$46,MATCH($C63,Assumptions!$A$44:$A$46,0))+IF(M$45&gt;=$G63,INDEX(Assumptions!$C$44:$C$46,MATCH($C63,Assumptions!$A$44:$A$46,0)),0)+IF($C63="Assured",M63*$D63*$C$13*$C$26*$C$27*$C$28,0)</f>
        <v>0</v>
      </c>
      <c r="N85" s="23" t="n">
        <f aca="false">N63*$D63*$C$13*INDEX(Assumptions!$B$44:$B$46,MATCH($C63,Assumptions!$A$44:$A$46,0))+IF(N$45&gt;=$G63,INDEX(Assumptions!$C$44:$C$46,MATCH($C63,Assumptions!$A$44:$A$46,0)),0)+IF($C63="Assured",N63*$D63*$C$13*$C$26*$C$27*$C$28,0)</f>
        <v>0</v>
      </c>
      <c r="O85" s="23" t="n">
        <f aca="false">O63*$D63*$C$13*INDEX(Assumptions!$B$44:$B$46,MATCH($C63,Assumptions!$A$44:$A$46,0))+IF(O$45&gt;=$G63,INDEX(Assumptions!$C$44:$C$46,MATCH($C63,Assumptions!$A$44:$A$46,0)),0)+IF($C63="Assured",O63*$D63*$C$13*$C$26*$C$27*$C$28,0)</f>
        <v>0</v>
      </c>
      <c r="P85" s="23" t="n">
        <f aca="false">P63*$D63*$C$13*INDEX(Assumptions!$B$44:$B$46,MATCH($C63,Assumptions!$A$44:$A$46,0))+IF(P$45&gt;=$G63,INDEX(Assumptions!$C$44:$C$46,MATCH($C63,Assumptions!$A$44:$A$46,0)),0)+IF($C63="Assured",P63*$D63*$C$13*$C$26*$C$27*$C$28,0)</f>
        <v>0</v>
      </c>
      <c r="Q85" s="23" t="n">
        <f aca="false">Q63*$D63*$C$13*INDEX(Assumptions!$B$44:$B$46,MATCH($C63,Assumptions!$A$44:$A$46,0))+IF(Q$45&gt;=$G63,INDEX(Assumptions!$C$44:$C$46,MATCH($C63,Assumptions!$A$44:$A$46,0)),0)+IF($C63="Assured",Q63*$D63*$C$13*$C$26*$C$27*$C$28,0)</f>
        <v>0</v>
      </c>
      <c r="R85" s="23" t="n">
        <f aca="false">R63*$D63*$C$13*INDEX(Assumptions!$B$44:$B$46,MATCH($C63,Assumptions!$A$44:$A$46,0))+IF(R$45&gt;=$G63,INDEX(Assumptions!$C$44:$C$46,MATCH($C63,Assumptions!$A$44:$A$46,0)),0)+IF($C63="Assured",R63*$D63*$C$13*$C$26*$C$27*$C$28,0)</f>
        <v>0</v>
      </c>
      <c r="S85" s="23" t="n">
        <f aca="false">S63*$D63*$C$13*INDEX(Assumptions!$B$44:$B$46,MATCH($C63,Assumptions!$A$44:$A$46,0))+IF(S$45&gt;=$G63,INDEX(Assumptions!$C$44:$C$46,MATCH($C63,Assumptions!$A$44:$A$46,0)),0)+IF($C63="Assured",S63*$D63*$C$13*$C$26*$C$27*$C$28,0)</f>
        <v>0</v>
      </c>
      <c r="T85" s="23" t="n">
        <f aca="false">T63*$D63*$C$13*INDEX(Assumptions!$B$44:$B$46,MATCH($C63,Assumptions!$A$44:$A$46,0))+IF(T$45&gt;=$G63,INDEX(Assumptions!$C$44:$C$46,MATCH($C63,Assumptions!$A$44:$A$46,0)),0)+IF($C63="Assured",T63*$D63*$C$13*$C$26*$C$27*$C$28,0)</f>
        <v>14600.91</v>
      </c>
      <c r="U85" s="23" t="n">
        <f aca="false">U63*$D63*$C$13*INDEX(Assumptions!$B$44:$B$46,MATCH($C63,Assumptions!$A$44:$A$46,0))+IF(U$45&gt;=$G63,INDEX(Assumptions!$C$44:$C$46,MATCH($C63,Assumptions!$A$44:$A$46,0)),0)+IF($C63="Assured",U63*$D63*$C$13*$C$26*$C$27*$C$28,0)</f>
        <v>17201.82</v>
      </c>
      <c r="V85" s="23" t="n">
        <f aca="false">V63*$D63*$C$13*INDEX(Assumptions!$B$44:$B$46,MATCH($C63,Assumptions!$A$44:$A$46,0))+IF(V$45&gt;=$G63,INDEX(Assumptions!$C$44:$C$46,MATCH($C63,Assumptions!$A$44:$A$46,0)),0)+IF($C63="Assured",V63*$D63*$C$13*$C$26*$C$27*$C$28,0)</f>
        <v>19369.245</v>
      </c>
      <c r="W85" s="23" t="n">
        <f aca="false">W63*$D63*$C$13*INDEX(Assumptions!$B$44:$B$46,MATCH($C63,Assumptions!$A$44:$A$46,0))+IF(W$45&gt;=$G63,INDEX(Assumptions!$C$44:$C$46,MATCH($C63,Assumptions!$A$44:$A$46,0)),0)+IF($C63="Assured",W63*$D63*$C$13*$C$26*$C$27*$C$28,0)</f>
        <v>20669.7</v>
      </c>
      <c r="X85" s="23" t="n">
        <f aca="false">X63*$D63*$C$13*INDEX(Assumptions!$B$44:$B$46,MATCH($C63,Assumptions!$A$44:$A$46,0))+IF(X$45&gt;=$G63,INDEX(Assumptions!$C$44:$C$46,MATCH($C63,Assumptions!$A$44:$A$46,0)),0)+IF($C63="Assured",X63*$D63*$C$13*$C$26*$C$27*$C$28,0)</f>
        <v>20669.7</v>
      </c>
      <c r="Y85" s="23" t="n">
        <f aca="false">Y63*$D63*$C$13*INDEX(Assumptions!$B$44:$B$46,MATCH($C63,Assumptions!$A$44:$A$46,0))+IF(Y$45&gt;=$G63,INDEX(Assumptions!$C$44:$C$46,MATCH($C63,Assumptions!$A$44:$A$46,0)),0)+IF($C63="Assured",Y63*$D63*$C$13*$C$26*$C$27*$C$28,0)</f>
        <v>20669.7</v>
      </c>
    </row>
    <row r="86" customFormat="false" ht="15" hidden="false" customHeight="false" outlineLevel="0" collapsed="false">
      <c r="A86" s="2" t="n">
        <f aca="false">A64</f>
        <v>17</v>
      </c>
      <c r="B86" s="2" t="str">
        <f aca="false">B64</f>
        <v>B</v>
      </c>
      <c r="C86" s="2" t="str">
        <f aca="false">C64</f>
        <v>Verified</v>
      </c>
      <c r="D86" s="2"/>
      <c r="E86" s="2"/>
      <c r="F86" s="2"/>
      <c r="G86" s="2"/>
      <c r="H86" s="23" t="n">
        <f aca="false">H64*$D64*$C$13*INDEX(Assumptions!$B$44:$B$46,MATCH($C64,Assumptions!$A$44:$A$46,0))+IF(H$45&gt;=$G64,INDEX(Assumptions!$C$44:$C$46,MATCH($C64,Assumptions!$A$44:$A$46,0)),0)+IF($C64="Assured",H64*$D64*$C$13*$C$26*$C$27*$C$28,0)</f>
        <v>0</v>
      </c>
      <c r="I86" s="23" t="n">
        <f aca="false">I64*$D64*$C$13*INDEX(Assumptions!$B$44:$B$46,MATCH($C64,Assumptions!$A$44:$A$46,0))+IF(I$45&gt;=$G64,INDEX(Assumptions!$C$44:$C$46,MATCH($C64,Assumptions!$A$44:$A$46,0)),0)+IF($C64="Assured",I64*$D64*$C$13*$C$26*$C$27*$C$28,0)</f>
        <v>0</v>
      </c>
      <c r="J86" s="23" t="n">
        <f aca="false">J64*$D64*$C$13*INDEX(Assumptions!$B$44:$B$46,MATCH($C64,Assumptions!$A$44:$A$46,0))+IF(J$45&gt;=$G64,INDEX(Assumptions!$C$44:$C$46,MATCH($C64,Assumptions!$A$44:$A$46,0)),0)+IF($C64="Assured",J64*$D64*$C$13*$C$26*$C$27*$C$28,0)</f>
        <v>0</v>
      </c>
      <c r="K86" s="23" t="n">
        <f aca="false">K64*$D64*$C$13*INDEX(Assumptions!$B$44:$B$46,MATCH($C64,Assumptions!$A$44:$A$46,0))+IF(K$45&gt;=$G64,INDEX(Assumptions!$C$44:$C$46,MATCH($C64,Assumptions!$A$44:$A$46,0)),0)+IF($C64="Assured",K64*$D64*$C$13*$C$26*$C$27*$C$28,0)</f>
        <v>0</v>
      </c>
      <c r="L86" s="23" t="n">
        <f aca="false">L64*$D64*$C$13*INDEX(Assumptions!$B$44:$B$46,MATCH($C64,Assumptions!$A$44:$A$46,0))+IF(L$45&gt;=$G64,INDEX(Assumptions!$C$44:$C$46,MATCH($C64,Assumptions!$A$44:$A$46,0)),0)+IF($C64="Assured",L64*$D64*$C$13*$C$26*$C$27*$C$28,0)</f>
        <v>0</v>
      </c>
      <c r="M86" s="23" t="n">
        <f aca="false">M64*$D64*$C$13*INDEX(Assumptions!$B$44:$B$46,MATCH($C64,Assumptions!$A$44:$A$46,0))+IF(M$45&gt;=$G64,INDEX(Assumptions!$C$44:$C$46,MATCH($C64,Assumptions!$A$44:$A$46,0)),0)+IF($C64="Assured",M64*$D64*$C$13*$C$26*$C$27*$C$28,0)</f>
        <v>0</v>
      </c>
      <c r="N86" s="23" t="n">
        <f aca="false">N64*$D64*$C$13*INDEX(Assumptions!$B$44:$B$46,MATCH($C64,Assumptions!$A$44:$A$46,0))+IF(N$45&gt;=$G64,INDEX(Assumptions!$C$44:$C$46,MATCH($C64,Assumptions!$A$44:$A$46,0)),0)+IF($C64="Assured",N64*$D64*$C$13*$C$26*$C$27*$C$28,0)</f>
        <v>0</v>
      </c>
      <c r="O86" s="23" t="n">
        <f aca="false">O64*$D64*$C$13*INDEX(Assumptions!$B$44:$B$46,MATCH($C64,Assumptions!$A$44:$A$46,0))+IF(O$45&gt;=$G64,INDEX(Assumptions!$C$44:$C$46,MATCH($C64,Assumptions!$A$44:$A$46,0)),0)+IF($C64="Assured",O64*$D64*$C$13*$C$26*$C$27*$C$28,0)</f>
        <v>0</v>
      </c>
      <c r="P86" s="23" t="n">
        <f aca="false">P64*$D64*$C$13*INDEX(Assumptions!$B$44:$B$46,MATCH($C64,Assumptions!$A$44:$A$46,0))+IF(P$45&gt;=$G64,INDEX(Assumptions!$C$44:$C$46,MATCH($C64,Assumptions!$A$44:$A$46,0)),0)+IF($C64="Assured",P64*$D64*$C$13*$C$26*$C$27*$C$28,0)</f>
        <v>0</v>
      </c>
      <c r="Q86" s="23" t="n">
        <f aca="false">Q64*$D64*$C$13*INDEX(Assumptions!$B$44:$B$46,MATCH($C64,Assumptions!$A$44:$A$46,0))+IF(Q$45&gt;=$G64,INDEX(Assumptions!$C$44:$C$46,MATCH($C64,Assumptions!$A$44:$A$46,0)),0)+IF($C64="Assured",Q64*$D64*$C$13*$C$26*$C$27*$C$28,0)</f>
        <v>0</v>
      </c>
      <c r="R86" s="23" t="n">
        <f aca="false">R64*$D64*$C$13*INDEX(Assumptions!$B$44:$B$46,MATCH($C64,Assumptions!$A$44:$A$46,0))+IF(R$45&gt;=$G64,INDEX(Assumptions!$C$44:$C$46,MATCH($C64,Assumptions!$A$44:$A$46,0)),0)+IF($C64="Assured",R64*$D64*$C$13*$C$26*$C$27*$C$28,0)</f>
        <v>0</v>
      </c>
      <c r="S86" s="23" t="n">
        <f aca="false">S64*$D64*$C$13*INDEX(Assumptions!$B$44:$B$46,MATCH($C64,Assumptions!$A$44:$A$46,0))+IF(S$45&gt;=$G64,INDEX(Assumptions!$C$44:$C$46,MATCH($C64,Assumptions!$A$44:$A$46,0)),0)+IF($C64="Assured",S64*$D64*$C$13*$C$26*$C$27*$C$28,0)</f>
        <v>0</v>
      </c>
      <c r="T86" s="23" t="n">
        <f aca="false">T64*$D64*$C$13*INDEX(Assumptions!$B$44:$B$46,MATCH($C64,Assumptions!$A$44:$A$46,0))+IF(T$45&gt;=$G64,INDEX(Assumptions!$C$44:$C$46,MATCH($C64,Assumptions!$A$44:$A$46,0)),0)+IF($C64="Assured",T64*$D64*$C$13*$C$26*$C$27*$C$28,0)</f>
        <v>0</v>
      </c>
      <c r="U86" s="23" t="n">
        <f aca="false">U64*$D64*$C$13*INDEX(Assumptions!$B$44:$B$46,MATCH($C64,Assumptions!$A$44:$A$46,0))+IF(U$45&gt;=$G64,INDEX(Assumptions!$C$44:$C$46,MATCH($C64,Assumptions!$A$44:$A$46,0)),0)+IF($C64="Assured",U64*$D64*$C$13*$C$26*$C$27*$C$28,0)</f>
        <v>5852.0475</v>
      </c>
      <c r="V86" s="23" t="n">
        <f aca="false">V64*$D64*$C$13*INDEX(Assumptions!$B$44:$B$46,MATCH($C64,Assumptions!$A$44:$A$46,0))+IF(V$45&gt;=$G64,INDEX(Assumptions!$C$44:$C$46,MATCH($C64,Assumptions!$A$44:$A$46,0)),0)+IF($C64="Assured",V64*$D64*$C$13*$C$26*$C$27*$C$28,0)</f>
        <v>11704.095</v>
      </c>
      <c r="W86" s="23" t="n">
        <f aca="false">W64*$D64*$C$13*INDEX(Assumptions!$B$44:$B$46,MATCH($C64,Assumptions!$A$44:$A$46,0))+IF(W$45&gt;=$G64,INDEX(Assumptions!$C$44:$C$46,MATCH($C64,Assumptions!$A$44:$A$46,0)),0)+IF($C64="Assured",W64*$D64*$C$13*$C$26*$C$27*$C$28,0)</f>
        <v>16580.80125</v>
      </c>
      <c r="X86" s="23" t="n">
        <f aca="false">X64*$D64*$C$13*INDEX(Assumptions!$B$44:$B$46,MATCH($C64,Assumptions!$A$44:$A$46,0))+IF(X$45&gt;=$G64,INDEX(Assumptions!$C$44:$C$46,MATCH($C64,Assumptions!$A$44:$A$46,0)),0)+IF($C64="Assured",X64*$D64*$C$13*$C$26*$C$27*$C$28,0)</f>
        <v>19506.825</v>
      </c>
      <c r="Y86" s="23" t="n">
        <f aca="false">Y64*$D64*$C$13*INDEX(Assumptions!$B$44:$B$46,MATCH($C64,Assumptions!$A$44:$A$46,0))+IF(Y$45&gt;=$G64,INDEX(Assumptions!$C$44:$C$46,MATCH($C64,Assumptions!$A$44:$A$46,0)),0)+IF($C64="Assured",Y64*$D64*$C$13*$C$26*$C$27*$C$28,0)</f>
        <v>19506.825</v>
      </c>
    </row>
    <row r="87" customFormat="false" ht="15" hidden="false" customHeight="false" outlineLevel="0" collapsed="false">
      <c r="A87" s="2" t="n">
        <f aca="false">A65</f>
        <v>18</v>
      </c>
      <c r="B87" s="2" t="str">
        <f aca="false">B65</f>
        <v>B</v>
      </c>
      <c r="C87" s="2" t="str">
        <f aca="false">C65</f>
        <v>Verified</v>
      </c>
      <c r="D87" s="2"/>
      <c r="E87" s="2"/>
      <c r="F87" s="2"/>
      <c r="G87" s="2"/>
      <c r="H87" s="23" t="n">
        <f aca="false">H65*$D65*$C$13*INDEX(Assumptions!$B$44:$B$46,MATCH($C65,Assumptions!$A$44:$A$46,0))+IF(H$45&gt;=$G65,INDEX(Assumptions!$C$44:$C$46,MATCH($C65,Assumptions!$A$44:$A$46,0)),0)+IF($C65="Assured",H65*$D65*$C$13*$C$26*$C$27*$C$28,0)</f>
        <v>0</v>
      </c>
      <c r="I87" s="23" t="n">
        <f aca="false">I65*$D65*$C$13*INDEX(Assumptions!$B$44:$B$46,MATCH($C65,Assumptions!$A$44:$A$46,0))+IF(I$45&gt;=$G65,INDEX(Assumptions!$C$44:$C$46,MATCH($C65,Assumptions!$A$44:$A$46,0)),0)+IF($C65="Assured",I65*$D65*$C$13*$C$26*$C$27*$C$28,0)</f>
        <v>0</v>
      </c>
      <c r="J87" s="23" t="n">
        <f aca="false">J65*$D65*$C$13*INDEX(Assumptions!$B$44:$B$46,MATCH($C65,Assumptions!$A$44:$A$46,0))+IF(J$45&gt;=$G65,INDEX(Assumptions!$C$44:$C$46,MATCH($C65,Assumptions!$A$44:$A$46,0)),0)+IF($C65="Assured",J65*$D65*$C$13*$C$26*$C$27*$C$28,0)</f>
        <v>0</v>
      </c>
      <c r="K87" s="23" t="n">
        <f aca="false">K65*$D65*$C$13*INDEX(Assumptions!$B$44:$B$46,MATCH($C65,Assumptions!$A$44:$A$46,0))+IF(K$45&gt;=$G65,INDEX(Assumptions!$C$44:$C$46,MATCH($C65,Assumptions!$A$44:$A$46,0)),0)+IF($C65="Assured",K65*$D65*$C$13*$C$26*$C$27*$C$28,0)</f>
        <v>0</v>
      </c>
      <c r="L87" s="23" t="n">
        <f aca="false">L65*$D65*$C$13*INDEX(Assumptions!$B$44:$B$46,MATCH($C65,Assumptions!$A$44:$A$46,0))+IF(L$45&gt;=$G65,INDEX(Assumptions!$C$44:$C$46,MATCH($C65,Assumptions!$A$44:$A$46,0)),0)+IF($C65="Assured",L65*$D65*$C$13*$C$26*$C$27*$C$28,0)</f>
        <v>0</v>
      </c>
      <c r="M87" s="23" t="n">
        <f aca="false">M65*$D65*$C$13*INDEX(Assumptions!$B$44:$B$46,MATCH($C65,Assumptions!$A$44:$A$46,0))+IF(M$45&gt;=$G65,INDEX(Assumptions!$C$44:$C$46,MATCH($C65,Assumptions!$A$44:$A$46,0)),0)+IF($C65="Assured",M65*$D65*$C$13*$C$26*$C$27*$C$28,0)</f>
        <v>0</v>
      </c>
      <c r="N87" s="23" t="n">
        <f aca="false">N65*$D65*$C$13*INDEX(Assumptions!$B$44:$B$46,MATCH($C65,Assumptions!$A$44:$A$46,0))+IF(N$45&gt;=$G65,INDEX(Assumptions!$C$44:$C$46,MATCH($C65,Assumptions!$A$44:$A$46,0)),0)+IF($C65="Assured",N65*$D65*$C$13*$C$26*$C$27*$C$28,0)</f>
        <v>0</v>
      </c>
      <c r="O87" s="23" t="n">
        <f aca="false">O65*$D65*$C$13*INDEX(Assumptions!$B$44:$B$46,MATCH($C65,Assumptions!$A$44:$A$46,0))+IF(O$45&gt;=$G65,INDEX(Assumptions!$C$44:$C$46,MATCH($C65,Assumptions!$A$44:$A$46,0)),0)+IF($C65="Assured",O65*$D65*$C$13*$C$26*$C$27*$C$28,0)</f>
        <v>0</v>
      </c>
      <c r="P87" s="23" t="n">
        <f aca="false">P65*$D65*$C$13*INDEX(Assumptions!$B$44:$B$46,MATCH($C65,Assumptions!$A$44:$A$46,0))+IF(P$45&gt;=$G65,INDEX(Assumptions!$C$44:$C$46,MATCH($C65,Assumptions!$A$44:$A$46,0)),0)+IF($C65="Assured",P65*$D65*$C$13*$C$26*$C$27*$C$28,0)</f>
        <v>0</v>
      </c>
      <c r="Q87" s="23" t="n">
        <f aca="false">Q65*$D65*$C$13*INDEX(Assumptions!$B$44:$B$46,MATCH($C65,Assumptions!$A$44:$A$46,0))+IF(Q$45&gt;=$G65,INDEX(Assumptions!$C$44:$C$46,MATCH($C65,Assumptions!$A$44:$A$46,0)),0)+IF($C65="Assured",Q65*$D65*$C$13*$C$26*$C$27*$C$28,0)</f>
        <v>0</v>
      </c>
      <c r="R87" s="23" t="n">
        <f aca="false">R65*$D65*$C$13*INDEX(Assumptions!$B$44:$B$46,MATCH($C65,Assumptions!$A$44:$A$46,0))+IF(R$45&gt;=$G65,INDEX(Assumptions!$C$44:$C$46,MATCH($C65,Assumptions!$A$44:$A$46,0)),0)+IF($C65="Assured",R65*$D65*$C$13*$C$26*$C$27*$C$28,0)</f>
        <v>0</v>
      </c>
      <c r="S87" s="23" t="n">
        <f aca="false">S65*$D65*$C$13*INDEX(Assumptions!$B$44:$B$46,MATCH($C65,Assumptions!$A$44:$A$46,0))+IF(S$45&gt;=$G65,INDEX(Assumptions!$C$44:$C$46,MATCH($C65,Assumptions!$A$44:$A$46,0)),0)+IF($C65="Assured",S65*$D65*$C$13*$C$26*$C$27*$C$28,0)</f>
        <v>0</v>
      </c>
      <c r="T87" s="23" t="n">
        <f aca="false">T65*$D65*$C$13*INDEX(Assumptions!$B$44:$B$46,MATCH($C65,Assumptions!$A$44:$A$46,0))+IF(T$45&gt;=$G65,INDEX(Assumptions!$C$44:$C$46,MATCH($C65,Assumptions!$A$44:$A$46,0)),0)+IF($C65="Assured",T65*$D65*$C$13*$C$26*$C$27*$C$28,0)</f>
        <v>0</v>
      </c>
      <c r="U87" s="23" t="n">
        <f aca="false">U65*$D65*$C$13*INDEX(Assumptions!$B$44:$B$46,MATCH($C65,Assumptions!$A$44:$A$46,0))+IF(U$45&gt;=$G65,INDEX(Assumptions!$C$44:$C$46,MATCH($C65,Assumptions!$A$44:$A$46,0)),0)+IF($C65="Assured",U65*$D65*$C$13*$C$26*$C$27*$C$28,0)</f>
        <v>0</v>
      </c>
      <c r="V87" s="23" t="n">
        <f aca="false">V65*$D65*$C$13*INDEX(Assumptions!$B$44:$B$46,MATCH($C65,Assumptions!$A$44:$A$46,0))+IF(V$45&gt;=$G65,INDEX(Assumptions!$C$44:$C$46,MATCH($C65,Assumptions!$A$44:$A$46,0)),0)+IF($C65="Assured",V65*$D65*$C$13*$C$26*$C$27*$C$28,0)</f>
        <v>5852.0475</v>
      </c>
      <c r="W87" s="23" t="n">
        <f aca="false">W65*$D65*$C$13*INDEX(Assumptions!$B$44:$B$46,MATCH($C65,Assumptions!$A$44:$A$46,0))+IF(W$45&gt;=$G65,INDEX(Assumptions!$C$44:$C$46,MATCH($C65,Assumptions!$A$44:$A$46,0)),0)+IF($C65="Assured",W65*$D65*$C$13*$C$26*$C$27*$C$28,0)</f>
        <v>11704.095</v>
      </c>
      <c r="X87" s="23" t="n">
        <f aca="false">X65*$D65*$C$13*INDEX(Assumptions!$B$44:$B$46,MATCH($C65,Assumptions!$A$44:$A$46,0))+IF(X$45&gt;=$G65,INDEX(Assumptions!$C$44:$C$46,MATCH($C65,Assumptions!$A$44:$A$46,0)),0)+IF($C65="Assured",X65*$D65*$C$13*$C$26*$C$27*$C$28,0)</f>
        <v>16580.80125</v>
      </c>
      <c r="Y87" s="23" t="n">
        <f aca="false">Y65*$D65*$C$13*INDEX(Assumptions!$B$44:$B$46,MATCH($C65,Assumptions!$A$44:$A$46,0))+IF(Y$45&gt;=$G65,INDEX(Assumptions!$C$44:$C$46,MATCH($C65,Assumptions!$A$44:$A$46,0)),0)+IF($C65="Assured",Y65*$D65*$C$13*$C$26*$C$27*$C$28,0)</f>
        <v>19506.825</v>
      </c>
    </row>
    <row r="88" customFormat="false" ht="15" hidden="false" customHeight="false" outlineLevel="0" collapsed="false">
      <c r="A88" s="2" t="n">
        <f aca="false">A66</f>
        <v>19</v>
      </c>
      <c r="B88" s="2" t="str">
        <f aca="false">B66</f>
        <v>B</v>
      </c>
      <c r="C88" s="2" t="str">
        <f aca="false">C66</f>
        <v>Verified</v>
      </c>
      <c r="D88" s="2"/>
      <c r="E88" s="2"/>
      <c r="F88" s="2"/>
      <c r="G88" s="2"/>
      <c r="H88" s="23" t="n">
        <f aca="false">H66*$D66*$C$13*INDEX(Assumptions!$B$44:$B$46,MATCH($C66,Assumptions!$A$44:$A$46,0))+IF(H$45&gt;=$G66,INDEX(Assumptions!$C$44:$C$46,MATCH($C66,Assumptions!$A$44:$A$46,0)),0)+IF($C66="Assured",H66*$D66*$C$13*$C$26*$C$27*$C$28,0)</f>
        <v>0</v>
      </c>
      <c r="I88" s="23" t="n">
        <f aca="false">I66*$D66*$C$13*INDEX(Assumptions!$B$44:$B$46,MATCH($C66,Assumptions!$A$44:$A$46,0))+IF(I$45&gt;=$G66,INDEX(Assumptions!$C$44:$C$46,MATCH($C66,Assumptions!$A$44:$A$46,0)),0)+IF($C66="Assured",I66*$D66*$C$13*$C$26*$C$27*$C$28,0)</f>
        <v>0</v>
      </c>
      <c r="J88" s="23" t="n">
        <f aca="false">J66*$D66*$C$13*INDEX(Assumptions!$B$44:$B$46,MATCH($C66,Assumptions!$A$44:$A$46,0))+IF(J$45&gt;=$G66,INDEX(Assumptions!$C$44:$C$46,MATCH($C66,Assumptions!$A$44:$A$46,0)),0)+IF($C66="Assured",J66*$D66*$C$13*$C$26*$C$27*$C$28,0)</f>
        <v>0</v>
      </c>
      <c r="K88" s="23" t="n">
        <f aca="false">K66*$D66*$C$13*INDEX(Assumptions!$B$44:$B$46,MATCH($C66,Assumptions!$A$44:$A$46,0))+IF(K$45&gt;=$G66,INDEX(Assumptions!$C$44:$C$46,MATCH($C66,Assumptions!$A$44:$A$46,0)),0)+IF($C66="Assured",K66*$D66*$C$13*$C$26*$C$27*$C$28,0)</f>
        <v>0</v>
      </c>
      <c r="L88" s="23" t="n">
        <f aca="false">L66*$D66*$C$13*INDEX(Assumptions!$B$44:$B$46,MATCH($C66,Assumptions!$A$44:$A$46,0))+IF(L$45&gt;=$G66,INDEX(Assumptions!$C$44:$C$46,MATCH($C66,Assumptions!$A$44:$A$46,0)),0)+IF($C66="Assured",L66*$D66*$C$13*$C$26*$C$27*$C$28,0)</f>
        <v>0</v>
      </c>
      <c r="M88" s="23" t="n">
        <f aca="false">M66*$D66*$C$13*INDEX(Assumptions!$B$44:$B$46,MATCH($C66,Assumptions!$A$44:$A$46,0))+IF(M$45&gt;=$G66,INDEX(Assumptions!$C$44:$C$46,MATCH($C66,Assumptions!$A$44:$A$46,0)),0)+IF($C66="Assured",M66*$D66*$C$13*$C$26*$C$27*$C$28,0)</f>
        <v>0</v>
      </c>
      <c r="N88" s="23" t="n">
        <f aca="false">N66*$D66*$C$13*INDEX(Assumptions!$B$44:$B$46,MATCH($C66,Assumptions!$A$44:$A$46,0))+IF(N$45&gt;=$G66,INDEX(Assumptions!$C$44:$C$46,MATCH($C66,Assumptions!$A$44:$A$46,0)),0)+IF($C66="Assured",N66*$D66*$C$13*$C$26*$C$27*$C$28,0)</f>
        <v>0</v>
      </c>
      <c r="O88" s="23" t="n">
        <f aca="false">O66*$D66*$C$13*INDEX(Assumptions!$B$44:$B$46,MATCH($C66,Assumptions!$A$44:$A$46,0))+IF(O$45&gt;=$G66,INDEX(Assumptions!$C$44:$C$46,MATCH($C66,Assumptions!$A$44:$A$46,0)),0)+IF($C66="Assured",O66*$D66*$C$13*$C$26*$C$27*$C$28,0)</f>
        <v>0</v>
      </c>
      <c r="P88" s="23" t="n">
        <f aca="false">P66*$D66*$C$13*INDEX(Assumptions!$B$44:$B$46,MATCH($C66,Assumptions!$A$44:$A$46,0))+IF(P$45&gt;=$G66,INDEX(Assumptions!$C$44:$C$46,MATCH($C66,Assumptions!$A$44:$A$46,0)),0)+IF($C66="Assured",P66*$D66*$C$13*$C$26*$C$27*$C$28,0)</f>
        <v>0</v>
      </c>
      <c r="Q88" s="23" t="n">
        <f aca="false">Q66*$D66*$C$13*INDEX(Assumptions!$B$44:$B$46,MATCH($C66,Assumptions!$A$44:$A$46,0))+IF(Q$45&gt;=$G66,INDEX(Assumptions!$C$44:$C$46,MATCH($C66,Assumptions!$A$44:$A$46,0)),0)+IF($C66="Assured",Q66*$D66*$C$13*$C$26*$C$27*$C$28,0)</f>
        <v>0</v>
      </c>
      <c r="R88" s="23" t="n">
        <f aca="false">R66*$D66*$C$13*INDEX(Assumptions!$B$44:$B$46,MATCH($C66,Assumptions!$A$44:$A$46,0))+IF(R$45&gt;=$G66,INDEX(Assumptions!$C$44:$C$46,MATCH($C66,Assumptions!$A$44:$A$46,0)),0)+IF($C66="Assured",R66*$D66*$C$13*$C$26*$C$27*$C$28,0)</f>
        <v>0</v>
      </c>
      <c r="S88" s="23" t="n">
        <f aca="false">S66*$D66*$C$13*INDEX(Assumptions!$B$44:$B$46,MATCH($C66,Assumptions!$A$44:$A$46,0))+IF(S$45&gt;=$G66,INDEX(Assumptions!$C$44:$C$46,MATCH($C66,Assumptions!$A$44:$A$46,0)),0)+IF($C66="Assured",S66*$D66*$C$13*$C$26*$C$27*$C$28,0)</f>
        <v>0</v>
      </c>
      <c r="T88" s="23" t="n">
        <f aca="false">T66*$D66*$C$13*INDEX(Assumptions!$B$44:$B$46,MATCH($C66,Assumptions!$A$44:$A$46,0))+IF(T$45&gt;=$G66,INDEX(Assumptions!$C$44:$C$46,MATCH($C66,Assumptions!$A$44:$A$46,0)),0)+IF($C66="Assured",T66*$D66*$C$13*$C$26*$C$27*$C$28,0)</f>
        <v>0</v>
      </c>
      <c r="U88" s="23" t="n">
        <f aca="false">U66*$D66*$C$13*INDEX(Assumptions!$B$44:$B$46,MATCH($C66,Assumptions!$A$44:$A$46,0))+IF(U$45&gt;=$G66,INDEX(Assumptions!$C$44:$C$46,MATCH($C66,Assumptions!$A$44:$A$46,0)),0)+IF($C66="Assured",U66*$D66*$C$13*$C$26*$C$27*$C$28,0)</f>
        <v>0</v>
      </c>
      <c r="V88" s="23" t="n">
        <f aca="false">V66*$D66*$C$13*INDEX(Assumptions!$B$44:$B$46,MATCH($C66,Assumptions!$A$44:$A$46,0))+IF(V$45&gt;=$G66,INDEX(Assumptions!$C$44:$C$46,MATCH($C66,Assumptions!$A$44:$A$46,0)),0)+IF($C66="Assured",V66*$D66*$C$13*$C$26*$C$27*$C$28,0)</f>
        <v>0</v>
      </c>
      <c r="W88" s="23" t="n">
        <f aca="false">W66*$D66*$C$13*INDEX(Assumptions!$B$44:$B$46,MATCH($C66,Assumptions!$A$44:$A$46,0))+IF(W$45&gt;=$G66,INDEX(Assumptions!$C$44:$C$46,MATCH($C66,Assumptions!$A$44:$A$46,0)),0)+IF($C66="Assured",W66*$D66*$C$13*$C$26*$C$27*$C$28,0)</f>
        <v>5852.0475</v>
      </c>
      <c r="X88" s="23" t="n">
        <f aca="false">X66*$D66*$C$13*INDEX(Assumptions!$B$44:$B$46,MATCH($C66,Assumptions!$A$44:$A$46,0))+IF(X$45&gt;=$G66,INDEX(Assumptions!$C$44:$C$46,MATCH($C66,Assumptions!$A$44:$A$46,0)),0)+IF($C66="Assured",X66*$D66*$C$13*$C$26*$C$27*$C$28,0)</f>
        <v>11704.095</v>
      </c>
      <c r="Y88" s="23" t="n">
        <f aca="false">Y66*$D66*$C$13*INDEX(Assumptions!$B$44:$B$46,MATCH($C66,Assumptions!$A$44:$A$46,0))+IF(Y$45&gt;=$G66,INDEX(Assumptions!$C$44:$C$46,MATCH($C66,Assumptions!$A$44:$A$46,0)),0)+IF($C66="Assured",Y66*$D66*$C$13*$C$26*$C$27*$C$28,0)</f>
        <v>16580.80125</v>
      </c>
    </row>
    <row r="89" customFormat="false" ht="15" hidden="false" customHeight="false" outlineLevel="0" collapsed="false">
      <c r="A89" s="2" t="n">
        <f aca="false">A67</f>
        <v>20</v>
      </c>
      <c r="B89" s="2" t="str">
        <f aca="false">B67</f>
        <v>B</v>
      </c>
      <c r="C89" s="2" t="str">
        <f aca="false">C67</f>
        <v>Verified</v>
      </c>
      <c r="D89" s="2"/>
      <c r="E89" s="2"/>
      <c r="F89" s="2"/>
      <c r="G89" s="2"/>
      <c r="H89" s="23" t="n">
        <f aca="false">H67*$D67*$C$13*INDEX(Assumptions!$B$44:$B$46,MATCH($C67,Assumptions!$A$44:$A$46,0))+IF(H$45&gt;=$G67,INDEX(Assumptions!$C$44:$C$46,MATCH($C67,Assumptions!$A$44:$A$46,0)),0)+IF($C67="Assured",H67*$D67*$C$13*$C$26*$C$27*$C$28,0)</f>
        <v>0</v>
      </c>
      <c r="I89" s="23" t="n">
        <f aca="false">I67*$D67*$C$13*INDEX(Assumptions!$B$44:$B$46,MATCH($C67,Assumptions!$A$44:$A$46,0))+IF(I$45&gt;=$G67,INDEX(Assumptions!$C$44:$C$46,MATCH($C67,Assumptions!$A$44:$A$46,0)),0)+IF($C67="Assured",I67*$D67*$C$13*$C$26*$C$27*$C$28,0)</f>
        <v>0</v>
      </c>
      <c r="J89" s="23" t="n">
        <f aca="false">J67*$D67*$C$13*INDEX(Assumptions!$B$44:$B$46,MATCH($C67,Assumptions!$A$44:$A$46,0))+IF(J$45&gt;=$G67,INDEX(Assumptions!$C$44:$C$46,MATCH($C67,Assumptions!$A$44:$A$46,0)),0)+IF($C67="Assured",J67*$D67*$C$13*$C$26*$C$27*$C$28,0)</f>
        <v>0</v>
      </c>
      <c r="K89" s="23" t="n">
        <f aca="false">K67*$D67*$C$13*INDEX(Assumptions!$B$44:$B$46,MATCH($C67,Assumptions!$A$44:$A$46,0))+IF(K$45&gt;=$G67,INDEX(Assumptions!$C$44:$C$46,MATCH($C67,Assumptions!$A$44:$A$46,0)),0)+IF($C67="Assured",K67*$D67*$C$13*$C$26*$C$27*$C$28,0)</f>
        <v>0</v>
      </c>
      <c r="L89" s="23" t="n">
        <f aca="false">L67*$D67*$C$13*INDEX(Assumptions!$B$44:$B$46,MATCH($C67,Assumptions!$A$44:$A$46,0))+IF(L$45&gt;=$G67,INDEX(Assumptions!$C$44:$C$46,MATCH($C67,Assumptions!$A$44:$A$46,0)),0)+IF($C67="Assured",L67*$D67*$C$13*$C$26*$C$27*$C$28,0)</f>
        <v>0</v>
      </c>
      <c r="M89" s="23" t="n">
        <f aca="false">M67*$D67*$C$13*INDEX(Assumptions!$B$44:$B$46,MATCH($C67,Assumptions!$A$44:$A$46,0))+IF(M$45&gt;=$G67,INDEX(Assumptions!$C$44:$C$46,MATCH($C67,Assumptions!$A$44:$A$46,0)),0)+IF($C67="Assured",M67*$D67*$C$13*$C$26*$C$27*$C$28,0)</f>
        <v>0</v>
      </c>
      <c r="N89" s="23" t="n">
        <f aca="false">N67*$D67*$C$13*INDEX(Assumptions!$B$44:$B$46,MATCH($C67,Assumptions!$A$44:$A$46,0))+IF(N$45&gt;=$G67,INDEX(Assumptions!$C$44:$C$46,MATCH($C67,Assumptions!$A$44:$A$46,0)),0)+IF($C67="Assured",N67*$D67*$C$13*$C$26*$C$27*$C$28,0)</f>
        <v>0</v>
      </c>
      <c r="O89" s="23" t="n">
        <f aca="false">O67*$D67*$C$13*INDEX(Assumptions!$B$44:$B$46,MATCH($C67,Assumptions!$A$44:$A$46,0))+IF(O$45&gt;=$G67,INDEX(Assumptions!$C$44:$C$46,MATCH($C67,Assumptions!$A$44:$A$46,0)),0)+IF($C67="Assured",O67*$D67*$C$13*$C$26*$C$27*$C$28,0)</f>
        <v>0</v>
      </c>
      <c r="P89" s="23" t="n">
        <f aca="false">P67*$D67*$C$13*INDEX(Assumptions!$B$44:$B$46,MATCH($C67,Assumptions!$A$44:$A$46,0))+IF(P$45&gt;=$G67,INDEX(Assumptions!$C$44:$C$46,MATCH($C67,Assumptions!$A$44:$A$46,0)),0)+IF($C67="Assured",P67*$D67*$C$13*$C$26*$C$27*$C$28,0)</f>
        <v>0</v>
      </c>
      <c r="Q89" s="23" t="n">
        <f aca="false">Q67*$D67*$C$13*INDEX(Assumptions!$B$44:$B$46,MATCH($C67,Assumptions!$A$44:$A$46,0))+IF(Q$45&gt;=$G67,INDEX(Assumptions!$C$44:$C$46,MATCH($C67,Assumptions!$A$44:$A$46,0)),0)+IF($C67="Assured",Q67*$D67*$C$13*$C$26*$C$27*$C$28,0)</f>
        <v>0</v>
      </c>
      <c r="R89" s="23" t="n">
        <f aca="false">R67*$D67*$C$13*INDEX(Assumptions!$B$44:$B$46,MATCH($C67,Assumptions!$A$44:$A$46,0))+IF(R$45&gt;=$G67,INDEX(Assumptions!$C$44:$C$46,MATCH($C67,Assumptions!$A$44:$A$46,0)),0)+IF($C67="Assured",R67*$D67*$C$13*$C$26*$C$27*$C$28,0)</f>
        <v>0</v>
      </c>
      <c r="S89" s="23" t="n">
        <f aca="false">S67*$D67*$C$13*INDEX(Assumptions!$B$44:$B$46,MATCH($C67,Assumptions!$A$44:$A$46,0))+IF(S$45&gt;=$G67,INDEX(Assumptions!$C$44:$C$46,MATCH($C67,Assumptions!$A$44:$A$46,0)),0)+IF($C67="Assured",S67*$D67*$C$13*$C$26*$C$27*$C$28,0)</f>
        <v>0</v>
      </c>
      <c r="T89" s="23" t="n">
        <f aca="false">T67*$D67*$C$13*INDEX(Assumptions!$B$44:$B$46,MATCH($C67,Assumptions!$A$44:$A$46,0))+IF(T$45&gt;=$G67,INDEX(Assumptions!$C$44:$C$46,MATCH($C67,Assumptions!$A$44:$A$46,0)),0)+IF($C67="Assured",T67*$D67*$C$13*$C$26*$C$27*$C$28,0)</f>
        <v>0</v>
      </c>
      <c r="U89" s="23" t="n">
        <f aca="false">U67*$D67*$C$13*INDEX(Assumptions!$B$44:$B$46,MATCH($C67,Assumptions!$A$44:$A$46,0))+IF(U$45&gt;=$G67,INDEX(Assumptions!$C$44:$C$46,MATCH($C67,Assumptions!$A$44:$A$46,0)),0)+IF($C67="Assured",U67*$D67*$C$13*$C$26*$C$27*$C$28,0)</f>
        <v>0</v>
      </c>
      <c r="V89" s="23" t="n">
        <f aca="false">V67*$D67*$C$13*INDEX(Assumptions!$B$44:$B$46,MATCH($C67,Assumptions!$A$44:$A$46,0))+IF(V$45&gt;=$G67,INDEX(Assumptions!$C$44:$C$46,MATCH($C67,Assumptions!$A$44:$A$46,0)),0)+IF($C67="Assured",V67*$D67*$C$13*$C$26*$C$27*$C$28,0)</f>
        <v>0</v>
      </c>
      <c r="W89" s="23" t="n">
        <f aca="false">W67*$D67*$C$13*INDEX(Assumptions!$B$44:$B$46,MATCH($C67,Assumptions!$A$44:$A$46,0))+IF(W$45&gt;=$G67,INDEX(Assumptions!$C$44:$C$46,MATCH($C67,Assumptions!$A$44:$A$46,0)),0)+IF($C67="Assured",W67*$D67*$C$13*$C$26*$C$27*$C$28,0)</f>
        <v>5852.0475</v>
      </c>
      <c r="X89" s="23" t="n">
        <f aca="false">X67*$D67*$C$13*INDEX(Assumptions!$B$44:$B$46,MATCH($C67,Assumptions!$A$44:$A$46,0))+IF(X$45&gt;=$G67,INDEX(Assumptions!$C$44:$C$46,MATCH($C67,Assumptions!$A$44:$A$46,0)),0)+IF($C67="Assured",X67*$D67*$C$13*$C$26*$C$27*$C$28,0)</f>
        <v>11704.095</v>
      </c>
      <c r="Y89" s="23" t="n">
        <f aca="false">Y67*$D67*$C$13*INDEX(Assumptions!$B$44:$B$46,MATCH($C67,Assumptions!$A$44:$A$46,0))+IF(Y$45&gt;=$G67,INDEX(Assumptions!$C$44:$C$46,MATCH($C67,Assumptions!$A$44:$A$46,0)),0)+IF($C67="Assured",Y67*$D67*$C$13*$C$26*$C$27*$C$28,0)</f>
        <v>16580.80125</v>
      </c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" hidden="false" customHeight="false" outlineLevel="0" collapsed="false">
      <c r="A91" s="37" t="s">
        <v>200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customFormat="false" ht="15" hidden="false" customHeight="false" outlineLevel="0" collapsed="false">
      <c r="A92" s="2" t="n">
        <f aca="false">A48</f>
        <v>1</v>
      </c>
      <c r="B92" s="2" t="str">
        <f aca="false">B48</f>
        <v>Pilot</v>
      </c>
      <c r="C92" s="2" t="str">
        <f aca="false">C48</f>
        <v>Assured</v>
      </c>
      <c r="D92" s="2"/>
      <c r="E92" s="2"/>
      <c r="F92" s="2"/>
      <c r="G92" s="2"/>
      <c r="H92" s="23" t="n">
        <f aca="false">H48*IF(AND($C48="Assured",H$45&gt;=$C$25),$C$24,INDEX(Assumptions!$D$44:$D$46,MATCH($C48,Assumptions!$A$44:$A$46,0)))</f>
        <v>22443.75</v>
      </c>
      <c r="I92" s="23" t="n">
        <f aca="false">I48*IF(AND($C48="Assured",I$45&gt;=$C$25),$C$24,INDEX(Assumptions!$D$44:$D$46,MATCH($C48,Assumptions!$A$44:$A$46,0)))</f>
        <v>23512.5</v>
      </c>
      <c r="J92" s="23" t="n">
        <f aca="false">J48*IF(AND($C48="Assured",J$45&gt;=$C$25),$C$24,INDEX(Assumptions!$D$44:$D$46,MATCH($C48,Assumptions!$A$44:$A$46,0)))</f>
        <v>24581.25</v>
      </c>
      <c r="K92" s="23" t="n">
        <f aca="false">K48*IF(AND($C48="Assured",K$45&gt;=$C$25),$C$24,INDEX(Assumptions!$D$44:$D$46,MATCH($C48,Assumptions!$A$44:$A$46,0)))</f>
        <v>25650</v>
      </c>
      <c r="L92" s="23" t="n">
        <f aca="false">L48*IF(AND($C48="Assured",L$45&gt;=$C$25),$C$24,INDEX(Assumptions!$D$44:$D$46,MATCH($C48,Assumptions!$A$44:$A$46,0)))</f>
        <v>25650</v>
      </c>
      <c r="M92" s="23" t="n">
        <f aca="false">M48*IF(AND($C48="Assured",M$45&gt;=$C$25),$C$24,INDEX(Assumptions!$D$44:$D$46,MATCH($C48,Assumptions!$A$44:$A$46,0)))</f>
        <v>25650</v>
      </c>
      <c r="N92" s="23" t="n">
        <f aca="false">N48*IF(AND($C48="Assured",N$45&gt;=$C$25),$C$24,INDEX(Assumptions!$D$44:$D$46,MATCH($C48,Assumptions!$A$44:$A$46,0)))</f>
        <v>25650</v>
      </c>
      <c r="O92" s="23" t="n">
        <f aca="false">O48*IF(AND($C48="Assured",O$45&gt;=$C$25),$C$24,INDEX(Assumptions!$D$44:$D$46,MATCH($C48,Assumptions!$A$44:$A$46,0)))</f>
        <v>25650</v>
      </c>
      <c r="P92" s="23" t="n">
        <f aca="false">P48*IF(AND($C48="Assured",P$45&gt;=$C$25),$C$24,INDEX(Assumptions!$D$44:$D$46,MATCH($C48,Assumptions!$A$44:$A$46,0)))</f>
        <v>25650</v>
      </c>
      <c r="Q92" s="23" t="n">
        <f aca="false">Q48*IF(AND($C48="Assured",Q$45&gt;=$C$25),$C$24,INDEX(Assumptions!$D$44:$D$46,MATCH($C48,Assumptions!$A$44:$A$46,0)))</f>
        <v>22800</v>
      </c>
      <c r="R92" s="23" t="n">
        <f aca="false">R48*IF(AND($C48="Assured",R$45&gt;=$C$25),$C$24,INDEX(Assumptions!$D$44:$D$46,MATCH($C48,Assumptions!$A$44:$A$46,0)))</f>
        <v>22800</v>
      </c>
      <c r="S92" s="23" t="n">
        <f aca="false">S48*IF(AND($C48="Assured",S$45&gt;=$C$25),$C$24,INDEX(Assumptions!$D$44:$D$46,MATCH($C48,Assumptions!$A$44:$A$46,0)))</f>
        <v>22800</v>
      </c>
      <c r="T92" s="23" t="n">
        <f aca="false">T48*IF(AND($C48="Assured",T$45&gt;=$C$25),$C$24,INDEX(Assumptions!$D$44:$D$46,MATCH($C48,Assumptions!$A$44:$A$46,0)))</f>
        <v>22800</v>
      </c>
      <c r="U92" s="23" t="n">
        <f aca="false">U48*IF(AND($C48="Assured",U$45&gt;=$C$25),$C$24,INDEX(Assumptions!$D$44:$D$46,MATCH($C48,Assumptions!$A$44:$A$46,0)))</f>
        <v>22800</v>
      </c>
      <c r="V92" s="23" t="n">
        <f aca="false">V48*IF(AND($C48="Assured",V$45&gt;=$C$25),$C$24,INDEX(Assumptions!$D$44:$D$46,MATCH($C48,Assumptions!$A$44:$A$46,0)))</f>
        <v>22800</v>
      </c>
      <c r="W92" s="23" t="n">
        <f aca="false">W48*IF(AND($C48="Assured",W$45&gt;=$C$25),$C$24,INDEX(Assumptions!$D$44:$D$46,MATCH($C48,Assumptions!$A$44:$A$46,0)))</f>
        <v>22800</v>
      </c>
      <c r="X92" s="23" t="n">
        <f aca="false">X48*IF(AND($C48="Assured",X$45&gt;=$C$25),$C$24,INDEX(Assumptions!$D$44:$D$46,MATCH($C48,Assumptions!$A$44:$A$46,0)))</f>
        <v>22800</v>
      </c>
      <c r="Y92" s="23" t="n">
        <f aca="false">Y48*IF(AND($C48="Assured",Y$45&gt;=$C$25),$C$24,INDEX(Assumptions!$D$44:$D$46,MATCH($C48,Assumptions!$A$44:$A$46,0)))</f>
        <v>22800</v>
      </c>
    </row>
    <row r="93" customFormat="false" ht="15" hidden="false" customHeight="false" outlineLevel="0" collapsed="false">
      <c r="A93" s="2" t="n">
        <f aca="false">A49</f>
        <v>2</v>
      </c>
      <c r="B93" s="2" t="str">
        <f aca="false">B49</f>
        <v>Pilot</v>
      </c>
      <c r="C93" s="2" t="str">
        <f aca="false">C49</f>
        <v>Assured</v>
      </c>
      <c r="D93" s="2"/>
      <c r="E93" s="2"/>
      <c r="F93" s="2"/>
      <c r="G93" s="2"/>
      <c r="H93" s="23" t="n">
        <f aca="false">H49*IF(AND($C49="Assured",H$45&gt;=$C$25),$C$24,INDEX(Assumptions!$D$44:$D$46,MATCH($C49,Assumptions!$A$44:$A$46,0)))</f>
        <v>22443.75</v>
      </c>
      <c r="I93" s="23" t="n">
        <f aca="false">I49*IF(AND($C49="Assured",I$45&gt;=$C$25),$C$24,INDEX(Assumptions!$D$44:$D$46,MATCH($C49,Assumptions!$A$44:$A$46,0)))</f>
        <v>23512.5</v>
      </c>
      <c r="J93" s="23" t="n">
        <f aca="false">J49*IF(AND($C49="Assured",J$45&gt;=$C$25),$C$24,INDEX(Assumptions!$D$44:$D$46,MATCH($C49,Assumptions!$A$44:$A$46,0)))</f>
        <v>24581.25</v>
      </c>
      <c r="K93" s="23" t="n">
        <f aca="false">K49*IF(AND($C49="Assured",K$45&gt;=$C$25),$C$24,INDEX(Assumptions!$D$44:$D$46,MATCH($C49,Assumptions!$A$44:$A$46,0)))</f>
        <v>25650</v>
      </c>
      <c r="L93" s="23" t="n">
        <f aca="false">L49*IF(AND($C49="Assured",L$45&gt;=$C$25),$C$24,INDEX(Assumptions!$D$44:$D$46,MATCH($C49,Assumptions!$A$44:$A$46,0)))</f>
        <v>25650</v>
      </c>
      <c r="M93" s="23" t="n">
        <f aca="false">M49*IF(AND($C49="Assured",M$45&gt;=$C$25),$C$24,INDEX(Assumptions!$D$44:$D$46,MATCH($C49,Assumptions!$A$44:$A$46,0)))</f>
        <v>25650</v>
      </c>
      <c r="N93" s="23" t="n">
        <f aca="false">N49*IF(AND($C49="Assured",N$45&gt;=$C$25),$C$24,INDEX(Assumptions!$D$44:$D$46,MATCH($C49,Assumptions!$A$44:$A$46,0)))</f>
        <v>25650</v>
      </c>
      <c r="O93" s="23" t="n">
        <f aca="false">O49*IF(AND($C49="Assured",O$45&gt;=$C$25),$C$24,INDEX(Assumptions!$D$44:$D$46,MATCH($C49,Assumptions!$A$44:$A$46,0)))</f>
        <v>25650</v>
      </c>
      <c r="P93" s="23" t="n">
        <f aca="false">P49*IF(AND($C49="Assured",P$45&gt;=$C$25),$C$24,INDEX(Assumptions!$D$44:$D$46,MATCH($C49,Assumptions!$A$44:$A$46,0)))</f>
        <v>25650</v>
      </c>
      <c r="Q93" s="23" t="n">
        <f aca="false">Q49*IF(AND($C49="Assured",Q$45&gt;=$C$25),$C$24,INDEX(Assumptions!$D$44:$D$46,MATCH($C49,Assumptions!$A$44:$A$46,0)))</f>
        <v>22800</v>
      </c>
      <c r="R93" s="23" t="n">
        <f aca="false">R49*IF(AND($C49="Assured",R$45&gt;=$C$25),$C$24,INDEX(Assumptions!$D$44:$D$46,MATCH($C49,Assumptions!$A$44:$A$46,0)))</f>
        <v>22800</v>
      </c>
      <c r="S93" s="23" t="n">
        <f aca="false">S49*IF(AND($C49="Assured",S$45&gt;=$C$25),$C$24,INDEX(Assumptions!$D$44:$D$46,MATCH($C49,Assumptions!$A$44:$A$46,0)))</f>
        <v>22800</v>
      </c>
      <c r="T93" s="23" t="n">
        <f aca="false">T49*IF(AND($C49="Assured",T$45&gt;=$C$25),$C$24,INDEX(Assumptions!$D$44:$D$46,MATCH($C49,Assumptions!$A$44:$A$46,0)))</f>
        <v>22800</v>
      </c>
      <c r="U93" s="23" t="n">
        <f aca="false">U49*IF(AND($C49="Assured",U$45&gt;=$C$25),$C$24,INDEX(Assumptions!$D$44:$D$46,MATCH($C49,Assumptions!$A$44:$A$46,0)))</f>
        <v>22800</v>
      </c>
      <c r="V93" s="23" t="n">
        <f aca="false">V49*IF(AND($C49="Assured",V$45&gt;=$C$25),$C$24,INDEX(Assumptions!$D$44:$D$46,MATCH($C49,Assumptions!$A$44:$A$46,0)))</f>
        <v>22800</v>
      </c>
      <c r="W93" s="23" t="n">
        <f aca="false">W49*IF(AND($C49="Assured",W$45&gt;=$C$25),$C$24,INDEX(Assumptions!$D$44:$D$46,MATCH($C49,Assumptions!$A$44:$A$46,0)))</f>
        <v>22800</v>
      </c>
      <c r="X93" s="23" t="n">
        <f aca="false">X49*IF(AND($C49="Assured",X$45&gt;=$C$25),$C$24,INDEX(Assumptions!$D$44:$D$46,MATCH($C49,Assumptions!$A$44:$A$46,0)))</f>
        <v>22800</v>
      </c>
      <c r="Y93" s="23" t="n">
        <f aca="false">Y49*IF(AND($C49="Assured",Y$45&gt;=$C$25),$C$24,INDEX(Assumptions!$D$44:$D$46,MATCH($C49,Assumptions!$A$44:$A$46,0)))</f>
        <v>22800</v>
      </c>
    </row>
    <row r="94" customFormat="false" ht="15" hidden="false" customHeight="false" outlineLevel="0" collapsed="false">
      <c r="A94" s="2" t="n">
        <f aca="false">A50</f>
        <v>3</v>
      </c>
      <c r="B94" s="2" t="str">
        <f aca="false">B50</f>
        <v>Pilot</v>
      </c>
      <c r="C94" s="2" t="str">
        <f aca="false">C50</f>
        <v>Assured</v>
      </c>
      <c r="D94" s="2"/>
      <c r="E94" s="2"/>
      <c r="F94" s="2"/>
      <c r="G94" s="2"/>
      <c r="H94" s="23" t="n">
        <f aca="false">H50*IF(AND($C50="Assured",H$45&gt;=$C$25),$C$24,INDEX(Assumptions!$D$44:$D$46,MATCH($C50,Assumptions!$A$44:$A$46,0)))</f>
        <v>22443.75</v>
      </c>
      <c r="I94" s="23" t="n">
        <f aca="false">I50*IF(AND($C50="Assured",I$45&gt;=$C$25),$C$24,INDEX(Assumptions!$D$44:$D$46,MATCH($C50,Assumptions!$A$44:$A$46,0)))</f>
        <v>23512.5</v>
      </c>
      <c r="J94" s="23" t="n">
        <f aca="false">J50*IF(AND($C50="Assured",J$45&gt;=$C$25),$C$24,INDEX(Assumptions!$D$44:$D$46,MATCH($C50,Assumptions!$A$44:$A$46,0)))</f>
        <v>24581.25</v>
      </c>
      <c r="K94" s="23" t="n">
        <f aca="false">K50*IF(AND($C50="Assured",K$45&gt;=$C$25),$C$24,INDEX(Assumptions!$D$44:$D$46,MATCH($C50,Assumptions!$A$44:$A$46,0)))</f>
        <v>25650</v>
      </c>
      <c r="L94" s="23" t="n">
        <f aca="false">L50*IF(AND($C50="Assured",L$45&gt;=$C$25),$C$24,INDEX(Assumptions!$D$44:$D$46,MATCH($C50,Assumptions!$A$44:$A$46,0)))</f>
        <v>25650</v>
      </c>
      <c r="M94" s="23" t="n">
        <f aca="false">M50*IF(AND($C50="Assured",M$45&gt;=$C$25),$C$24,INDEX(Assumptions!$D$44:$D$46,MATCH($C50,Assumptions!$A$44:$A$46,0)))</f>
        <v>25650</v>
      </c>
      <c r="N94" s="23" t="n">
        <f aca="false">N50*IF(AND($C50="Assured",N$45&gt;=$C$25),$C$24,INDEX(Assumptions!$D$44:$D$46,MATCH($C50,Assumptions!$A$44:$A$46,0)))</f>
        <v>25650</v>
      </c>
      <c r="O94" s="23" t="n">
        <f aca="false">O50*IF(AND($C50="Assured",O$45&gt;=$C$25),$C$24,INDEX(Assumptions!$D$44:$D$46,MATCH($C50,Assumptions!$A$44:$A$46,0)))</f>
        <v>25650</v>
      </c>
      <c r="P94" s="23" t="n">
        <f aca="false">P50*IF(AND($C50="Assured",P$45&gt;=$C$25),$C$24,INDEX(Assumptions!$D$44:$D$46,MATCH($C50,Assumptions!$A$44:$A$46,0)))</f>
        <v>25650</v>
      </c>
      <c r="Q94" s="23" t="n">
        <f aca="false">Q50*IF(AND($C50="Assured",Q$45&gt;=$C$25),$C$24,INDEX(Assumptions!$D$44:$D$46,MATCH($C50,Assumptions!$A$44:$A$46,0)))</f>
        <v>22800</v>
      </c>
      <c r="R94" s="23" t="n">
        <f aca="false">R50*IF(AND($C50="Assured",R$45&gt;=$C$25),$C$24,INDEX(Assumptions!$D$44:$D$46,MATCH($C50,Assumptions!$A$44:$A$46,0)))</f>
        <v>22800</v>
      </c>
      <c r="S94" s="23" t="n">
        <f aca="false">S50*IF(AND($C50="Assured",S$45&gt;=$C$25),$C$24,INDEX(Assumptions!$D$44:$D$46,MATCH($C50,Assumptions!$A$44:$A$46,0)))</f>
        <v>22800</v>
      </c>
      <c r="T94" s="23" t="n">
        <f aca="false">T50*IF(AND($C50="Assured",T$45&gt;=$C$25),$C$24,INDEX(Assumptions!$D$44:$D$46,MATCH($C50,Assumptions!$A$44:$A$46,0)))</f>
        <v>22800</v>
      </c>
      <c r="U94" s="23" t="n">
        <f aca="false">U50*IF(AND($C50="Assured",U$45&gt;=$C$25),$C$24,INDEX(Assumptions!$D$44:$D$46,MATCH($C50,Assumptions!$A$44:$A$46,0)))</f>
        <v>22800</v>
      </c>
      <c r="V94" s="23" t="n">
        <f aca="false">V50*IF(AND($C50="Assured",V$45&gt;=$C$25),$C$24,INDEX(Assumptions!$D$44:$D$46,MATCH($C50,Assumptions!$A$44:$A$46,0)))</f>
        <v>22800</v>
      </c>
      <c r="W94" s="23" t="n">
        <f aca="false">W50*IF(AND($C50="Assured",W$45&gt;=$C$25),$C$24,INDEX(Assumptions!$D$44:$D$46,MATCH($C50,Assumptions!$A$44:$A$46,0)))</f>
        <v>22800</v>
      </c>
      <c r="X94" s="23" t="n">
        <f aca="false">X50*IF(AND($C50="Assured",X$45&gt;=$C$25),$C$24,INDEX(Assumptions!$D$44:$D$46,MATCH($C50,Assumptions!$A$44:$A$46,0)))</f>
        <v>22800</v>
      </c>
      <c r="Y94" s="23" t="n">
        <f aca="false">Y50*IF(AND($C50="Assured",Y$45&gt;=$C$25),$C$24,INDEX(Assumptions!$D$44:$D$46,MATCH($C50,Assumptions!$A$44:$A$46,0)))</f>
        <v>22800</v>
      </c>
    </row>
    <row r="95" customFormat="false" ht="15" hidden="false" customHeight="false" outlineLevel="0" collapsed="false">
      <c r="A95" s="2" t="n">
        <f aca="false">A51</f>
        <v>4</v>
      </c>
      <c r="B95" s="2" t="str">
        <f aca="false">B51</f>
        <v>Pilot</v>
      </c>
      <c r="C95" s="2" t="str">
        <f aca="false">C51</f>
        <v>Assured</v>
      </c>
      <c r="D95" s="2"/>
      <c r="E95" s="2"/>
      <c r="F95" s="2"/>
      <c r="G95" s="2"/>
      <c r="H95" s="23" t="n">
        <f aca="false">H51*IF(AND($C51="Assured",H$45&gt;=$C$25),$C$24,INDEX(Assumptions!$D$44:$D$46,MATCH($C51,Assumptions!$A$44:$A$46,0)))</f>
        <v>22443.75</v>
      </c>
      <c r="I95" s="23" t="n">
        <f aca="false">I51*IF(AND($C51="Assured",I$45&gt;=$C$25),$C$24,INDEX(Assumptions!$D$44:$D$46,MATCH($C51,Assumptions!$A$44:$A$46,0)))</f>
        <v>23512.5</v>
      </c>
      <c r="J95" s="23" t="n">
        <f aca="false">J51*IF(AND($C51="Assured",J$45&gt;=$C$25),$C$24,INDEX(Assumptions!$D$44:$D$46,MATCH($C51,Assumptions!$A$44:$A$46,0)))</f>
        <v>24581.25</v>
      </c>
      <c r="K95" s="23" t="n">
        <f aca="false">K51*IF(AND($C51="Assured",K$45&gt;=$C$25),$C$24,INDEX(Assumptions!$D$44:$D$46,MATCH($C51,Assumptions!$A$44:$A$46,0)))</f>
        <v>25650</v>
      </c>
      <c r="L95" s="23" t="n">
        <f aca="false">L51*IF(AND($C51="Assured",L$45&gt;=$C$25),$C$24,INDEX(Assumptions!$D$44:$D$46,MATCH($C51,Assumptions!$A$44:$A$46,0)))</f>
        <v>25650</v>
      </c>
      <c r="M95" s="23" t="n">
        <f aca="false">M51*IF(AND($C51="Assured",M$45&gt;=$C$25),$C$24,INDEX(Assumptions!$D$44:$D$46,MATCH($C51,Assumptions!$A$44:$A$46,0)))</f>
        <v>25650</v>
      </c>
      <c r="N95" s="23" t="n">
        <f aca="false">N51*IF(AND($C51="Assured",N$45&gt;=$C$25),$C$24,INDEX(Assumptions!$D$44:$D$46,MATCH($C51,Assumptions!$A$44:$A$46,0)))</f>
        <v>25650</v>
      </c>
      <c r="O95" s="23" t="n">
        <f aca="false">O51*IF(AND($C51="Assured",O$45&gt;=$C$25),$C$24,INDEX(Assumptions!$D$44:$D$46,MATCH($C51,Assumptions!$A$44:$A$46,0)))</f>
        <v>25650</v>
      </c>
      <c r="P95" s="23" t="n">
        <f aca="false">P51*IF(AND($C51="Assured",P$45&gt;=$C$25),$C$24,INDEX(Assumptions!$D$44:$D$46,MATCH($C51,Assumptions!$A$44:$A$46,0)))</f>
        <v>25650</v>
      </c>
      <c r="Q95" s="23" t="n">
        <f aca="false">Q51*IF(AND($C51="Assured",Q$45&gt;=$C$25),$C$24,INDEX(Assumptions!$D$44:$D$46,MATCH($C51,Assumptions!$A$44:$A$46,0)))</f>
        <v>22800</v>
      </c>
      <c r="R95" s="23" t="n">
        <f aca="false">R51*IF(AND($C51="Assured",R$45&gt;=$C$25),$C$24,INDEX(Assumptions!$D$44:$D$46,MATCH($C51,Assumptions!$A$44:$A$46,0)))</f>
        <v>22800</v>
      </c>
      <c r="S95" s="23" t="n">
        <f aca="false">S51*IF(AND($C51="Assured",S$45&gt;=$C$25),$C$24,INDEX(Assumptions!$D$44:$D$46,MATCH($C51,Assumptions!$A$44:$A$46,0)))</f>
        <v>22800</v>
      </c>
      <c r="T95" s="23" t="n">
        <f aca="false">T51*IF(AND($C51="Assured",T$45&gt;=$C$25),$C$24,INDEX(Assumptions!$D$44:$D$46,MATCH($C51,Assumptions!$A$44:$A$46,0)))</f>
        <v>22800</v>
      </c>
      <c r="U95" s="23" t="n">
        <f aca="false">U51*IF(AND($C51="Assured",U$45&gt;=$C$25),$C$24,INDEX(Assumptions!$D$44:$D$46,MATCH($C51,Assumptions!$A$44:$A$46,0)))</f>
        <v>22800</v>
      </c>
      <c r="V95" s="23" t="n">
        <f aca="false">V51*IF(AND($C51="Assured",V$45&gt;=$C$25),$C$24,INDEX(Assumptions!$D$44:$D$46,MATCH($C51,Assumptions!$A$44:$A$46,0)))</f>
        <v>22800</v>
      </c>
      <c r="W95" s="23" t="n">
        <f aca="false">W51*IF(AND($C51="Assured",W$45&gt;=$C$25),$C$24,INDEX(Assumptions!$D$44:$D$46,MATCH($C51,Assumptions!$A$44:$A$46,0)))</f>
        <v>22800</v>
      </c>
      <c r="X95" s="23" t="n">
        <f aca="false">X51*IF(AND($C51="Assured",X$45&gt;=$C$25),$C$24,INDEX(Assumptions!$D$44:$D$46,MATCH($C51,Assumptions!$A$44:$A$46,0)))</f>
        <v>22800</v>
      </c>
      <c r="Y95" s="23" t="n">
        <f aca="false">Y51*IF(AND($C51="Assured",Y$45&gt;=$C$25),$C$24,INDEX(Assumptions!$D$44:$D$46,MATCH($C51,Assumptions!$A$44:$A$46,0)))</f>
        <v>22800</v>
      </c>
    </row>
    <row r="96" customFormat="false" ht="15" hidden="false" customHeight="false" outlineLevel="0" collapsed="false">
      <c r="A96" s="2" t="n">
        <f aca="false">A52</f>
        <v>5</v>
      </c>
      <c r="B96" s="2" t="str">
        <f aca="false">B52</f>
        <v>A</v>
      </c>
      <c r="C96" s="2" t="str">
        <f aca="false">C52</f>
        <v>Assured</v>
      </c>
      <c r="D96" s="2"/>
      <c r="E96" s="2"/>
      <c r="F96" s="2"/>
      <c r="G96" s="2"/>
      <c r="H96" s="23" t="n">
        <f aca="false">H52*IF(AND($C52="Assured",H$45&gt;=$C$25),$C$24,INDEX(Assumptions!$D$44:$D$46,MATCH($C52,Assumptions!$A$44:$A$46,0)))</f>
        <v>0</v>
      </c>
      <c r="I96" s="23" t="n">
        <f aca="false">I52*IF(AND($C52="Assured",I$45&gt;=$C$25),$C$24,INDEX(Assumptions!$D$44:$D$46,MATCH($C52,Assumptions!$A$44:$A$46,0)))</f>
        <v>0</v>
      </c>
      <c r="J96" s="23" t="n">
        <f aca="false">J52*IF(AND($C52="Assured",J$45&gt;=$C$25),$C$24,INDEX(Assumptions!$D$44:$D$46,MATCH($C52,Assumptions!$A$44:$A$46,0)))</f>
        <v>0</v>
      </c>
      <c r="K96" s="23" t="n">
        <f aca="false">K52*IF(AND($C52="Assured",K$45&gt;=$C$25),$C$24,INDEX(Assumptions!$D$44:$D$46,MATCH($C52,Assumptions!$A$44:$A$46,0)))</f>
        <v>0</v>
      </c>
      <c r="L96" s="23" t="n">
        <f aca="false">L52*IF(AND($C52="Assured",L$45&gt;=$C$25),$C$24,INDEX(Assumptions!$D$44:$D$46,MATCH($C52,Assumptions!$A$44:$A$46,0)))</f>
        <v>6002.1</v>
      </c>
      <c r="M96" s="23" t="n">
        <f aca="false">M52*IF(AND($C52="Assured",M$45&gt;=$C$25),$C$24,INDEX(Assumptions!$D$44:$D$46,MATCH($C52,Assumptions!$A$44:$A$46,0)))</f>
        <v>12004.2</v>
      </c>
      <c r="N96" s="23" t="n">
        <f aca="false">N52*IF(AND($C52="Assured",N$45&gt;=$C$25),$C$24,INDEX(Assumptions!$D$44:$D$46,MATCH($C52,Assumptions!$A$44:$A$46,0)))</f>
        <v>17005.95</v>
      </c>
      <c r="O96" s="23" t="n">
        <f aca="false">O52*IF(AND($C52="Assured",O$45&gt;=$C$25),$C$24,INDEX(Assumptions!$D$44:$D$46,MATCH($C52,Assumptions!$A$44:$A$46,0)))</f>
        <v>20007</v>
      </c>
      <c r="P96" s="23" t="n">
        <f aca="false">P52*IF(AND($C52="Assured",P$45&gt;=$C$25),$C$24,INDEX(Assumptions!$D$44:$D$46,MATCH($C52,Assumptions!$A$44:$A$46,0)))</f>
        <v>20007</v>
      </c>
      <c r="Q96" s="23" t="n">
        <f aca="false">Q52*IF(AND($C52="Assured",Q$45&gt;=$C$25),$C$24,INDEX(Assumptions!$D$44:$D$46,MATCH($C52,Assumptions!$A$44:$A$46,0)))</f>
        <v>17784</v>
      </c>
      <c r="R96" s="23" t="n">
        <f aca="false">R52*IF(AND($C52="Assured",R$45&gt;=$C$25),$C$24,INDEX(Assumptions!$D$44:$D$46,MATCH($C52,Assumptions!$A$44:$A$46,0)))</f>
        <v>17784</v>
      </c>
      <c r="S96" s="23" t="n">
        <f aca="false">S52*IF(AND($C52="Assured",S$45&gt;=$C$25),$C$24,INDEX(Assumptions!$D$44:$D$46,MATCH($C52,Assumptions!$A$44:$A$46,0)))</f>
        <v>17784</v>
      </c>
      <c r="T96" s="23" t="n">
        <f aca="false">T52*IF(AND($C52="Assured",T$45&gt;=$C$25),$C$24,INDEX(Assumptions!$D$44:$D$46,MATCH($C52,Assumptions!$A$44:$A$46,0)))</f>
        <v>17784</v>
      </c>
      <c r="U96" s="23" t="n">
        <f aca="false">U52*IF(AND($C52="Assured",U$45&gt;=$C$25),$C$24,INDEX(Assumptions!$D$44:$D$46,MATCH($C52,Assumptions!$A$44:$A$46,0)))</f>
        <v>17784</v>
      </c>
      <c r="V96" s="23" t="n">
        <f aca="false">V52*IF(AND($C52="Assured",V$45&gt;=$C$25),$C$24,INDEX(Assumptions!$D$44:$D$46,MATCH($C52,Assumptions!$A$44:$A$46,0)))</f>
        <v>17784</v>
      </c>
      <c r="W96" s="23" t="n">
        <f aca="false">W52*IF(AND($C52="Assured",W$45&gt;=$C$25),$C$24,INDEX(Assumptions!$D$44:$D$46,MATCH($C52,Assumptions!$A$44:$A$46,0)))</f>
        <v>17784</v>
      </c>
      <c r="X96" s="23" t="n">
        <f aca="false">X52*IF(AND($C52="Assured",X$45&gt;=$C$25),$C$24,INDEX(Assumptions!$D$44:$D$46,MATCH($C52,Assumptions!$A$44:$A$46,0)))</f>
        <v>17784</v>
      </c>
      <c r="Y96" s="23" t="n">
        <f aca="false">Y52*IF(AND($C52="Assured",Y$45&gt;=$C$25),$C$24,INDEX(Assumptions!$D$44:$D$46,MATCH($C52,Assumptions!$A$44:$A$46,0)))</f>
        <v>17784</v>
      </c>
    </row>
    <row r="97" customFormat="false" ht="15" hidden="false" customHeight="false" outlineLevel="0" collapsed="false">
      <c r="A97" s="2" t="n">
        <f aca="false">A53</f>
        <v>6</v>
      </c>
      <c r="B97" s="2" t="str">
        <f aca="false">B53</f>
        <v>A</v>
      </c>
      <c r="C97" s="2" t="str">
        <f aca="false">C53</f>
        <v>Assured</v>
      </c>
      <c r="D97" s="2"/>
      <c r="E97" s="2"/>
      <c r="F97" s="2"/>
      <c r="G97" s="2"/>
      <c r="H97" s="23" t="n">
        <f aca="false">H53*IF(AND($C53="Assured",H$45&gt;=$C$25),$C$24,INDEX(Assumptions!$D$44:$D$46,MATCH($C53,Assumptions!$A$44:$A$46,0)))</f>
        <v>0</v>
      </c>
      <c r="I97" s="23" t="n">
        <f aca="false">I53*IF(AND($C53="Assured",I$45&gt;=$C$25),$C$24,INDEX(Assumptions!$D$44:$D$46,MATCH($C53,Assumptions!$A$44:$A$46,0)))</f>
        <v>0</v>
      </c>
      <c r="J97" s="23" t="n">
        <f aca="false">J53*IF(AND($C53="Assured",J$45&gt;=$C$25),$C$24,INDEX(Assumptions!$D$44:$D$46,MATCH($C53,Assumptions!$A$44:$A$46,0)))</f>
        <v>0</v>
      </c>
      <c r="K97" s="23" t="n">
        <f aca="false">K53*IF(AND($C53="Assured",K$45&gt;=$C$25),$C$24,INDEX(Assumptions!$D$44:$D$46,MATCH($C53,Assumptions!$A$44:$A$46,0)))</f>
        <v>0</v>
      </c>
      <c r="L97" s="23" t="n">
        <f aca="false">L53*IF(AND($C53="Assured",L$45&gt;=$C$25),$C$24,INDEX(Assumptions!$D$44:$D$46,MATCH($C53,Assumptions!$A$44:$A$46,0)))</f>
        <v>6002.1</v>
      </c>
      <c r="M97" s="23" t="n">
        <f aca="false">M53*IF(AND($C53="Assured",M$45&gt;=$C$25),$C$24,INDEX(Assumptions!$D$44:$D$46,MATCH($C53,Assumptions!$A$44:$A$46,0)))</f>
        <v>12004.2</v>
      </c>
      <c r="N97" s="23" t="n">
        <f aca="false">N53*IF(AND($C53="Assured",N$45&gt;=$C$25),$C$24,INDEX(Assumptions!$D$44:$D$46,MATCH($C53,Assumptions!$A$44:$A$46,0)))</f>
        <v>17005.95</v>
      </c>
      <c r="O97" s="23" t="n">
        <f aca="false">O53*IF(AND($C53="Assured",O$45&gt;=$C$25),$C$24,INDEX(Assumptions!$D$44:$D$46,MATCH($C53,Assumptions!$A$44:$A$46,0)))</f>
        <v>20007</v>
      </c>
      <c r="P97" s="23" t="n">
        <f aca="false">P53*IF(AND($C53="Assured",P$45&gt;=$C$25),$C$24,INDEX(Assumptions!$D$44:$D$46,MATCH($C53,Assumptions!$A$44:$A$46,0)))</f>
        <v>20007</v>
      </c>
      <c r="Q97" s="23" t="n">
        <f aca="false">Q53*IF(AND($C53="Assured",Q$45&gt;=$C$25),$C$24,INDEX(Assumptions!$D$44:$D$46,MATCH($C53,Assumptions!$A$44:$A$46,0)))</f>
        <v>17784</v>
      </c>
      <c r="R97" s="23" t="n">
        <f aca="false">R53*IF(AND($C53="Assured",R$45&gt;=$C$25),$C$24,INDEX(Assumptions!$D$44:$D$46,MATCH($C53,Assumptions!$A$44:$A$46,0)))</f>
        <v>17784</v>
      </c>
      <c r="S97" s="23" t="n">
        <f aca="false">S53*IF(AND($C53="Assured",S$45&gt;=$C$25),$C$24,INDEX(Assumptions!$D$44:$D$46,MATCH($C53,Assumptions!$A$44:$A$46,0)))</f>
        <v>17784</v>
      </c>
      <c r="T97" s="23" t="n">
        <f aca="false">T53*IF(AND($C53="Assured",T$45&gt;=$C$25),$C$24,INDEX(Assumptions!$D$44:$D$46,MATCH($C53,Assumptions!$A$44:$A$46,0)))</f>
        <v>17784</v>
      </c>
      <c r="U97" s="23" t="n">
        <f aca="false">U53*IF(AND($C53="Assured",U$45&gt;=$C$25),$C$24,INDEX(Assumptions!$D$44:$D$46,MATCH($C53,Assumptions!$A$44:$A$46,0)))</f>
        <v>17784</v>
      </c>
      <c r="V97" s="23" t="n">
        <f aca="false">V53*IF(AND($C53="Assured",V$45&gt;=$C$25),$C$24,INDEX(Assumptions!$D$44:$D$46,MATCH($C53,Assumptions!$A$44:$A$46,0)))</f>
        <v>17784</v>
      </c>
      <c r="W97" s="23" t="n">
        <f aca="false">W53*IF(AND($C53="Assured",W$45&gt;=$C$25),$C$24,INDEX(Assumptions!$D$44:$D$46,MATCH($C53,Assumptions!$A$44:$A$46,0)))</f>
        <v>17784</v>
      </c>
      <c r="X97" s="23" t="n">
        <f aca="false">X53*IF(AND($C53="Assured",X$45&gt;=$C$25),$C$24,INDEX(Assumptions!$D$44:$D$46,MATCH($C53,Assumptions!$A$44:$A$46,0)))</f>
        <v>17784</v>
      </c>
      <c r="Y97" s="23" t="n">
        <f aca="false">Y53*IF(AND($C53="Assured",Y$45&gt;=$C$25),$C$24,INDEX(Assumptions!$D$44:$D$46,MATCH($C53,Assumptions!$A$44:$A$46,0)))</f>
        <v>17784</v>
      </c>
    </row>
    <row r="98" customFormat="false" ht="15" hidden="false" customHeight="false" outlineLevel="0" collapsed="false">
      <c r="A98" s="2" t="n">
        <f aca="false">A54</f>
        <v>7</v>
      </c>
      <c r="B98" s="2" t="str">
        <f aca="false">B54</f>
        <v>A</v>
      </c>
      <c r="C98" s="2" t="str">
        <f aca="false">C54</f>
        <v>Assured</v>
      </c>
      <c r="D98" s="2"/>
      <c r="E98" s="2"/>
      <c r="F98" s="2"/>
      <c r="G98" s="2"/>
      <c r="H98" s="23" t="n">
        <f aca="false">H54*IF(AND($C54="Assured",H$45&gt;=$C$25),$C$24,INDEX(Assumptions!$D$44:$D$46,MATCH($C54,Assumptions!$A$44:$A$46,0)))</f>
        <v>0</v>
      </c>
      <c r="I98" s="23" t="n">
        <f aca="false">I54*IF(AND($C54="Assured",I$45&gt;=$C$25),$C$24,INDEX(Assumptions!$D$44:$D$46,MATCH($C54,Assumptions!$A$44:$A$46,0)))</f>
        <v>0</v>
      </c>
      <c r="J98" s="23" t="n">
        <f aca="false">J54*IF(AND($C54="Assured",J$45&gt;=$C$25),$C$24,INDEX(Assumptions!$D$44:$D$46,MATCH($C54,Assumptions!$A$44:$A$46,0)))</f>
        <v>0</v>
      </c>
      <c r="K98" s="23" t="n">
        <f aca="false">K54*IF(AND($C54="Assured",K$45&gt;=$C$25),$C$24,INDEX(Assumptions!$D$44:$D$46,MATCH($C54,Assumptions!$A$44:$A$46,0)))</f>
        <v>0</v>
      </c>
      <c r="L98" s="23" t="n">
        <f aca="false">L54*IF(AND($C54="Assured",L$45&gt;=$C$25),$C$24,INDEX(Assumptions!$D$44:$D$46,MATCH($C54,Assumptions!$A$44:$A$46,0)))</f>
        <v>0</v>
      </c>
      <c r="M98" s="23" t="n">
        <f aca="false">M54*IF(AND($C54="Assured",M$45&gt;=$C$25),$C$24,INDEX(Assumptions!$D$44:$D$46,MATCH($C54,Assumptions!$A$44:$A$46,0)))</f>
        <v>6002.1</v>
      </c>
      <c r="N98" s="23" t="n">
        <f aca="false">N54*IF(AND($C54="Assured",N$45&gt;=$C$25),$C$24,INDEX(Assumptions!$D$44:$D$46,MATCH($C54,Assumptions!$A$44:$A$46,0)))</f>
        <v>12004.2</v>
      </c>
      <c r="O98" s="23" t="n">
        <f aca="false">O54*IF(AND($C54="Assured",O$45&gt;=$C$25),$C$24,INDEX(Assumptions!$D$44:$D$46,MATCH($C54,Assumptions!$A$44:$A$46,0)))</f>
        <v>17005.95</v>
      </c>
      <c r="P98" s="23" t="n">
        <f aca="false">P54*IF(AND($C54="Assured",P$45&gt;=$C$25),$C$24,INDEX(Assumptions!$D$44:$D$46,MATCH($C54,Assumptions!$A$44:$A$46,0)))</f>
        <v>20007</v>
      </c>
      <c r="Q98" s="23" t="n">
        <f aca="false">Q54*IF(AND($C54="Assured",Q$45&gt;=$C$25),$C$24,INDEX(Assumptions!$D$44:$D$46,MATCH($C54,Assumptions!$A$44:$A$46,0)))</f>
        <v>17784</v>
      </c>
      <c r="R98" s="23" t="n">
        <f aca="false">R54*IF(AND($C54="Assured",R$45&gt;=$C$25),$C$24,INDEX(Assumptions!$D$44:$D$46,MATCH($C54,Assumptions!$A$44:$A$46,0)))</f>
        <v>17784</v>
      </c>
      <c r="S98" s="23" t="n">
        <f aca="false">S54*IF(AND($C54="Assured",S$45&gt;=$C$25),$C$24,INDEX(Assumptions!$D$44:$D$46,MATCH($C54,Assumptions!$A$44:$A$46,0)))</f>
        <v>17784</v>
      </c>
      <c r="T98" s="23" t="n">
        <f aca="false">T54*IF(AND($C54="Assured",T$45&gt;=$C$25),$C$24,INDEX(Assumptions!$D$44:$D$46,MATCH($C54,Assumptions!$A$44:$A$46,0)))</f>
        <v>17784</v>
      </c>
      <c r="U98" s="23" t="n">
        <f aca="false">U54*IF(AND($C54="Assured",U$45&gt;=$C$25),$C$24,INDEX(Assumptions!$D$44:$D$46,MATCH($C54,Assumptions!$A$44:$A$46,0)))</f>
        <v>17784</v>
      </c>
      <c r="V98" s="23" t="n">
        <f aca="false">V54*IF(AND($C54="Assured",V$45&gt;=$C$25),$C$24,INDEX(Assumptions!$D$44:$D$46,MATCH($C54,Assumptions!$A$44:$A$46,0)))</f>
        <v>17784</v>
      </c>
      <c r="W98" s="23" t="n">
        <f aca="false">W54*IF(AND($C54="Assured",W$45&gt;=$C$25),$C$24,INDEX(Assumptions!$D$44:$D$46,MATCH($C54,Assumptions!$A$44:$A$46,0)))</f>
        <v>17784</v>
      </c>
      <c r="X98" s="23" t="n">
        <f aca="false">X54*IF(AND($C54="Assured",X$45&gt;=$C$25),$C$24,INDEX(Assumptions!$D$44:$D$46,MATCH($C54,Assumptions!$A$44:$A$46,0)))</f>
        <v>17784</v>
      </c>
      <c r="Y98" s="23" t="n">
        <f aca="false">Y54*IF(AND($C54="Assured",Y$45&gt;=$C$25),$C$24,INDEX(Assumptions!$D$44:$D$46,MATCH($C54,Assumptions!$A$44:$A$46,0)))</f>
        <v>17784</v>
      </c>
    </row>
    <row r="99" customFormat="false" ht="15" hidden="false" customHeight="false" outlineLevel="0" collapsed="false">
      <c r="A99" s="2" t="n">
        <f aca="false">A55</f>
        <v>8</v>
      </c>
      <c r="B99" s="2" t="str">
        <f aca="false">B55</f>
        <v>A</v>
      </c>
      <c r="C99" s="2" t="str">
        <f aca="false">C55</f>
        <v>Assured</v>
      </c>
      <c r="D99" s="2"/>
      <c r="E99" s="2"/>
      <c r="F99" s="2"/>
      <c r="G99" s="2"/>
      <c r="H99" s="23" t="n">
        <f aca="false">H55*IF(AND($C55="Assured",H$45&gt;=$C$25),$C$24,INDEX(Assumptions!$D$44:$D$46,MATCH($C55,Assumptions!$A$44:$A$46,0)))</f>
        <v>0</v>
      </c>
      <c r="I99" s="23" t="n">
        <f aca="false">I55*IF(AND($C55="Assured",I$45&gt;=$C$25),$C$24,INDEX(Assumptions!$D$44:$D$46,MATCH($C55,Assumptions!$A$44:$A$46,0)))</f>
        <v>0</v>
      </c>
      <c r="J99" s="23" t="n">
        <f aca="false">J55*IF(AND($C55="Assured",J$45&gt;=$C$25),$C$24,INDEX(Assumptions!$D$44:$D$46,MATCH($C55,Assumptions!$A$44:$A$46,0)))</f>
        <v>0</v>
      </c>
      <c r="K99" s="23" t="n">
        <f aca="false">K55*IF(AND($C55="Assured",K$45&gt;=$C$25),$C$24,INDEX(Assumptions!$D$44:$D$46,MATCH($C55,Assumptions!$A$44:$A$46,0)))</f>
        <v>0</v>
      </c>
      <c r="L99" s="23" t="n">
        <f aca="false">L55*IF(AND($C55="Assured",L$45&gt;=$C$25),$C$24,INDEX(Assumptions!$D$44:$D$46,MATCH($C55,Assumptions!$A$44:$A$46,0)))</f>
        <v>0</v>
      </c>
      <c r="M99" s="23" t="n">
        <f aca="false">M55*IF(AND($C55="Assured",M$45&gt;=$C$25),$C$24,INDEX(Assumptions!$D$44:$D$46,MATCH($C55,Assumptions!$A$44:$A$46,0)))</f>
        <v>6002.1</v>
      </c>
      <c r="N99" s="23" t="n">
        <f aca="false">N55*IF(AND($C55="Assured",N$45&gt;=$C$25),$C$24,INDEX(Assumptions!$D$44:$D$46,MATCH($C55,Assumptions!$A$44:$A$46,0)))</f>
        <v>12004.2</v>
      </c>
      <c r="O99" s="23" t="n">
        <f aca="false">O55*IF(AND($C55="Assured",O$45&gt;=$C$25),$C$24,INDEX(Assumptions!$D$44:$D$46,MATCH($C55,Assumptions!$A$44:$A$46,0)))</f>
        <v>17005.95</v>
      </c>
      <c r="P99" s="23" t="n">
        <f aca="false">P55*IF(AND($C55="Assured",P$45&gt;=$C$25),$C$24,INDEX(Assumptions!$D$44:$D$46,MATCH($C55,Assumptions!$A$44:$A$46,0)))</f>
        <v>20007</v>
      </c>
      <c r="Q99" s="23" t="n">
        <f aca="false">Q55*IF(AND($C55="Assured",Q$45&gt;=$C$25),$C$24,INDEX(Assumptions!$D$44:$D$46,MATCH($C55,Assumptions!$A$44:$A$46,0)))</f>
        <v>17784</v>
      </c>
      <c r="R99" s="23" t="n">
        <f aca="false">R55*IF(AND($C55="Assured",R$45&gt;=$C$25),$C$24,INDEX(Assumptions!$D$44:$D$46,MATCH($C55,Assumptions!$A$44:$A$46,0)))</f>
        <v>17784</v>
      </c>
      <c r="S99" s="23" t="n">
        <f aca="false">S55*IF(AND($C55="Assured",S$45&gt;=$C$25),$C$24,INDEX(Assumptions!$D$44:$D$46,MATCH($C55,Assumptions!$A$44:$A$46,0)))</f>
        <v>17784</v>
      </c>
      <c r="T99" s="23" t="n">
        <f aca="false">T55*IF(AND($C55="Assured",T$45&gt;=$C$25),$C$24,INDEX(Assumptions!$D$44:$D$46,MATCH($C55,Assumptions!$A$44:$A$46,0)))</f>
        <v>17784</v>
      </c>
      <c r="U99" s="23" t="n">
        <f aca="false">U55*IF(AND($C55="Assured",U$45&gt;=$C$25),$C$24,INDEX(Assumptions!$D$44:$D$46,MATCH($C55,Assumptions!$A$44:$A$46,0)))</f>
        <v>17784</v>
      </c>
      <c r="V99" s="23" t="n">
        <f aca="false">V55*IF(AND($C55="Assured",V$45&gt;=$C$25),$C$24,INDEX(Assumptions!$D$44:$D$46,MATCH($C55,Assumptions!$A$44:$A$46,0)))</f>
        <v>17784</v>
      </c>
      <c r="W99" s="23" t="n">
        <f aca="false">W55*IF(AND($C55="Assured",W$45&gt;=$C$25),$C$24,INDEX(Assumptions!$D$44:$D$46,MATCH($C55,Assumptions!$A$44:$A$46,0)))</f>
        <v>17784</v>
      </c>
      <c r="X99" s="23" t="n">
        <f aca="false">X55*IF(AND($C55="Assured",X$45&gt;=$C$25),$C$24,INDEX(Assumptions!$D$44:$D$46,MATCH($C55,Assumptions!$A$44:$A$46,0)))</f>
        <v>17784</v>
      </c>
      <c r="Y99" s="23" t="n">
        <f aca="false">Y55*IF(AND($C55="Assured",Y$45&gt;=$C$25),$C$24,INDEX(Assumptions!$D$44:$D$46,MATCH($C55,Assumptions!$A$44:$A$46,0)))</f>
        <v>17784</v>
      </c>
    </row>
    <row r="100" customFormat="false" ht="15" hidden="false" customHeight="false" outlineLevel="0" collapsed="false">
      <c r="A100" s="2" t="n">
        <f aca="false">A56</f>
        <v>9</v>
      </c>
      <c r="B100" s="2" t="str">
        <f aca="false">B56</f>
        <v>A</v>
      </c>
      <c r="C100" s="2" t="str">
        <f aca="false">C56</f>
        <v>Assured</v>
      </c>
      <c r="D100" s="2"/>
      <c r="E100" s="2"/>
      <c r="F100" s="2"/>
      <c r="G100" s="2"/>
      <c r="H100" s="23" t="n">
        <f aca="false">H56*IF(AND($C56="Assured",H$45&gt;=$C$25),$C$24,INDEX(Assumptions!$D$44:$D$46,MATCH($C56,Assumptions!$A$44:$A$46,0)))</f>
        <v>0</v>
      </c>
      <c r="I100" s="23" t="n">
        <f aca="false">I56*IF(AND($C56="Assured",I$45&gt;=$C$25),$C$24,INDEX(Assumptions!$D$44:$D$46,MATCH($C56,Assumptions!$A$44:$A$46,0)))</f>
        <v>0</v>
      </c>
      <c r="J100" s="23" t="n">
        <f aca="false">J56*IF(AND($C56="Assured",J$45&gt;=$C$25),$C$24,INDEX(Assumptions!$D$44:$D$46,MATCH($C56,Assumptions!$A$44:$A$46,0)))</f>
        <v>0</v>
      </c>
      <c r="K100" s="23" t="n">
        <f aca="false">K56*IF(AND($C56="Assured",K$45&gt;=$C$25),$C$24,INDEX(Assumptions!$D$44:$D$46,MATCH($C56,Assumptions!$A$44:$A$46,0)))</f>
        <v>0</v>
      </c>
      <c r="L100" s="23" t="n">
        <f aca="false">L56*IF(AND($C56="Assured",L$45&gt;=$C$25),$C$24,INDEX(Assumptions!$D$44:$D$46,MATCH($C56,Assumptions!$A$44:$A$46,0)))</f>
        <v>0</v>
      </c>
      <c r="M100" s="23" t="n">
        <f aca="false">M56*IF(AND($C56="Assured",M$45&gt;=$C$25),$C$24,INDEX(Assumptions!$D$44:$D$46,MATCH($C56,Assumptions!$A$44:$A$46,0)))</f>
        <v>0</v>
      </c>
      <c r="N100" s="23" t="n">
        <f aca="false">N56*IF(AND($C56="Assured",N$45&gt;=$C$25),$C$24,INDEX(Assumptions!$D$44:$D$46,MATCH($C56,Assumptions!$A$44:$A$46,0)))</f>
        <v>6002.1</v>
      </c>
      <c r="O100" s="23" t="n">
        <f aca="false">O56*IF(AND($C56="Assured",O$45&gt;=$C$25),$C$24,INDEX(Assumptions!$D$44:$D$46,MATCH($C56,Assumptions!$A$44:$A$46,0)))</f>
        <v>12004.2</v>
      </c>
      <c r="P100" s="23" t="n">
        <f aca="false">P56*IF(AND($C56="Assured",P$45&gt;=$C$25),$C$24,INDEX(Assumptions!$D$44:$D$46,MATCH($C56,Assumptions!$A$44:$A$46,0)))</f>
        <v>17005.95</v>
      </c>
      <c r="Q100" s="23" t="n">
        <f aca="false">Q56*IF(AND($C56="Assured",Q$45&gt;=$C$25),$C$24,INDEX(Assumptions!$D$44:$D$46,MATCH($C56,Assumptions!$A$44:$A$46,0)))</f>
        <v>17784</v>
      </c>
      <c r="R100" s="23" t="n">
        <f aca="false">R56*IF(AND($C56="Assured",R$45&gt;=$C$25),$C$24,INDEX(Assumptions!$D$44:$D$46,MATCH($C56,Assumptions!$A$44:$A$46,0)))</f>
        <v>17784</v>
      </c>
      <c r="S100" s="23" t="n">
        <f aca="false">S56*IF(AND($C56="Assured",S$45&gt;=$C$25),$C$24,INDEX(Assumptions!$D$44:$D$46,MATCH($C56,Assumptions!$A$44:$A$46,0)))</f>
        <v>17784</v>
      </c>
      <c r="T100" s="23" t="n">
        <f aca="false">T56*IF(AND($C56="Assured",T$45&gt;=$C$25),$C$24,INDEX(Assumptions!$D$44:$D$46,MATCH($C56,Assumptions!$A$44:$A$46,0)))</f>
        <v>17784</v>
      </c>
      <c r="U100" s="23" t="n">
        <f aca="false">U56*IF(AND($C56="Assured",U$45&gt;=$C$25),$C$24,INDEX(Assumptions!$D$44:$D$46,MATCH($C56,Assumptions!$A$44:$A$46,0)))</f>
        <v>17784</v>
      </c>
      <c r="V100" s="23" t="n">
        <f aca="false">V56*IF(AND($C56="Assured",V$45&gt;=$C$25),$C$24,INDEX(Assumptions!$D$44:$D$46,MATCH($C56,Assumptions!$A$44:$A$46,0)))</f>
        <v>17784</v>
      </c>
      <c r="W100" s="23" t="n">
        <f aca="false">W56*IF(AND($C56="Assured",W$45&gt;=$C$25),$C$24,INDEX(Assumptions!$D$44:$D$46,MATCH($C56,Assumptions!$A$44:$A$46,0)))</f>
        <v>17784</v>
      </c>
      <c r="X100" s="23" t="n">
        <f aca="false">X56*IF(AND($C56="Assured",X$45&gt;=$C$25),$C$24,INDEX(Assumptions!$D$44:$D$46,MATCH($C56,Assumptions!$A$44:$A$46,0)))</f>
        <v>17784</v>
      </c>
      <c r="Y100" s="23" t="n">
        <f aca="false">Y56*IF(AND($C56="Assured",Y$45&gt;=$C$25),$C$24,INDEX(Assumptions!$D$44:$D$46,MATCH($C56,Assumptions!$A$44:$A$46,0)))</f>
        <v>17784</v>
      </c>
    </row>
    <row r="101" customFormat="false" ht="15" hidden="false" customHeight="false" outlineLevel="0" collapsed="false">
      <c r="A101" s="2" t="n">
        <f aca="false">A57</f>
        <v>10</v>
      </c>
      <c r="B101" s="2" t="str">
        <f aca="false">B57</f>
        <v>C</v>
      </c>
      <c r="C101" s="2" t="str">
        <f aca="false">C57</f>
        <v>Assured</v>
      </c>
      <c r="D101" s="2"/>
      <c r="E101" s="2"/>
      <c r="F101" s="2"/>
      <c r="G101" s="2"/>
      <c r="H101" s="23" t="n">
        <f aca="false">H57*IF(AND($C57="Assured",H$45&gt;=$C$25),$C$24,INDEX(Assumptions!$D$44:$D$46,MATCH($C57,Assumptions!$A$44:$A$46,0)))</f>
        <v>0</v>
      </c>
      <c r="I101" s="23" t="n">
        <f aca="false">I57*IF(AND($C57="Assured",I$45&gt;=$C$25),$C$24,INDEX(Assumptions!$D$44:$D$46,MATCH($C57,Assumptions!$A$44:$A$46,0)))</f>
        <v>0</v>
      </c>
      <c r="J101" s="23" t="n">
        <f aca="false">J57*IF(AND($C57="Assured",J$45&gt;=$C$25),$C$24,INDEX(Assumptions!$D$44:$D$46,MATCH($C57,Assumptions!$A$44:$A$46,0)))</f>
        <v>0</v>
      </c>
      <c r="K101" s="23" t="n">
        <f aca="false">K57*IF(AND($C57="Assured",K$45&gt;=$C$25),$C$24,INDEX(Assumptions!$D$44:$D$46,MATCH($C57,Assumptions!$A$44:$A$46,0)))</f>
        <v>0</v>
      </c>
      <c r="L101" s="23" t="n">
        <f aca="false">L57*IF(AND($C57="Assured",L$45&gt;=$C$25),$C$24,INDEX(Assumptions!$D$44:$D$46,MATCH($C57,Assumptions!$A$44:$A$46,0)))</f>
        <v>0</v>
      </c>
      <c r="M101" s="23" t="n">
        <f aca="false">M57*IF(AND($C57="Assured",M$45&gt;=$C$25),$C$24,INDEX(Assumptions!$D$44:$D$46,MATCH($C57,Assumptions!$A$44:$A$46,0)))</f>
        <v>0</v>
      </c>
      <c r="N101" s="23" t="n">
        <f aca="false">N57*IF(AND($C57="Assured",N$45&gt;=$C$25),$C$24,INDEX(Assumptions!$D$44:$D$46,MATCH($C57,Assumptions!$A$44:$A$46,0)))</f>
        <v>0</v>
      </c>
      <c r="O101" s="23" t="n">
        <f aca="false">O57*IF(AND($C57="Assured",O$45&gt;=$C$25),$C$24,INDEX(Assumptions!$D$44:$D$46,MATCH($C57,Assumptions!$A$44:$A$46,0)))</f>
        <v>6502.275</v>
      </c>
      <c r="P101" s="23" t="n">
        <f aca="false">P57*IF(AND($C57="Assured",P$45&gt;=$C$25),$C$24,INDEX(Assumptions!$D$44:$D$46,MATCH($C57,Assumptions!$A$44:$A$46,0)))</f>
        <v>13004.55</v>
      </c>
      <c r="Q101" s="23" t="n">
        <f aca="false">Q57*IF(AND($C57="Assured",Q$45&gt;=$C$25),$C$24,INDEX(Assumptions!$D$44:$D$46,MATCH($C57,Assumptions!$A$44:$A$46,0)))</f>
        <v>16376.1</v>
      </c>
      <c r="R101" s="23" t="n">
        <f aca="false">R57*IF(AND($C57="Assured",R$45&gt;=$C$25),$C$24,INDEX(Assumptions!$D$44:$D$46,MATCH($C57,Assumptions!$A$44:$A$46,0)))</f>
        <v>19266</v>
      </c>
      <c r="S101" s="23" t="n">
        <f aca="false">S57*IF(AND($C57="Assured",S$45&gt;=$C$25),$C$24,INDEX(Assumptions!$D$44:$D$46,MATCH($C57,Assumptions!$A$44:$A$46,0)))</f>
        <v>19266</v>
      </c>
      <c r="T101" s="23" t="n">
        <f aca="false">T57*IF(AND($C57="Assured",T$45&gt;=$C$25),$C$24,INDEX(Assumptions!$D$44:$D$46,MATCH($C57,Assumptions!$A$44:$A$46,0)))</f>
        <v>19266</v>
      </c>
      <c r="U101" s="23" t="n">
        <f aca="false">U57*IF(AND($C57="Assured",U$45&gt;=$C$25),$C$24,INDEX(Assumptions!$D$44:$D$46,MATCH($C57,Assumptions!$A$44:$A$46,0)))</f>
        <v>19266</v>
      </c>
      <c r="V101" s="23" t="n">
        <f aca="false">V57*IF(AND($C57="Assured",V$45&gt;=$C$25),$C$24,INDEX(Assumptions!$D$44:$D$46,MATCH($C57,Assumptions!$A$44:$A$46,0)))</f>
        <v>19266</v>
      </c>
      <c r="W101" s="23" t="n">
        <f aca="false">W57*IF(AND($C57="Assured",W$45&gt;=$C$25),$C$24,INDEX(Assumptions!$D$44:$D$46,MATCH($C57,Assumptions!$A$44:$A$46,0)))</f>
        <v>19266</v>
      </c>
      <c r="X101" s="23" t="n">
        <f aca="false">X57*IF(AND($C57="Assured",X$45&gt;=$C$25),$C$24,INDEX(Assumptions!$D$44:$D$46,MATCH($C57,Assumptions!$A$44:$A$46,0)))</f>
        <v>19266</v>
      </c>
      <c r="Y101" s="23" t="n">
        <f aca="false">Y57*IF(AND($C57="Assured",Y$45&gt;=$C$25),$C$24,INDEX(Assumptions!$D$44:$D$46,MATCH($C57,Assumptions!$A$44:$A$46,0)))</f>
        <v>19266</v>
      </c>
    </row>
    <row r="102" customFormat="false" ht="15" hidden="false" customHeight="false" outlineLevel="0" collapsed="false">
      <c r="A102" s="2" t="n">
        <f aca="false">A58</f>
        <v>11</v>
      </c>
      <c r="B102" s="2" t="str">
        <f aca="false">B58</f>
        <v>C</v>
      </c>
      <c r="C102" s="2" t="str">
        <f aca="false">C58</f>
        <v>Assured</v>
      </c>
      <c r="D102" s="2"/>
      <c r="E102" s="2"/>
      <c r="F102" s="2"/>
      <c r="G102" s="2"/>
      <c r="H102" s="23" t="n">
        <f aca="false">H58*IF(AND($C58="Assured",H$45&gt;=$C$25),$C$24,INDEX(Assumptions!$D$44:$D$46,MATCH($C58,Assumptions!$A$44:$A$46,0)))</f>
        <v>0</v>
      </c>
      <c r="I102" s="23" t="n">
        <f aca="false">I58*IF(AND($C58="Assured",I$45&gt;=$C$25),$C$24,INDEX(Assumptions!$D$44:$D$46,MATCH($C58,Assumptions!$A$44:$A$46,0)))</f>
        <v>0</v>
      </c>
      <c r="J102" s="23" t="n">
        <f aca="false">J58*IF(AND($C58="Assured",J$45&gt;=$C$25),$C$24,INDEX(Assumptions!$D$44:$D$46,MATCH($C58,Assumptions!$A$44:$A$46,0)))</f>
        <v>0</v>
      </c>
      <c r="K102" s="23" t="n">
        <f aca="false">K58*IF(AND($C58="Assured",K$45&gt;=$C$25),$C$24,INDEX(Assumptions!$D$44:$D$46,MATCH($C58,Assumptions!$A$44:$A$46,0)))</f>
        <v>0</v>
      </c>
      <c r="L102" s="23" t="n">
        <f aca="false">L58*IF(AND($C58="Assured",L$45&gt;=$C$25),$C$24,INDEX(Assumptions!$D$44:$D$46,MATCH($C58,Assumptions!$A$44:$A$46,0)))</f>
        <v>0</v>
      </c>
      <c r="M102" s="23" t="n">
        <f aca="false">M58*IF(AND($C58="Assured",M$45&gt;=$C$25),$C$24,INDEX(Assumptions!$D$44:$D$46,MATCH($C58,Assumptions!$A$44:$A$46,0)))</f>
        <v>0</v>
      </c>
      <c r="N102" s="23" t="n">
        <f aca="false">N58*IF(AND($C58="Assured",N$45&gt;=$C$25),$C$24,INDEX(Assumptions!$D$44:$D$46,MATCH($C58,Assumptions!$A$44:$A$46,0)))</f>
        <v>0</v>
      </c>
      <c r="O102" s="23" t="n">
        <f aca="false">O58*IF(AND($C58="Assured",O$45&gt;=$C$25),$C$24,INDEX(Assumptions!$D$44:$D$46,MATCH($C58,Assumptions!$A$44:$A$46,0)))</f>
        <v>0</v>
      </c>
      <c r="P102" s="23" t="n">
        <f aca="false">P58*IF(AND($C58="Assured",P$45&gt;=$C$25),$C$24,INDEX(Assumptions!$D$44:$D$46,MATCH($C58,Assumptions!$A$44:$A$46,0)))</f>
        <v>6502.275</v>
      </c>
      <c r="Q102" s="23" t="n">
        <f aca="false">Q58*IF(AND($C58="Assured",Q$45&gt;=$C$25),$C$24,INDEX(Assumptions!$D$44:$D$46,MATCH($C58,Assumptions!$A$44:$A$46,0)))</f>
        <v>11559.6</v>
      </c>
      <c r="R102" s="23" t="n">
        <f aca="false">R58*IF(AND($C58="Assured",R$45&gt;=$C$25),$C$24,INDEX(Assumptions!$D$44:$D$46,MATCH($C58,Assumptions!$A$44:$A$46,0)))</f>
        <v>16376.1</v>
      </c>
      <c r="S102" s="23" t="n">
        <f aca="false">S58*IF(AND($C58="Assured",S$45&gt;=$C$25),$C$24,INDEX(Assumptions!$D$44:$D$46,MATCH($C58,Assumptions!$A$44:$A$46,0)))</f>
        <v>19266</v>
      </c>
      <c r="T102" s="23" t="n">
        <f aca="false">T58*IF(AND($C58="Assured",T$45&gt;=$C$25),$C$24,INDEX(Assumptions!$D$44:$D$46,MATCH($C58,Assumptions!$A$44:$A$46,0)))</f>
        <v>19266</v>
      </c>
      <c r="U102" s="23" t="n">
        <f aca="false">U58*IF(AND($C58="Assured",U$45&gt;=$C$25),$C$24,INDEX(Assumptions!$D$44:$D$46,MATCH($C58,Assumptions!$A$44:$A$46,0)))</f>
        <v>19266</v>
      </c>
      <c r="V102" s="23" t="n">
        <f aca="false">V58*IF(AND($C58="Assured",V$45&gt;=$C$25),$C$24,INDEX(Assumptions!$D$44:$D$46,MATCH($C58,Assumptions!$A$44:$A$46,0)))</f>
        <v>19266</v>
      </c>
      <c r="W102" s="23" t="n">
        <f aca="false">W58*IF(AND($C58="Assured",W$45&gt;=$C$25),$C$24,INDEX(Assumptions!$D$44:$D$46,MATCH($C58,Assumptions!$A$44:$A$46,0)))</f>
        <v>19266</v>
      </c>
      <c r="X102" s="23" t="n">
        <f aca="false">X58*IF(AND($C58="Assured",X$45&gt;=$C$25),$C$24,INDEX(Assumptions!$D$44:$D$46,MATCH($C58,Assumptions!$A$44:$A$46,0)))</f>
        <v>19266</v>
      </c>
      <c r="Y102" s="23" t="n">
        <f aca="false">Y58*IF(AND($C58="Assured",Y$45&gt;=$C$25),$C$24,INDEX(Assumptions!$D$44:$D$46,MATCH($C58,Assumptions!$A$44:$A$46,0)))</f>
        <v>19266</v>
      </c>
    </row>
    <row r="103" customFormat="false" ht="15" hidden="false" customHeight="false" outlineLevel="0" collapsed="false">
      <c r="A103" s="2" t="n">
        <f aca="false">A59</f>
        <v>12</v>
      </c>
      <c r="B103" s="2" t="str">
        <f aca="false">B59</f>
        <v>C</v>
      </c>
      <c r="C103" s="2" t="str">
        <f aca="false">C59</f>
        <v>Assured</v>
      </c>
      <c r="D103" s="2"/>
      <c r="E103" s="2"/>
      <c r="F103" s="2"/>
      <c r="G103" s="2"/>
      <c r="H103" s="23" t="n">
        <f aca="false">H59*IF(AND($C59="Assured",H$45&gt;=$C$25),$C$24,INDEX(Assumptions!$D$44:$D$46,MATCH($C59,Assumptions!$A$44:$A$46,0)))</f>
        <v>0</v>
      </c>
      <c r="I103" s="23" t="n">
        <f aca="false">I59*IF(AND($C59="Assured",I$45&gt;=$C$25),$C$24,INDEX(Assumptions!$D$44:$D$46,MATCH($C59,Assumptions!$A$44:$A$46,0)))</f>
        <v>0</v>
      </c>
      <c r="J103" s="23" t="n">
        <f aca="false">J59*IF(AND($C59="Assured",J$45&gt;=$C$25),$C$24,INDEX(Assumptions!$D$44:$D$46,MATCH($C59,Assumptions!$A$44:$A$46,0)))</f>
        <v>0</v>
      </c>
      <c r="K103" s="23" t="n">
        <f aca="false">K59*IF(AND($C59="Assured",K$45&gt;=$C$25),$C$24,INDEX(Assumptions!$D$44:$D$46,MATCH($C59,Assumptions!$A$44:$A$46,0)))</f>
        <v>0</v>
      </c>
      <c r="L103" s="23" t="n">
        <f aca="false">L59*IF(AND($C59="Assured",L$45&gt;=$C$25),$C$24,INDEX(Assumptions!$D$44:$D$46,MATCH($C59,Assumptions!$A$44:$A$46,0)))</f>
        <v>0</v>
      </c>
      <c r="M103" s="23" t="n">
        <f aca="false">M59*IF(AND($C59="Assured",M$45&gt;=$C$25),$C$24,INDEX(Assumptions!$D$44:$D$46,MATCH($C59,Assumptions!$A$44:$A$46,0)))</f>
        <v>0</v>
      </c>
      <c r="N103" s="23" t="n">
        <f aca="false">N59*IF(AND($C59="Assured",N$45&gt;=$C$25),$C$24,INDEX(Assumptions!$D$44:$D$46,MATCH($C59,Assumptions!$A$44:$A$46,0)))</f>
        <v>0</v>
      </c>
      <c r="O103" s="23" t="n">
        <f aca="false">O59*IF(AND($C59="Assured",O$45&gt;=$C$25),$C$24,INDEX(Assumptions!$D$44:$D$46,MATCH($C59,Assumptions!$A$44:$A$46,0)))</f>
        <v>0</v>
      </c>
      <c r="P103" s="23" t="n">
        <f aca="false">P59*IF(AND($C59="Assured",P$45&gt;=$C$25),$C$24,INDEX(Assumptions!$D$44:$D$46,MATCH($C59,Assumptions!$A$44:$A$46,0)))</f>
        <v>6502.275</v>
      </c>
      <c r="Q103" s="23" t="n">
        <f aca="false">Q59*IF(AND($C59="Assured",Q$45&gt;=$C$25),$C$24,INDEX(Assumptions!$D$44:$D$46,MATCH($C59,Assumptions!$A$44:$A$46,0)))</f>
        <v>11559.6</v>
      </c>
      <c r="R103" s="23" t="n">
        <f aca="false">R59*IF(AND($C59="Assured",R$45&gt;=$C$25),$C$24,INDEX(Assumptions!$D$44:$D$46,MATCH($C59,Assumptions!$A$44:$A$46,0)))</f>
        <v>16376.1</v>
      </c>
      <c r="S103" s="23" t="n">
        <f aca="false">S59*IF(AND($C59="Assured",S$45&gt;=$C$25),$C$24,INDEX(Assumptions!$D$44:$D$46,MATCH($C59,Assumptions!$A$44:$A$46,0)))</f>
        <v>19266</v>
      </c>
      <c r="T103" s="23" t="n">
        <f aca="false">T59*IF(AND($C59="Assured",T$45&gt;=$C$25),$C$24,INDEX(Assumptions!$D$44:$D$46,MATCH($C59,Assumptions!$A$44:$A$46,0)))</f>
        <v>19266</v>
      </c>
      <c r="U103" s="23" t="n">
        <f aca="false">U59*IF(AND($C59="Assured",U$45&gt;=$C$25),$C$24,INDEX(Assumptions!$D$44:$D$46,MATCH($C59,Assumptions!$A$44:$A$46,0)))</f>
        <v>19266</v>
      </c>
      <c r="V103" s="23" t="n">
        <f aca="false">V59*IF(AND($C59="Assured",V$45&gt;=$C$25),$C$24,INDEX(Assumptions!$D$44:$D$46,MATCH($C59,Assumptions!$A$44:$A$46,0)))</f>
        <v>19266</v>
      </c>
      <c r="W103" s="23" t="n">
        <f aca="false">W59*IF(AND($C59="Assured",W$45&gt;=$C$25),$C$24,INDEX(Assumptions!$D$44:$D$46,MATCH($C59,Assumptions!$A$44:$A$46,0)))</f>
        <v>19266</v>
      </c>
      <c r="X103" s="23" t="n">
        <f aca="false">X59*IF(AND($C59="Assured",X$45&gt;=$C$25),$C$24,INDEX(Assumptions!$D$44:$D$46,MATCH($C59,Assumptions!$A$44:$A$46,0)))</f>
        <v>19266</v>
      </c>
      <c r="Y103" s="23" t="n">
        <f aca="false">Y59*IF(AND($C59="Assured",Y$45&gt;=$C$25),$C$24,INDEX(Assumptions!$D$44:$D$46,MATCH($C59,Assumptions!$A$44:$A$46,0)))</f>
        <v>19266</v>
      </c>
    </row>
    <row r="104" customFormat="false" ht="15" hidden="false" customHeight="false" outlineLevel="0" collapsed="false">
      <c r="A104" s="2" t="n">
        <f aca="false">A60</f>
        <v>13</v>
      </c>
      <c r="B104" s="2" t="str">
        <f aca="false">B60</f>
        <v>C</v>
      </c>
      <c r="C104" s="2" t="str">
        <f aca="false">C60</f>
        <v>Assured</v>
      </c>
      <c r="D104" s="2"/>
      <c r="E104" s="2"/>
      <c r="F104" s="2"/>
      <c r="G104" s="2"/>
      <c r="H104" s="23" t="n">
        <f aca="false">H60*IF(AND($C60="Assured",H$45&gt;=$C$25),$C$24,INDEX(Assumptions!$D$44:$D$46,MATCH($C60,Assumptions!$A$44:$A$46,0)))</f>
        <v>0</v>
      </c>
      <c r="I104" s="23" t="n">
        <f aca="false">I60*IF(AND($C60="Assured",I$45&gt;=$C$25),$C$24,INDEX(Assumptions!$D$44:$D$46,MATCH($C60,Assumptions!$A$44:$A$46,0)))</f>
        <v>0</v>
      </c>
      <c r="J104" s="23" t="n">
        <f aca="false">J60*IF(AND($C60="Assured",J$45&gt;=$C$25),$C$24,INDEX(Assumptions!$D$44:$D$46,MATCH($C60,Assumptions!$A$44:$A$46,0)))</f>
        <v>0</v>
      </c>
      <c r="K104" s="23" t="n">
        <f aca="false">K60*IF(AND($C60="Assured",K$45&gt;=$C$25),$C$24,INDEX(Assumptions!$D$44:$D$46,MATCH($C60,Assumptions!$A$44:$A$46,0)))</f>
        <v>0</v>
      </c>
      <c r="L104" s="23" t="n">
        <f aca="false">L60*IF(AND($C60="Assured",L$45&gt;=$C$25),$C$24,INDEX(Assumptions!$D$44:$D$46,MATCH($C60,Assumptions!$A$44:$A$46,0)))</f>
        <v>0</v>
      </c>
      <c r="M104" s="23" t="n">
        <f aca="false">M60*IF(AND($C60="Assured",M$45&gt;=$C$25),$C$24,INDEX(Assumptions!$D$44:$D$46,MATCH($C60,Assumptions!$A$44:$A$46,0)))</f>
        <v>0</v>
      </c>
      <c r="N104" s="23" t="n">
        <f aca="false">N60*IF(AND($C60="Assured",N$45&gt;=$C$25),$C$24,INDEX(Assumptions!$D$44:$D$46,MATCH($C60,Assumptions!$A$44:$A$46,0)))</f>
        <v>0</v>
      </c>
      <c r="O104" s="23" t="n">
        <f aca="false">O60*IF(AND($C60="Assured",O$45&gt;=$C$25),$C$24,INDEX(Assumptions!$D$44:$D$46,MATCH($C60,Assumptions!$A$44:$A$46,0)))</f>
        <v>0</v>
      </c>
      <c r="P104" s="23" t="n">
        <f aca="false">P60*IF(AND($C60="Assured",P$45&gt;=$C$25),$C$24,INDEX(Assumptions!$D$44:$D$46,MATCH($C60,Assumptions!$A$44:$A$46,0)))</f>
        <v>0</v>
      </c>
      <c r="Q104" s="23" t="n">
        <f aca="false">Q60*IF(AND($C60="Assured",Q$45&gt;=$C$25),$C$24,INDEX(Assumptions!$D$44:$D$46,MATCH($C60,Assumptions!$A$44:$A$46,0)))</f>
        <v>5779.8</v>
      </c>
      <c r="R104" s="23" t="n">
        <f aca="false">R60*IF(AND($C60="Assured",R$45&gt;=$C$25),$C$24,INDEX(Assumptions!$D$44:$D$46,MATCH($C60,Assumptions!$A$44:$A$46,0)))</f>
        <v>11559.6</v>
      </c>
      <c r="S104" s="23" t="n">
        <f aca="false">S60*IF(AND($C60="Assured",S$45&gt;=$C$25),$C$24,INDEX(Assumptions!$D$44:$D$46,MATCH($C60,Assumptions!$A$44:$A$46,0)))</f>
        <v>16376.1</v>
      </c>
      <c r="T104" s="23" t="n">
        <f aca="false">T60*IF(AND($C60="Assured",T$45&gt;=$C$25),$C$24,INDEX(Assumptions!$D$44:$D$46,MATCH($C60,Assumptions!$A$44:$A$46,0)))</f>
        <v>19266</v>
      </c>
      <c r="U104" s="23" t="n">
        <f aca="false">U60*IF(AND($C60="Assured",U$45&gt;=$C$25),$C$24,INDEX(Assumptions!$D$44:$D$46,MATCH($C60,Assumptions!$A$44:$A$46,0)))</f>
        <v>19266</v>
      </c>
      <c r="V104" s="23" t="n">
        <f aca="false">V60*IF(AND($C60="Assured",V$45&gt;=$C$25),$C$24,INDEX(Assumptions!$D$44:$D$46,MATCH($C60,Assumptions!$A$44:$A$46,0)))</f>
        <v>19266</v>
      </c>
      <c r="W104" s="23" t="n">
        <f aca="false">W60*IF(AND($C60="Assured",W$45&gt;=$C$25),$C$24,INDEX(Assumptions!$D$44:$D$46,MATCH($C60,Assumptions!$A$44:$A$46,0)))</f>
        <v>19266</v>
      </c>
      <c r="X104" s="23" t="n">
        <f aca="false">X60*IF(AND($C60="Assured",X$45&gt;=$C$25),$C$24,INDEX(Assumptions!$D$44:$D$46,MATCH($C60,Assumptions!$A$44:$A$46,0)))</f>
        <v>19266</v>
      </c>
      <c r="Y104" s="23" t="n">
        <f aca="false">Y60*IF(AND($C60="Assured",Y$45&gt;=$C$25),$C$24,INDEX(Assumptions!$D$44:$D$46,MATCH($C60,Assumptions!$A$44:$A$46,0)))</f>
        <v>19266</v>
      </c>
    </row>
    <row r="105" customFormat="false" ht="15" hidden="false" customHeight="false" outlineLevel="0" collapsed="false">
      <c r="A105" s="2" t="n">
        <f aca="false">A61</f>
        <v>14</v>
      </c>
      <c r="B105" s="2" t="str">
        <f aca="false">B61</f>
        <v>B</v>
      </c>
      <c r="C105" s="2" t="str">
        <f aca="false">C61</f>
        <v>Connect</v>
      </c>
      <c r="D105" s="2"/>
      <c r="E105" s="2"/>
      <c r="F105" s="2"/>
      <c r="G105" s="2"/>
      <c r="H105" s="23" t="n">
        <f aca="false">H61*IF(AND($C61="Assured",H$45&gt;=$C$25),$C$24,INDEX(Assumptions!$D$44:$D$46,MATCH($C61,Assumptions!$A$44:$A$46,0)))</f>
        <v>0</v>
      </c>
      <c r="I105" s="23" t="n">
        <f aca="false">I61*IF(AND($C61="Assured",I$45&gt;=$C$25),$C$24,INDEX(Assumptions!$D$44:$D$46,MATCH($C61,Assumptions!$A$44:$A$46,0)))</f>
        <v>0</v>
      </c>
      <c r="J105" s="23" t="n">
        <f aca="false">J61*IF(AND($C61="Assured",J$45&gt;=$C$25),$C$24,INDEX(Assumptions!$D$44:$D$46,MATCH($C61,Assumptions!$A$44:$A$46,0)))</f>
        <v>0</v>
      </c>
      <c r="K105" s="23" t="n">
        <f aca="false">K61*IF(AND($C61="Assured",K$45&gt;=$C$25),$C$24,INDEX(Assumptions!$D$44:$D$46,MATCH($C61,Assumptions!$A$44:$A$46,0)))</f>
        <v>0</v>
      </c>
      <c r="L105" s="23" t="n">
        <f aca="false">L61*IF(AND($C61="Assured",L$45&gt;=$C$25),$C$24,INDEX(Assumptions!$D$44:$D$46,MATCH($C61,Assumptions!$A$44:$A$46,0)))</f>
        <v>0</v>
      </c>
      <c r="M105" s="23" t="n">
        <f aca="false">M61*IF(AND($C61="Assured",M$45&gt;=$C$25),$C$24,INDEX(Assumptions!$D$44:$D$46,MATCH($C61,Assumptions!$A$44:$A$46,0)))</f>
        <v>0</v>
      </c>
      <c r="N105" s="23" t="n">
        <f aca="false">N61*IF(AND($C61="Assured",N$45&gt;=$C$25),$C$24,INDEX(Assumptions!$D$44:$D$46,MATCH($C61,Assumptions!$A$44:$A$46,0)))</f>
        <v>0</v>
      </c>
      <c r="O105" s="23" t="n">
        <f aca="false">O61*IF(AND($C61="Assured",O$45&gt;=$C$25),$C$24,INDEX(Assumptions!$D$44:$D$46,MATCH($C61,Assumptions!$A$44:$A$46,0)))</f>
        <v>0</v>
      </c>
      <c r="P105" s="23" t="n">
        <f aca="false">P61*IF(AND($C61="Assured",P$45&gt;=$C$25),$C$24,INDEX(Assumptions!$D$44:$D$46,MATCH($C61,Assumptions!$A$44:$A$46,0)))</f>
        <v>0</v>
      </c>
      <c r="Q105" s="23" t="n">
        <f aca="false">Q61*IF(AND($C61="Assured",Q$45&gt;=$C$25),$C$24,INDEX(Assumptions!$D$44:$D$46,MATCH($C61,Assumptions!$A$44:$A$46,0)))</f>
        <v>0</v>
      </c>
      <c r="R105" s="23" t="n">
        <f aca="false">R61*IF(AND($C61="Assured",R$45&gt;=$C$25),$C$24,INDEX(Assumptions!$D$44:$D$46,MATCH($C61,Assumptions!$A$44:$A$46,0)))</f>
        <v>2223</v>
      </c>
      <c r="S105" s="23" t="n">
        <f aca="false">S61*IF(AND($C61="Assured",S$45&gt;=$C$25),$C$24,INDEX(Assumptions!$D$44:$D$46,MATCH($C61,Assumptions!$A$44:$A$46,0)))</f>
        <v>4446</v>
      </c>
      <c r="T105" s="23" t="n">
        <f aca="false">T61*IF(AND($C61="Assured",T$45&gt;=$C$25),$C$24,INDEX(Assumptions!$D$44:$D$46,MATCH($C61,Assumptions!$A$44:$A$46,0)))</f>
        <v>6298.5</v>
      </c>
      <c r="U105" s="23" t="n">
        <f aca="false">U61*IF(AND($C61="Assured",U$45&gt;=$C$25),$C$24,INDEX(Assumptions!$D$44:$D$46,MATCH($C61,Assumptions!$A$44:$A$46,0)))</f>
        <v>7410</v>
      </c>
      <c r="V105" s="23" t="n">
        <f aca="false">V61*IF(AND($C61="Assured",V$45&gt;=$C$25),$C$24,INDEX(Assumptions!$D$44:$D$46,MATCH($C61,Assumptions!$A$44:$A$46,0)))</f>
        <v>7410</v>
      </c>
      <c r="W105" s="23" t="n">
        <f aca="false">W61*IF(AND($C61="Assured",W$45&gt;=$C$25),$C$24,INDEX(Assumptions!$D$44:$D$46,MATCH($C61,Assumptions!$A$44:$A$46,0)))</f>
        <v>7410</v>
      </c>
      <c r="X105" s="23" t="n">
        <f aca="false">X61*IF(AND($C61="Assured",X$45&gt;=$C$25),$C$24,INDEX(Assumptions!$D$44:$D$46,MATCH($C61,Assumptions!$A$44:$A$46,0)))</f>
        <v>7410</v>
      </c>
      <c r="Y105" s="23" t="n">
        <f aca="false">Y61*IF(AND($C61="Assured",Y$45&gt;=$C$25),$C$24,INDEX(Assumptions!$D$44:$D$46,MATCH($C61,Assumptions!$A$44:$A$46,0)))</f>
        <v>7410</v>
      </c>
    </row>
    <row r="106" customFormat="false" ht="15" hidden="false" customHeight="false" outlineLevel="0" collapsed="false">
      <c r="A106" s="2" t="n">
        <f aca="false">A62</f>
        <v>15</v>
      </c>
      <c r="B106" s="2" t="str">
        <f aca="false">B62</f>
        <v>B</v>
      </c>
      <c r="C106" s="2" t="str">
        <f aca="false">C62</f>
        <v>Connect</v>
      </c>
      <c r="D106" s="2"/>
      <c r="E106" s="2"/>
      <c r="F106" s="2"/>
      <c r="G106" s="2"/>
      <c r="H106" s="23" t="n">
        <f aca="false">H62*IF(AND($C62="Assured",H$45&gt;=$C$25),$C$24,INDEX(Assumptions!$D$44:$D$46,MATCH($C62,Assumptions!$A$44:$A$46,0)))</f>
        <v>0</v>
      </c>
      <c r="I106" s="23" t="n">
        <f aca="false">I62*IF(AND($C62="Assured",I$45&gt;=$C$25),$C$24,INDEX(Assumptions!$D$44:$D$46,MATCH($C62,Assumptions!$A$44:$A$46,0)))</f>
        <v>0</v>
      </c>
      <c r="J106" s="23" t="n">
        <f aca="false">J62*IF(AND($C62="Assured",J$45&gt;=$C$25),$C$24,INDEX(Assumptions!$D$44:$D$46,MATCH($C62,Assumptions!$A$44:$A$46,0)))</f>
        <v>0</v>
      </c>
      <c r="K106" s="23" t="n">
        <f aca="false">K62*IF(AND($C62="Assured",K$45&gt;=$C$25),$C$24,INDEX(Assumptions!$D$44:$D$46,MATCH($C62,Assumptions!$A$44:$A$46,0)))</f>
        <v>0</v>
      </c>
      <c r="L106" s="23" t="n">
        <f aca="false">L62*IF(AND($C62="Assured",L$45&gt;=$C$25),$C$24,INDEX(Assumptions!$D$44:$D$46,MATCH($C62,Assumptions!$A$44:$A$46,0)))</f>
        <v>0</v>
      </c>
      <c r="M106" s="23" t="n">
        <f aca="false">M62*IF(AND($C62="Assured",M$45&gt;=$C$25),$C$24,INDEX(Assumptions!$D$44:$D$46,MATCH($C62,Assumptions!$A$44:$A$46,0)))</f>
        <v>0</v>
      </c>
      <c r="N106" s="23" t="n">
        <f aca="false">N62*IF(AND($C62="Assured",N$45&gt;=$C$25),$C$24,INDEX(Assumptions!$D$44:$D$46,MATCH($C62,Assumptions!$A$44:$A$46,0)))</f>
        <v>0</v>
      </c>
      <c r="O106" s="23" t="n">
        <f aca="false">O62*IF(AND($C62="Assured",O$45&gt;=$C$25),$C$24,INDEX(Assumptions!$D$44:$D$46,MATCH($C62,Assumptions!$A$44:$A$46,0)))</f>
        <v>0</v>
      </c>
      <c r="P106" s="23" t="n">
        <f aca="false">P62*IF(AND($C62="Assured",P$45&gt;=$C$25),$C$24,INDEX(Assumptions!$D$44:$D$46,MATCH($C62,Assumptions!$A$44:$A$46,0)))</f>
        <v>0</v>
      </c>
      <c r="Q106" s="23" t="n">
        <f aca="false">Q62*IF(AND($C62="Assured",Q$45&gt;=$C$25),$C$24,INDEX(Assumptions!$D$44:$D$46,MATCH($C62,Assumptions!$A$44:$A$46,0)))</f>
        <v>0</v>
      </c>
      <c r="R106" s="23" t="n">
        <f aca="false">R62*IF(AND($C62="Assured",R$45&gt;=$C$25),$C$24,INDEX(Assumptions!$D$44:$D$46,MATCH($C62,Assumptions!$A$44:$A$46,0)))</f>
        <v>0</v>
      </c>
      <c r="S106" s="23" t="n">
        <f aca="false">S62*IF(AND($C62="Assured",S$45&gt;=$C$25),$C$24,INDEX(Assumptions!$D$44:$D$46,MATCH($C62,Assumptions!$A$44:$A$46,0)))</f>
        <v>2223</v>
      </c>
      <c r="T106" s="23" t="n">
        <f aca="false">T62*IF(AND($C62="Assured",T$45&gt;=$C$25),$C$24,INDEX(Assumptions!$D$44:$D$46,MATCH($C62,Assumptions!$A$44:$A$46,0)))</f>
        <v>4446</v>
      </c>
      <c r="U106" s="23" t="n">
        <f aca="false">U62*IF(AND($C62="Assured",U$45&gt;=$C$25),$C$24,INDEX(Assumptions!$D$44:$D$46,MATCH($C62,Assumptions!$A$44:$A$46,0)))</f>
        <v>6298.5</v>
      </c>
      <c r="V106" s="23" t="n">
        <f aca="false">V62*IF(AND($C62="Assured",V$45&gt;=$C$25),$C$24,INDEX(Assumptions!$D$44:$D$46,MATCH($C62,Assumptions!$A$44:$A$46,0)))</f>
        <v>7410</v>
      </c>
      <c r="W106" s="23" t="n">
        <f aca="false">W62*IF(AND($C62="Assured",W$45&gt;=$C$25),$C$24,INDEX(Assumptions!$D$44:$D$46,MATCH($C62,Assumptions!$A$44:$A$46,0)))</f>
        <v>7410</v>
      </c>
      <c r="X106" s="23" t="n">
        <f aca="false">X62*IF(AND($C62="Assured",X$45&gt;=$C$25),$C$24,INDEX(Assumptions!$D$44:$D$46,MATCH($C62,Assumptions!$A$44:$A$46,0)))</f>
        <v>7410</v>
      </c>
      <c r="Y106" s="23" t="n">
        <f aca="false">Y62*IF(AND($C62="Assured",Y$45&gt;=$C$25),$C$24,INDEX(Assumptions!$D$44:$D$46,MATCH($C62,Assumptions!$A$44:$A$46,0)))</f>
        <v>7410</v>
      </c>
    </row>
    <row r="107" customFormat="false" ht="15" hidden="false" customHeight="false" outlineLevel="0" collapsed="false">
      <c r="A107" s="2" t="n">
        <f aca="false">A63</f>
        <v>16</v>
      </c>
      <c r="B107" s="2" t="str">
        <f aca="false">B63</f>
        <v>B</v>
      </c>
      <c r="C107" s="2" t="str">
        <f aca="false">C63</f>
        <v>Connect</v>
      </c>
      <c r="D107" s="2"/>
      <c r="E107" s="2"/>
      <c r="F107" s="2"/>
      <c r="G107" s="2"/>
      <c r="H107" s="23" t="n">
        <f aca="false">H63*IF(AND($C63="Assured",H$45&gt;=$C$25),$C$24,INDEX(Assumptions!$D$44:$D$46,MATCH($C63,Assumptions!$A$44:$A$46,0)))</f>
        <v>0</v>
      </c>
      <c r="I107" s="23" t="n">
        <f aca="false">I63*IF(AND($C63="Assured",I$45&gt;=$C$25),$C$24,INDEX(Assumptions!$D$44:$D$46,MATCH($C63,Assumptions!$A$44:$A$46,0)))</f>
        <v>0</v>
      </c>
      <c r="J107" s="23" t="n">
        <f aca="false">J63*IF(AND($C63="Assured",J$45&gt;=$C$25),$C$24,INDEX(Assumptions!$D$44:$D$46,MATCH($C63,Assumptions!$A$44:$A$46,0)))</f>
        <v>0</v>
      </c>
      <c r="K107" s="23" t="n">
        <f aca="false">K63*IF(AND($C63="Assured",K$45&gt;=$C$25),$C$24,INDEX(Assumptions!$D$44:$D$46,MATCH($C63,Assumptions!$A$44:$A$46,0)))</f>
        <v>0</v>
      </c>
      <c r="L107" s="23" t="n">
        <f aca="false">L63*IF(AND($C63="Assured",L$45&gt;=$C$25),$C$24,INDEX(Assumptions!$D$44:$D$46,MATCH($C63,Assumptions!$A$44:$A$46,0)))</f>
        <v>0</v>
      </c>
      <c r="M107" s="23" t="n">
        <f aca="false">M63*IF(AND($C63="Assured",M$45&gt;=$C$25),$C$24,INDEX(Assumptions!$D$44:$D$46,MATCH($C63,Assumptions!$A$44:$A$46,0)))</f>
        <v>0</v>
      </c>
      <c r="N107" s="23" t="n">
        <f aca="false">N63*IF(AND($C63="Assured",N$45&gt;=$C$25),$C$24,INDEX(Assumptions!$D$44:$D$46,MATCH($C63,Assumptions!$A$44:$A$46,0)))</f>
        <v>0</v>
      </c>
      <c r="O107" s="23" t="n">
        <f aca="false">O63*IF(AND($C63="Assured",O$45&gt;=$C$25),$C$24,INDEX(Assumptions!$D$44:$D$46,MATCH($C63,Assumptions!$A$44:$A$46,0)))</f>
        <v>0</v>
      </c>
      <c r="P107" s="23" t="n">
        <f aca="false">P63*IF(AND($C63="Assured",P$45&gt;=$C$25),$C$24,INDEX(Assumptions!$D$44:$D$46,MATCH($C63,Assumptions!$A$44:$A$46,0)))</f>
        <v>0</v>
      </c>
      <c r="Q107" s="23" t="n">
        <f aca="false">Q63*IF(AND($C63="Assured",Q$45&gt;=$C$25),$C$24,INDEX(Assumptions!$D$44:$D$46,MATCH($C63,Assumptions!$A$44:$A$46,0)))</f>
        <v>0</v>
      </c>
      <c r="R107" s="23" t="n">
        <f aca="false">R63*IF(AND($C63="Assured",R$45&gt;=$C$25),$C$24,INDEX(Assumptions!$D$44:$D$46,MATCH($C63,Assumptions!$A$44:$A$46,0)))</f>
        <v>0</v>
      </c>
      <c r="S107" s="23" t="n">
        <f aca="false">S63*IF(AND($C63="Assured",S$45&gt;=$C$25),$C$24,INDEX(Assumptions!$D$44:$D$46,MATCH($C63,Assumptions!$A$44:$A$46,0)))</f>
        <v>0</v>
      </c>
      <c r="T107" s="23" t="n">
        <f aca="false">T63*IF(AND($C63="Assured",T$45&gt;=$C$25),$C$24,INDEX(Assumptions!$D$44:$D$46,MATCH($C63,Assumptions!$A$44:$A$46,0)))</f>
        <v>2223</v>
      </c>
      <c r="U107" s="23" t="n">
        <f aca="false">U63*IF(AND($C63="Assured",U$45&gt;=$C$25),$C$24,INDEX(Assumptions!$D$44:$D$46,MATCH($C63,Assumptions!$A$44:$A$46,0)))</f>
        <v>4446</v>
      </c>
      <c r="V107" s="23" t="n">
        <f aca="false">V63*IF(AND($C63="Assured",V$45&gt;=$C$25),$C$24,INDEX(Assumptions!$D$44:$D$46,MATCH($C63,Assumptions!$A$44:$A$46,0)))</f>
        <v>6298.5</v>
      </c>
      <c r="W107" s="23" t="n">
        <f aca="false">W63*IF(AND($C63="Assured",W$45&gt;=$C$25),$C$24,INDEX(Assumptions!$D$44:$D$46,MATCH($C63,Assumptions!$A$44:$A$46,0)))</f>
        <v>7410</v>
      </c>
      <c r="X107" s="23" t="n">
        <f aca="false">X63*IF(AND($C63="Assured",X$45&gt;=$C$25),$C$24,INDEX(Assumptions!$D$44:$D$46,MATCH($C63,Assumptions!$A$44:$A$46,0)))</f>
        <v>7410</v>
      </c>
      <c r="Y107" s="23" t="n">
        <f aca="false">Y63*IF(AND($C63="Assured",Y$45&gt;=$C$25),$C$24,INDEX(Assumptions!$D$44:$D$46,MATCH($C63,Assumptions!$A$44:$A$46,0)))</f>
        <v>7410</v>
      </c>
    </row>
    <row r="108" customFormat="false" ht="15" hidden="false" customHeight="false" outlineLevel="0" collapsed="false">
      <c r="A108" s="2" t="n">
        <f aca="false">A64</f>
        <v>17</v>
      </c>
      <c r="B108" s="2" t="str">
        <f aca="false">B64</f>
        <v>B</v>
      </c>
      <c r="C108" s="2" t="str">
        <f aca="false">C64</f>
        <v>Verified</v>
      </c>
      <c r="D108" s="2"/>
      <c r="E108" s="2"/>
      <c r="F108" s="2"/>
      <c r="G108" s="2"/>
      <c r="H108" s="23" t="n">
        <f aca="false">H64*IF(AND($C64="Assured",H$45&gt;=$C$25),$C$24,INDEX(Assumptions!$D$44:$D$46,MATCH($C64,Assumptions!$A$44:$A$46,0)))</f>
        <v>0</v>
      </c>
      <c r="I108" s="23" t="n">
        <f aca="false">I64*IF(AND($C64="Assured",I$45&gt;=$C$25),$C$24,INDEX(Assumptions!$D$44:$D$46,MATCH($C64,Assumptions!$A$44:$A$46,0)))</f>
        <v>0</v>
      </c>
      <c r="J108" s="23" t="n">
        <f aca="false">J64*IF(AND($C64="Assured",J$45&gt;=$C$25),$C$24,INDEX(Assumptions!$D$44:$D$46,MATCH($C64,Assumptions!$A$44:$A$46,0)))</f>
        <v>0</v>
      </c>
      <c r="K108" s="23" t="n">
        <f aca="false">K64*IF(AND($C64="Assured",K$45&gt;=$C$25),$C$24,INDEX(Assumptions!$D$44:$D$46,MATCH($C64,Assumptions!$A$44:$A$46,0)))</f>
        <v>0</v>
      </c>
      <c r="L108" s="23" t="n">
        <f aca="false">L64*IF(AND($C64="Assured",L$45&gt;=$C$25),$C$24,INDEX(Assumptions!$D$44:$D$46,MATCH($C64,Assumptions!$A$44:$A$46,0)))</f>
        <v>0</v>
      </c>
      <c r="M108" s="23" t="n">
        <f aca="false">M64*IF(AND($C64="Assured",M$45&gt;=$C$25),$C$24,INDEX(Assumptions!$D$44:$D$46,MATCH($C64,Assumptions!$A$44:$A$46,0)))</f>
        <v>0</v>
      </c>
      <c r="N108" s="23" t="n">
        <f aca="false">N64*IF(AND($C64="Assured",N$45&gt;=$C$25),$C$24,INDEX(Assumptions!$D$44:$D$46,MATCH($C64,Assumptions!$A$44:$A$46,0)))</f>
        <v>0</v>
      </c>
      <c r="O108" s="23" t="n">
        <f aca="false">O64*IF(AND($C64="Assured",O$45&gt;=$C$25),$C$24,INDEX(Assumptions!$D$44:$D$46,MATCH($C64,Assumptions!$A$44:$A$46,0)))</f>
        <v>0</v>
      </c>
      <c r="P108" s="23" t="n">
        <f aca="false">P64*IF(AND($C64="Assured",P$45&gt;=$C$25),$C$24,INDEX(Assumptions!$D$44:$D$46,MATCH($C64,Assumptions!$A$44:$A$46,0)))</f>
        <v>0</v>
      </c>
      <c r="Q108" s="23" t="n">
        <f aca="false">Q64*IF(AND($C64="Assured",Q$45&gt;=$C$25),$C$24,INDEX(Assumptions!$D$44:$D$46,MATCH($C64,Assumptions!$A$44:$A$46,0)))</f>
        <v>0</v>
      </c>
      <c r="R108" s="23" t="n">
        <f aca="false">R64*IF(AND($C64="Assured",R$45&gt;=$C$25),$C$24,INDEX(Assumptions!$D$44:$D$46,MATCH($C64,Assumptions!$A$44:$A$46,0)))</f>
        <v>0</v>
      </c>
      <c r="S108" s="23" t="n">
        <f aca="false">S64*IF(AND($C64="Assured",S$45&gt;=$C$25),$C$24,INDEX(Assumptions!$D$44:$D$46,MATCH($C64,Assumptions!$A$44:$A$46,0)))</f>
        <v>0</v>
      </c>
      <c r="T108" s="23" t="n">
        <f aca="false">T64*IF(AND($C64="Assured",T$45&gt;=$C$25),$C$24,INDEX(Assumptions!$D$44:$D$46,MATCH($C64,Assumptions!$A$44:$A$46,0)))</f>
        <v>0</v>
      </c>
      <c r="U108" s="23" t="n">
        <f aca="false">U64*IF(AND($C64="Assured",U$45&gt;=$C$25),$C$24,INDEX(Assumptions!$D$44:$D$46,MATCH($C64,Assumptions!$A$44:$A$46,0)))</f>
        <v>3334.5</v>
      </c>
      <c r="V108" s="23" t="n">
        <f aca="false">V64*IF(AND($C64="Assured",V$45&gt;=$C$25),$C$24,INDEX(Assumptions!$D$44:$D$46,MATCH($C64,Assumptions!$A$44:$A$46,0)))</f>
        <v>6669</v>
      </c>
      <c r="W108" s="23" t="n">
        <f aca="false">W64*IF(AND($C64="Assured",W$45&gt;=$C$25),$C$24,INDEX(Assumptions!$D$44:$D$46,MATCH($C64,Assumptions!$A$44:$A$46,0)))</f>
        <v>9447.75</v>
      </c>
      <c r="X108" s="23" t="n">
        <f aca="false">X64*IF(AND($C64="Assured",X$45&gt;=$C$25),$C$24,INDEX(Assumptions!$D$44:$D$46,MATCH($C64,Assumptions!$A$44:$A$46,0)))</f>
        <v>11115</v>
      </c>
      <c r="Y108" s="23" t="n">
        <f aca="false">Y64*IF(AND($C64="Assured",Y$45&gt;=$C$25),$C$24,INDEX(Assumptions!$D$44:$D$46,MATCH($C64,Assumptions!$A$44:$A$46,0)))</f>
        <v>11115</v>
      </c>
    </row>
    <row r="109" customFormat="false" ht="15" hidden="false" customHeight="false" outlineLevel="0" collapsed="false">
      <c r="A109" s="2" t="n">
        <f aca="false">A65</f>
        <v>18</v>
      </c>
      <c r="B109" s="2" t="str">
        <f aca="false">B65</f>
        <v>B</v>
      </c>
      <c r="C109" s="2" t="str">
        <f aca="false">C65</f>
        <v>Verified</v>
      </c>
      <c r="D109" s="2"/>
      <c r="E109" s="2"/>
      <c r="F109" s="2"/>
      <c r="G109" s="2"/>
      <c r="H109" s="23" t="n">
        <f aca="false">H65*IF(AND($C65="Assured",H$45&gt;=$C$25),$C$24,INDEX(Assumptions!$D$44:$D$46,MATCH($C65,Assumptions!$A$44:$A$46,0)))</f>
        <v>0</v>
      </c>
      <c r="I109" s="23" t="n">
        <f aca="false">I65*IF(AND($C65="Assured",I$45&gt;=$C$25),$C$24,INDEX(Assumptions!$D$44:$D$46,MATCH($C65,Assumptions!$A$44:$A$46,0)))</f>
        <v>0</v>
      </c>
      <c r="J109" s="23" t="n">
        <f aca="false">J65*IF(AND($C65="Assured",J$45&gt;=$C$25),$C$24,INDEX(Assumptions!$D$44:$D$46,MATCH($C65,Assumptions!$A$44:$A$46,0)))</f>
        <v>0</v>
      </c>
      <c r="K109" s="23" t="n">
        <f aca="false">K65*IF(AND($C65="Assured",K$45&gt;=$C$25),$C$24,INDEX(Assumptions!$D$44:$D$46,MATCH($C65,Assumptions!$A$44:$A$46,0)))</f>
        <v>0</v>
      </c>
      <c r="L109" s="23" t="n">
        <f aca="false">L65*IF(AND($C65="Assured",L$45&gt;=$C$25),$C$24,INDEX(Assumptions!$D$44:$D$46,MATCH($C65,Assumptions!$A$44:$A$46,0)))</f>
        <v>0</v>
      </c>
      <c r="M109" s="23" t="n">
        <f aca="false">M65*IF(AND($C65="Assured",M$45&gt;=$C$25),$C$24,INDEX(Assumptions!$D$44:$D$46,MATCH($C65,Assumptions!$A$44:$A$46,0)))</f>
        <v>0</v>
      </c>
      <c r="N109" s="23" t="n">
        <f aca="false">N65*IF(AND($C65="Assured",N$45&gt;=$C$25),$C$24,INDEX(Assumptions!$D$44:$D$46,MATCH($C65,Assumptions!$A$44:$A$46,0)))</f>
        <v>0</v>
      </c>
      <c r="O109" s="23" t="n">
        <f aca="false">O65*IF(AND($C65="Assured",O$45&gt;=$C$25),$C$24,INDEX(Assumptions!$D$44:$D$46,MATCH($C65,Assumptions!$A$44:$A$46,0)))</f>
        <v>0</v>
      </c>
      <c r="P109" s="23" t="n">
        <f aca="false">P65*IF(AND($C65="Assured",P$45&gt;=$C$25),$C$24,INDEX(Assumptions!$D$44:$D$46,MATCH($C65,Assumptions!$A$44:$A$46,0)))</f>
        <v>0</v>
      </c>
      <c r="Q109" s="23" t="n">
        <f aca="false">Q65*IF(AND($C65="Assured",Q$45&gt;=$C$25),$C$24,INDEX(Assumptions!$D$44:$D$46,MATCH($C65,Assumptions!$A$44:$A$46,0)))</f>
        <v>0</v>
      </c>
      <c r="R109" s="23" t="n">
        <f aca="false">R65*IF(AND($C65="Assured",R$45&gt;=$C$25),$C$24,INDEX(Assumptions!$D$44:$D$46,MATCH($C65,Assumptions!$A$44:$A$46,0)))</f>
        <v>0</v>
      </c>
      <c r="S109" s="23" t="n">
        <f aca="false">S65*IF(AND($C65="Assured",S$45&gt;=$C$25),$C$24,INDEX(Assumptions!$D$44:$D$46,MATCH($C65,Assumptions!$A$44:$A$46,0)))</f>
        <v>0</v>
      </c>
      <c r="T109" s="23" t="n">
        <f aca="false">T65*IF(AND($C65="Assured",T$45&gt;=$C$25),$C$24,INDEX(Assumptions!$D$44:$D$46,MATCH($C65,Assumptions!$A$44:$A$46,0)))</f>
        <v>0</v>
      </c>
      <c r="U109" s="23" t="n">
        <f aca="false">U65*IF(AND($C65="Assured",U$45&gt;=$C$25),$C$24,INDEX(Assumptions!$D$44:$D$46,MATCH($C65,Assumptions!$A$44:$A$46,0)))</f>
        <v>0</v>
      </c>
      <c r="V109" s="23" t="n">
        <f aca="false">V65*IF(AND($C65="Assured",V$45&gt;=$C$25),$C$24,INDEX(Assumptions!$D$44:$D$46,MATCH($C65,Assumptions!$A$44:$A$46,0)))</f>
        <v>3334.5</v>
      </c>
      <c r="W109" s="23" t="n">
        <f aca="false">W65*IF(AND($C65="Assured",W$45&gt;=$C$25),$C$24,INDEX(Assumptions!$D$44:$D$46,MATCH($C65,Assumptions!$A$44:$A$46,0)))</f>
        <v>6669</v>
      </c>
      <c r="X109" s="23" t="n">
        <f aca="false">X65*IF(AND($C65="Assured",X$45&gt;=$C$25),$C$24,INDEX(Assumptions!$D$44:$D$46,MATCH($C65,Assumptions!$A$44:$A$46,0)))</f>
        <v>9447.75</v>
      </c>
      <c r="Y109" s="23" t="n">
        <f aca="false">Y65*IF(AND($C65="Assured",Y$45&gt;=$C$25),$C$24,INDEX(Assumptions!$D$44:$D$46,MATCH($C65,Assumptions!$A$44:$A$46,0)))</f>
        <v>11115</v>
      </c>
    </row>
    <row r="110" customFormat="false" ht="15" hidden="false" customHeight="false" outlineLevel="0" collapsed="false">
      <c r="A110" s="2" t="n">
        <f aca="false">A66</f>
        <v>19</v>
      </c>
      <c r="B110" s="2" t="str">
        <f aca="false">B66</f>
        <v>B</v>
      </c>
      <c r="C110" s="2" t="str">
        <f aca="false">C66</f>
        <v>Verified</v>
      </c>
      <c r="D110" s="2"/>
      <c r="E110" s="2"/>
      <c r="F110" s="2"/>
      <c r="G110" s="2"/>
      <c r="H110" s="23" t="n">
        <f aca="false">H66*IF(AND($C66="Assured",H$45&gt;=$C$25),$C$24,INDEX(Assumptions!$D$44:$D$46,MATCH($C66,Assumptions!$A$44:$A$46,0)))</f>
        <v>0</v>
      </c>
      <c r="I110" s="23" t="n">
        <f aca="false">I66*IF(AND($C66="Assured",I$45&gt;=$C$25),$C$24,INDEX(Assumptions!$D$44:$D$46,MATCH($C66,Assumptions!$A$44:$A$46,0)))</f>
        <v>0</v>
      </c>
      <c r="J110" s="23" t="n">
        <f aca="false">J66*IF(AND($C66="Assured",J$45&gt;=$C$25),$C$24,INDEX(Assumptions!$D$44:$D$46,MATCH($C66,Assumptions!$A$44:$A$46,0)))</f>
        <v>0</v>
      </c>
      <c r="K110" s="23" t="n">
        <f aca="false">K66*IF(AND($C66="Assured",K$45&gt;=$C$25),$C$24,INDEX(Assumptions!$D$44:$D$46,MATCH($C66,Assumptions!$A$44:$A$46,0)))</f>
        <v>0</v>
      </c>
      <c r="L110" s="23" t="n">
        <f aca="false">L66*IF(AND($C66="Assured",L$45&gt;=$C$25),$C$24,INDEX(Assumptions!$D$44:$D$46,MATCH($C66,Assumptions!$A$44:$A$46,0)))</f>
        <v>0</v>
      </c>
      <c r="M110" s="23" t="n">
        <f aca="false">M66*IF(AND($C66="Assured",M$45&gt;=$C$25),$C$24,INDEX(Assumptions!$D$44:$D$46,MATCH($C66,Assumptions!$A$44:$A$46,0)))</f>
        <v>0</v>
      </c>
      <c r="N110" s="23" t="n">
        <f aca="false">N66*IF(AND($C66="Assured",N$45&gt;=$C$25),$C$24,INDEX(Assumptions!$D$44:$D$46,MATCH($C66,Assumptions!$A$44:$A$46,0)))</f>
        <v>0</v>
      </c>
      <c r="O110" s="23" t="n">
        <f aca="false">O66*IF(AND($C66="Assured",O$45&gt;=$C$25),$C$24,INDEX(Assumptions!$D$44:$D$46,MATCH($C66,Assumptions!$A$44:$A$46,0)))</f>
        <v>0</v>
      </c>
      <c r="P110" s="23" t="n">
        <f aca="false">P66*IF(AND($C66="Assured",P$45&gt;=$C$25),$C$24,INDEX(Assumptions!$D$44:$D$46,MATCH($C66,Assumptions!$A$44:$A$46,0)))</f>
        <v>0</v>
      </c>
      <c r="Q110" s="23" t="n">
        <f aca="false">Q66*IF(AND($C66="Assured",Q$45&gt;=$C$25),$C$24,INDEX(Assumptions!$D$44:$D$46,MATCH($C66,Assumptions!$A$44:$A$46,0)))</f>
        <v>0</v>
      </c>
      <c r="R110" s="23" t="n">
        <f aca="false">R66*IF(AND($C66="Assured",R$45&gt;=$C$25),$C$24,INDEX(Assumptions!$D$44:$D$46,MATCH($C66,Assumptions!$A$44:$A$46,0)))</f>
        <v>0</v>
      </c>
      <c r="S110" s="23" t="n">
        <f aca="false">S66*IF(AND($C66="Assured",S$45&gt;=$C$25),$C$24,INDEX(Assumptions!$D$44:$D$46,MATCH($C66,Assumptions!$A$44:$A$46,0)))</f>
        <v>0</v>
      </c>
      <c r="T110" s="23" t="n">
        <f aca="false">T66*IF(AND($C66="Assured",T$45&gt;=$C$25),$C$24,INDEX(Assumptions!$D$44:$D$46,MATCH($C66,Assumptions!$A$44:$A$46,0)))</f>
        <v>0</v>
      </c>
      <c r="U110" s="23" t="n">
        <f aca="false">U66*IF(AND($C66="Assured",U$45&gt;=$C$25),$C$24,INDEX(Assumptions!$D$44:$D$46,MATCH($C66,Assumptions!$A$44:$A$46,0)))</f>
        <v>0</v>
      </c>
      <c r="V110" s="23" t="n">
        <f aca="false">V66*IF(AND($C66="Assured",V$45&gt;=$C$25),$C$24,INDEX(Assumptions!$D$44:$D$46,MATCH($C66,Assumptions!$A$44:$A$46,0)))</f>
        <v>0</v>
      </c>
      <c r="W110" s="23" t="n">
        <f aca="false">W66*IF(AND($C66="Assured",W$45&gt;=$C$25),$C$24,INDEX(Assumptions!$D$44:$D$46,MATCH($C66,Assumptions!$A$44:$A$46,0)))</f>
        <v>3334.5</v>
      </c>
      <c r="X110" s="23" t="n">
        <f aca="false">X66*IF(AND($C66="Assured",X$45&gt;=$C$25),$C$24,INDEX(Assumptions!$D$44:$D$46,MATCH($C66,Assumptions!$A$44:$A$46,0)))</f>
        <v>6669</v>
      </c>
      <c r="Y110" s="23" t="n">
        <f aca="false">Y66*IF(AND($C66="Assured",Y$45&gt;=$C$25),$C$24,INDEX(Assumptions!$D$44:$D$46,MATCH($C66,Assumptions!$A$44:$A$46,0)))</f>
        <v>9447.75</v>
      </c>
    </row>
    <row r="111" customFormat="false" ht="15" hidden="false" customHeight="false" outlineLevel="0" collapsed="false">
      <c r="A111" s="2" t="n">
        <f aca="false">A67</f>
        <v>20</v>
      </c>
      <c r="B111" s="2" t="str">
        <f aca="false">B67</f>
        <v>B</v>
      </c>
      <c r="C111" s="2" t="str">
        <f aca="false">C67</f>
        <v>Verified</v>
      </c>
      <c r="D111" s="2"/>
      <c r="E111" s="2"/>
      <c r="F111" s="2"/>
      <c r="G111" s="2"/>
      <c r="H111" s="23" t="n">
        <f aca="false">H67*IF(AND($C67="Assured",H$45&gt;=$C$25),$C$24,INDEX(Assumptions!$D$44:$D$46,MATCH($C67,Assumptions!$A$44:$A$46,0)))</f>
        <v>0</v>
      </c>
      <c r="I111" s="23" t="n">
        <f aca="false">I67*IF(AND($C67="Assured",I$45&gt;=$C$25),$C$24,INDEX(Assumptions!$D$44:$D$46,MATCH($C67,Assumptions!$A$44:$A$46,0)))</f>
        <v>0</v>
      </c>
      <c r="J111" s="23" t="n">
        <f aca="false">J67*IF(AND($C67="Assured",J$45&gt;=$C$25),$C$24,INDEX(Assumptions!$D$44:$D$46,MATCH($C67,Assumptions!$A$44:$A$46,0)))</f>
        <v>0</v>
      </c>
      <c r="K111" s="23" t="n">
        <f aca="false">K67*IF(AND($C67="Assured",K$45&gt;=$C$25),$C$24,INDEX(Assumptions!$D$44:$D$46,MATCH($C67,Assumptions!$A$44:$A$46,0)))</f>
        <v>0</v>
      </c>
      <c r="L111" s="23" t="n">
        <f aca="false">L67*IF(AND($C67="Assured",L$45&gt;=$C$25),$C$24,INDEX(Assumptions!$D$44:$D$46,MATCH($C67,Assumptions!$A$44:$A$46,0)))</f>
        <v>0</v>
      </c>
      <c r="M111" s="23" t="n">
        <f aca="false">M67*IF(AND($C67="Assured",M$45&gt;=$C$25),$C$24,INDEX(Assumptions!$D$44:$D$46,MATCH($C67,Assumptions!$A$44:$A$46,0)))</f>
        <v>0</v>
      </c>
      <c r="N111" s="23" t="n">
        <f aca="false">N67*IF(AND($C67="Assured",N$45&gt;=$C$25),$C$24,INDEX(Assumptions!$D$44:$D$46,MATCH($C67,Assumptions!$A$44:$A$46,0)))</f>
        <v>0</v>
      </c>
      <c r="O111" s="23" t="n">
        <f aca="false">O67*IF(AND($C67="Assured",O$45&gt;=$C$25),$C$24,INDEX(Assumptions!$D$44:$D$46,MATCH($C67,Assumptions!$A$44:$A$46,0)))</f>
        <v>0</v>
      </c>
      <c r="P111" s="23" t="n">
        <f aca="false">P67*IF(AND($C67="Assured",P$45&gt;=$C$25),$C$24,INDEX(Assumptions!$D$44:$D$46,MATCH($C67,Assumptions!$A$44:$A$46,0)))</f>
        <v>0</v>
      </c>
      <c r="Q111" s="23" t="n">
        <f aca="false">Q67*IF(AND($C67="Assured",Q$45&gt;=$C$25),$C$24,INDEX(Assumptions!$D$44:$D$46,MATCH($C67,Assumptions!$A$44:$A$46,0)))</f>
        <v>0</v>
      </c>
      <c r="R111" s="23" t="n">
        <f aca="false">R67*IF(AND($C67="Assured",R$45&gt;=$C$25),$C$24,INDEX(Assumptions!$D$44:$D$46,MATCH($C67,Assumptions!$A$44:$A$46,0)))</f>
        <v>0</v>
      </c>
      <c r="S111" s="23" t="n">
        <f aca="false">S67*IF(AND($C67="Assured",S$45&gt;=$C$25),$C$24,INDEX(Assumptions!$D$44:$D$46,MATCH($C67,Assumptions!$A$44:$A$46,0)))</f>
        <v>0</v>
      </c>
      <c r="T111" s="23" t="n">
        <f aca="false">T67*IF(AND($C67="Assured",T$45&gt;=$C$25),$C$24,INDEX(Assumptions!$D$44:$D$46,MATCH($C67,Assumptions!$A$44:$A$46,0)))</f>
        <v>0</v>
      </c>
      <c r="U111" s="23" t="n">
        <f aca="false">U67*IF(AND($C67="Assured",U$45&gt;=$C$25),$C$24,INDEX(Assumptions!$D$44:$D$46,MATCH($C67,Assumptions!$A$44:$A$46,0)))</f>
        <v>0</v>
      </c>
      <c r="V111" s="23" t="n">
        <f aca="false">V67*IF(AND($C67="Assured",V$45&gt;=$C$25),$C$24,INDEX(Assumptions!$D$44:$D$46,MATCH($C67,Assumptions!$A$44:$A$46,0)))</f>
        <v>0</v>
      </c>
      <c r="W111" s="23" t="n">
        <f aca="false">W67*IF(AND($C67="Assured",W$45&gt;=$C$25),$C$24,INDEX(Assumptions!$D$44:$D$46,MATCH($C67,Assumptions!$A$44:$A$46,0)))</f>
        <v>3334.5</v>
      </c>
      <c r="X111" s="23" t="n">
        <f aca="false">X67*IF(AND($C67="Assured",X$45&gt;=$C$25),$C$24,INDEX(Assumptions!$D$44:$D$46,MATCH($C67,Assumptions!$A$44:$A$46,0)))</f>
        <v>6669</v>
      </c>
      <c r="Y111" s="23" t="n">
        <f aca="false">Y67*IF(AND($C67="Assured",Y$45&gt;=$C$25),$C$24,INDEX(Assumptions!$D$44:$D$46,MATCH($C67,Assumptions!$A$44:$A$46,0)))</f>
        <v>9447.75</v>
      </c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" hidden="false" customHeight="false" outlineLevel="0" collapsed="false">
      <c r="A113" s="37" t="s">
        <v>201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customFormat="false" ht="15" hidden="false" customHeight="false" outlineLevel="0" collapsed="false">
      <c r="A114" s="2" t="n">
        <f aca="false">A48</f>
        <v>1</v>
      </c>
      <c r="B114" s="2" t="str">
        <f aca="false">B48</f>
        <v>Pilot</v>
      </c>
      <c r="C114" s="2" t="str">
        <f aca="false">C48</f>
        <v>Assured</v>
      </c>
      <c r="D114" s="2"/>
      <c r="E114" s="2"/>
      <c r="F114" s="2"/>
      <c r="G114" s="2"/>
      <c r="H114" s="23" t="n">
        <f aca="false">IF($F48=1,IF(H$45=1,INDEX(Assumptions!$E$44:$E$46,MATCH($C48,Assumptions!$A$44:$A$46,0))*$C$34,0),IF(H$45=MAX($G48-1,1),INDEX(Assumptions!$E$44:$E$46,MATCH($C48,Assumptions!$A$44:$A$46,0)),0))*IF(AND($C48="Verified",$C$39=1),0,1)</f>
        <v>60000</v>
      </c>
      <c r="I114" s="23" t="n">
        <f aca="false">IF($F48=1,IF(I$45=1,INDEX(Assumptions!$E$44:$E$46,MATCH($C48,Assumptions!$A$44:$A$46,0))*$C$34,0),IF(I$45=MAX($G48-1,1),INDEX(Assumptions!$E$44:$E$46,MATCH($C48,Assumptions!$A$44:$A$46,0)),0))*IF(AND($C48="Verified",$C$39=1),0,1)</f>
        <v>0</v>
      </c>
      <c r="J114" s="23" t="n">
        <f aca="false">IF($F48=1,IF(J$45=1,INDEX(Assumptions!$E$44:$E$46,MATCH($C48,Assumptions!$A$44:$A$46,0))*$C$34,0),IF(J$45=MAX($G48-1,1),INDEX(Assumptions!$E$44:$E$46,MATCH($C48,Assumptions!$A$44:$A$46,0)),0))*IF(AND($C48="Verified",$C$39=1),0,1)</f>
        <v>0</v>
      </c>
      <c r="K114" s="23" t="n">
        <f aca="false">IF($F48=1,IF(K$45=1,INDEX(Assumptions!$E$44:$E$46,MATCH($C48,Assumptions!$A$44:$A$46,0))*$C$34,0),IF(K$45=MAX($G48-1,1),INDEX(Assumptions!$E$44:$E$46,MATCH($C48,Assumptions!$A$44:$A$46,0)),0))*IF(AND($C48="Verified",$C$39=1),0,1)</f>
        <v>0</v>
      </c>
      <c r="L114" s="23" t="n">
        <f aca="false">IF($F48=1,IF(L$45=1,INDEX(Assumptions!$E$44:$E$46,MATCH($C48,Assumptions!$A$44:$A$46,0))*$C$34,0),IF(L$45=MAX($G48-1,1),INDEX(Assumptions!$E$44:$E$46,MATCH($C48,Assumptions!$A$44:$A$46,0)),0))*IF(AND($C48="Verified",$C$39=1),0,1)</f>
        <v>0</v>
      </c>
      <c r="M114" s="23" t="n">
        <f aca="false">IF($F48=1,IF(M$45=1,INDEX(Assumptions!$E$44:$E$46,MATCH($C48,Assumptions!$A$44:$A$46,0))*$C$34,0),IF(M$45=MAX($G48-1,1),INDEX(Assumptions!$E$44:$E$46,MATCH($C48,Assumptions!$A$44:$A$46,0)),0))*IF(AND($C48="Verified",$C$39=1),0,1)</f>
        <v>0</v>
      </c>
      <c r="N114" s="23" t="n">
        <f aca="false">IF($F48=1,IF(N$45=1,INDEX(Assumptions!$E$44:$E$46,MATCH($C48,Assumptions!$A$44:$A$46,0))*$C$34,0),IF(N$45=MAX($G48-1,1),INDEX(Assumptions!$E$44:$E$46,MATCH($C48,Assumptions!$A$44:$A$46,0)),0))*IF(AND($C48="Verified",$C$39=1),0,1)</f>
        <v>0</v>
      </c>
      <c r="O114" s="23" t="n">
        <f aca="false">IF($F48=1,IF(O$45=1,INDEX(Assumptions!$E$44:$E$46,MATCH($C48,Assumptions!$A$44:$A$46,0))*$C$34,0),IF(O$45=MAX($G48-1,1),INDEX(Assumptions!$E$44:$E$46,MATCH($C48,Assumptions!$A$44:$A$46,0)),0))*IF(AND($C48="Verified",$C$39=1),0,1)</f>
        <v>0</v>
      </c>
      <c r="P114" s="23" t="n">
        <f aca="false">IF($F48=1,IF(P$45=1,INDEX(Assumptions!$E$44:$E$46,MATCH($C48,Assumptions!$A$44:$A$46,0))*$C$34,0),IF(P$45=MAX($G48-1,1),INDEX(Assumptions!$E$44:$E$46,MATCH($C48,Assumptions!$A$44:$A$46,0)),0))*IF(AND($C48="Verified",$C$39=1),0,1)</f>
        <v>0</v>
      </c>
      <c r="Q114" s="23" t="n">
        <f aca="false">IF($F48=1,IF(Q$45=1,INDEX(Assumptions!$E$44:$E$46,MATCH($C48,Assumptions!$A$44:$A$46,0))*$C$34,0),IF(Q$45=MAX($G48-1,1),INDEX(Assumptions!$E$44:$E$46,MATCH($C48,Assumptions!$A$44:$A$46,0)),0))*IF(AND($C48="Verified",$C$39=1),0,1)</f>
        <v>0</v>
      </c>
      <c r="R114" s="23" t="n">
        <f aca="false">IF($F48=1,IF(R$45=1,INDEX(Assumptions!$E$44:$E$46,MATCH($C48,Assumptions!$A$44:$A$46,0))*$C$34,0),IF(R$45=MAX($G48-1,1),INDEX(Assumptions!$E$44:$E$46,MATCH($C48,Assumptions!$A$44:$A$46,0)),0))*IF(AND($C48="Verified",$C$39=1),0,1)</f>
        <v>0</v>
      </c>
      <c r="S114" s="23" t="n">
        <f aca="false">IF($F48=1,IF(S$45=1,INDEX(Assumptions!$E$44:$E$46,MATCH($C48,Assumptions!$A$44:$A$46,0))*$C$34,0),IF(S$45=MAX($G48-1,1),INDEX(Assumptions!$E$44:$E$46,MATCH($C48,Assumptions!$A$44:$A$46,0)),0))*IF(AND($C48="Verified",$C$39=1),0,1)</f>
        <v>0</v>
      </c>
      <c r="T114" s="23" t="n">
        <f aca="false">IF($F48=1,IF(T$45=1,INDEX(Assumptions!$E$44:$E$46,MATCH($C48,Assumptions!$A$44:$A$46,0))*$C$34,0),IF(T$45=MAX($G48-1,1),INDEX(Assumptions!$E$44:$E$46,MATCH($C48,Assumptions!$A$44:$A$46,0)),0))*IF(AND($C48="Verified",$C$39=1),0,1)</f>
        <v>0</v>
      </c>
      <c r="U114" s="23" t="n">
        <f aca="false">IF($F48=1,IF(U$45=1,INDEX(Assumptions!$E$44:$E$46,MATCH($C48,Assumptions!$A$44:$A$46,0))*$C$34,0),IF(U$45=MAX($G48-1,1),INDEX(Assumptions!$E$44:$E$46,MATCH($C48,Assumptions!$A$44:$A$46,0)),0))*IF(AND($C48="Verified",$C$39=1),0,1)</f>
        <v>0</v>
      </c>
      <c r="V114" s="23" t="n">
        <f aca="false">IF($F48=1,IF(V$45=1,INDEX(Assumptions!$E$44:$E$46,MATCH($C48,Assumptions!$A$44:$A$46,0))*$C$34,0),IF(V$45=MAX($G48-1,1),INDEX(Assumptions!$E$44:$E$46,MATCH($C48,Assumptions!$A$44:$A$46,0)),0))*IF(AND($C48="Verified",$C$39=1),0,1)</f>
        <v>0</v>
      </c>
      <c r="W114" s="23" t="n">
        <f aca="false">IF($F48=1,IF(W$45=1,INDEX(Assumptions!$E$44:$E$46,MATCH($C48,Assumptions!$A$44:$A$46,0))*$C$34,0),IF(W$45=MAX($G48-1,1),INDEX(Assumptions!$E$44:$E$46,MATCH($C48,Assumptions!$A$44:$A$46,0)),0))*IF(AND($C48="Verified",$C$39=1),0,1)</f>
        <v>0</v>
      </c>
      <c r="X114" s="23" t="n">
        <f aca="false">IF($F48=1,IF(X$45=1,INDEX(Assumptions!$E$44:$E$46,MATCH($C48,Assumptions!$A$44:$A$46,0))*$C$34,0),IF(X$45=MAX($G48-1,1),INDEX(Assumptions!$E$44:$E$46,MATCH($C48,Assumptions!$A$44:$A$46,0)),0))*IF(AND($C48="Verified",$C$39=1),0,1)</f>
        <v>0</v>
      </c>
      <c r="Y114" s="23" t="n">
        <f aca="false">IF($F48=1,IF(Y$45=1,INDEX(Assumptions!$E$44:$E$46,MATCH($C48,Assumptions!$A$44:$A$46,0))*$C$34,0),IF(Y$45=MAX($G48-1,1),INDEX(Assumptions!$E$44:$E$46,MATCH($C48,Assumptions!$A$44:$A$46,0)),0))*IF(AND($C48="Verified",$C$39=1),0,1)</f>
        <v>0</v>
      </c>
    </row>
    <row r="115" customFormat="false" ht="15" hidden="false" customHeight="false" outlineLevel="0" collapsed="false">
      <c r="A115" s="2" t="n">
        <f aca="false">A49</f>
        <v>2</v>
      </c>
      <c r="B115" s="2" t="str">
        <f aca="false">B49</f>
        <v>Pilot</v>
      </c>
      <c r="C115" s="2" t="str">
        <f aca="false">C49</f>
        <v>Assured</v>
      </c>
      <c r="D115" s="2"/>
      <c r="E115" s="2"/>
      <c r="F115" s="2"/>
      <c r="G115" s="2"/>
      <c r="H115" s="23" t="n">
        <f aca="false">IF($F49=1,IF(H$45=1,INDEX(Assumptions!$E$44:$E$46,MATCH($C49,Assumptions!$A$44:$A$46,0))*$C$34,0),IF(H$45=MAX($G49-1,1),INDEX(Assumptions!$E$44:$E$46,MATCH($C49,Assumptions!$A$44:$A$46,0)),0))*IF(AND($C49="Verified",$C$39=1),0,1)</f>
        <v>60000</v>
      </c>
      <c r="I115" s="23" t="n">
        <f aca="false">IF($F49=1,IF(I$45=1,INDEX(Assumptions!$E$44:$E$46,MATCH($C49,Assumptions!$A$44:$A$46,0))*$C$34,0),IF(I$45=MAX($G49-1,1),INDEX(Assumptions!$E$44:$E$46,MATCH($C49,Assumptions!$A$44:$A$46,0)),0))*IF(AND($C49="Verified",$C$39=1),0,1)</f>
        <v>0</v>
      </c>
      <c r="J115" s="23" t="n">
        <f aca="false">IF($F49=1,IF(J$45=1,INDEX(Assumptions!$E$44:$E$46,MATCH($C49,Assumptions!$A$44:$A$46,0))*$C$34,0),IF(J$45=MAX($G49-1,1),INDEX(Assumptions!$E$44:$E$46,MATCH($C49,Assumptions!$A$44:$A$46,0)),0))*IF(AND($C49="Verified",$C$39=1),0,1)</f>
        <v>0</v>
      </c>
      <c r="K115" s="23" t="n">
        <f aca="false">IF($F49=1,IF(K$45=1,INDEX(Assumptions!$E$44:$E$46,MATCH($C49,Assumptions!$A$44:$A$46,0))*$C$34,0),IF(K$45=MAX($G49-1,1),INDEX(Assumptions!$E$44:$E$46,MATCH($C49,Assumptions!$A$44:$A$46,0)),0))*IF(AND($C49="Verified",$C$39=1),0,1)</f>
        <v>0</v>
      </c>
      <c r="L115" s="23" t="n">
        <f aca="false">IF($F49=1,IF(L$45=1,INDEX(Assumptions!$E$44:$E$46,MATCH($C49,Assumptions!$A$44:$A$46,0))*$C$34,0),IF(L$45=MAX($G49-1,1),INDEX(Assumptions!$E$44:$E$46,MATCH($C49,Assumptions!$A$44:$A$46,0)),0))*IF(AND($C49="Verified",$C$39=1),0,1)</f>
        <v>0</v>
      </c>
      <c r="M115" s="23" t="n">
        <f aca="false">IF($F49=1,IF(M$45=1,INDEX(Assumptions!$E$44:$E$46,MATCH($C49,Assumptions!$A$44:$A$46,0))*$C$34,0),IF(M$45=MAX($G49-1,1),INDEX(Assumptions!$E$44:$E$46,MATCH($C49,Assumptions!$A$44:$A$46,0)),0))*IF(AND($C49="Verified",$C$39=1),0,1)</f>
        <v>0</v>
      </c>
      <c r="N115" s="23" t="n">
        <f aca="false">IF($F49=1,IF(N$45=1,INDEX(Assumptions!$E$44:$E$46,MATCH($C49,Assumptions!$A$44:$A$46,0))*$C$34,0),IF(N$45=MAX($G49-1,1),INDEX(Assumptions!$E$44:$E$46,MATCH($C49,Assumptions!$A$44:$A$46,0)),0))*IF(AND($C49="Verified",$C$39=1),0,1)</f>
        <v>0</v>
      </c>
      <c r="O115" s="23" t="n">
        <f aca="false">IF($F49=1,IF(O$45=1,INDEX(Assumptions!$E$44:$E$46,MATCH($C49,Assumptions!$A$44:$A$46,0))*$C$34,0),IF(O$45=MAX($G49-1,1),INDEX(Assumptions!$E$44:$E$46,MATCH($C49,Assumptions!$A$44:$A$46,0)),0))*IF(AND($C49="Verified",$C$39=1),0,1)</f>
        <v>0</v>
      </c>
      <c r="P115" s="23" t="n">
        <f aca="false">IF($F49=1,IF(P$45=1,INDEX(Assumptions!$E$44:$E$46,MATCH($C49,Assumptions!$A$44:$A$46,0))*$C$34,0),IF(P$45=MAX($G49-1,1),INDEX(Assumptions!$E$44:$E$46,MATCH($C49,Assumptions!$A$44:$A$46,0)),0))*IF(AND($C49="Verified",$C$39=1),0,1)</f>
        <v>0</v>
      </c>
      <c r="Q115" s="23" t="n">
        <f aca="false">IF($F49=1,IF(Q$45=1,INDEX(Assumptions!$E$44:$E$46,MATCH($C49,Assumptions!$A$44:$A$46,0))*$C$34,0),IF(Q$45=MAX($G49-1,1),INDEX(Assumptions!$E$44:$E$46,MATCH($C49,Assumptions!$A$44:$A$46,0)),0))*IF(AND($C49="Verified",$C$39=1),0,1)</f>
        <v>0</v>
      </c>
      <c r="R115" s="23" t="n">
        <f aca="false">IF($F49=1,IF(R$45=1,INDEX(Assumptions!$E$44:$E$46,MATCH($C49,Assumptions!$A$44:$A$46,0))*$C$34,0),IF(R$45=MAX($G49-1,1),INDEX(Assumptions!$E$44:$E$46,MATCH($C49,Assumptions!$A$44:$A$46,0)),0))*IF(AND($C49="Verified",$C$39=1),0,1)</f>
        <v>0</v>
      </c>
      <c r="S115" s="23" t="n">
        <f aca="false">IF($F49=1,IF(S$45=1,INDEX(Assumptions!$E$44:$E$46,MATCH($C49,Assumptions!$A$44:$A$46,0))*$C$34,0),IF(S$45=MAX($G49-1,1),INDEX(Assumptions!$E$44:$E$46,MATCH($C49,Assumptions!$A$44:$A$46,0)),0))*IF(AND($C49="Verified",$C$39=1),0,1)</f>
        <v>0</v>
      </c>
      <c r="T115" s="23" t="n">
        <f aca="false">IF($F49=1,IF(T$45=1,INDEX(Assumptions!$E$44:$E$46,MATCH($C49,Assumptions!$A$44:$A$46,0))*$C$34,0),IF(T$45=MAX($G49-1,1),INDEX(Assumptions!$E$44:$E$46,MATCH($C49,Assumptions!$A$44:$A$46,0)),0))*IF(AND($C49="Verified",$C$39=1),0,1)</f>
        <v>0</v>
      </c>
      <c r="U115" s="23" t="n">
        <f aca="false">IF($F49=1,IF(U$45=1,INDEX(Assumptions!$E$44:$E$46,MATCH($C49,Assumptions!$A$44:$A$46,0))*$C$34,0),IF(U$45=MAX($G49-1,1),INDEX(Assumptions!$E$44:$E$46,MATCH($C49,Assumptions!$A$44:$A$46,0)),0))*IF(AND($C49="Verified",$C$39=1),0,1)</f>
        <v>0</v>
      </c>
      <c r="V115" s="23" t="n">
        <f aca="false">IF($F49=1,IF(V$45=1,INDEX(Assumptions!$E$44:$E$46,MATCH($C49,Assumptions!$A$44:$A$46,0))*$C$34,0),IF(V$45=MAX($G49-1,1),INDEX(Assumptions!$E$44:$E$46,MATCH($C49,Assumptions!$A$44:$A$46,0)),0))*IF(AND($C49="Verified",$C$39=1),0,1)</f>
        <v>0</v>
      </c>
      <c r="W115" s="23" t="n">
        <f aca="false">IF($F49=1,IF(W$45=1,INDEX(Assumptions!$E$44:$E$46,MATCH($C49,Assumptions!$A$44:$A$46,0))*$C$34,0),IF(W$45=MAX($G49-1,1),INDEX(Assumptions!$E$44:$E$46,MATCH($C49,Assumptions!$A$44:$A$46,0)),0))*IF(AND($C49="Verified",$C$39=1),0,1)</f>
        <v>0</v>
      </c>
      <c r="X115" s="23" t="n">
        <f aca="false">IF($F49=1,IF(X$45=1,INDEX(Assumptions!$E$44:$E$46,MATCH($C49,Assumptions!$A$44:$A$46,0))*$C$34,0),IF(X$45=MAX($G49-1,1),INDEX(Assumptions!$E$44:$E$46,MATCH($C49,Assumptions!$A$44:$A$46,0)),0))*IF(AND($C49="Verified",$C$39=1),0,1)</f>
        <v>0</v>
      </c>
      <c r="Y115" s="23" t="n">
        <f aca="false">IF($F49=1,IF(Y$45=1,INDEX(Assumptions!$E$44:$E$46,MATCH($C49,Assumptions!$A$44:$A$46,0))*$C$34,0),IF(Y$45=MAX($G49-1,1),INDEX(Assumptions!$E$44:$E$46,MATCH($C49,Assumptions!$A$44:$A$46,0)),0))*IF(AND($C49="Verified",$C$39=1),0,1)</f>
        <v>0</v>
      </c>
    </row>
    <row r="116" customFormat="false" ht="15" hidden="false" customHeight="false" outlineLevel="0" collapsed="false">
      <c r="A116" s="2" t="n">
        <f aca="false">A50</f>
        <v>3</v>
      </c>
      <c r="B116" s="2" t="str">
        <f aca="false">B50</f>
        <v>Pilot</v>
      </c>
      <c r="C116" s="2" t="str">
        <f aca="false">C50</f>
        <v>Assured</v>
      </c>
      <c r="D116" s="2"/>
      <c r="E116" s="2"/>
      <c r="F116" s="2"/>
      <c r="G116" s="2"/>
      <c r="H116" s="23" t="n">
        <f aca="false">IF($F50=1,IF(H$45=1,INDEX(Assumptions!$E$44:$E$46,MATCH($C50,Assumptions!$A$44:$A$46,0))*$C$34,0),IF(H$45=MAX($G50-1,1),INDEX(Assumptions!$E$44:$E$46,MATCH($C50,Assumptions!$A$44:$A$46,0)),0))*IF(AND($C50="Verified",$C$39=1),0,1)</f>
        <v>60000</v>
      </c>
      <c r="I116" s="23" t="n">
        <f aca="false">IF($F50=1,IF(I$45=1,INDEX(Assumptions!$E$44:$E$46,MATCH($C50,Assumptions!$A$44:$A$46,0))*$C$34,0),IF(I$45=MAX($G50-1,1),INDEX(Assumptions!$E$44:$E$46,MATCH($C50,Assumptions!$A$44:$A$46,0)),0))*IF(AND($C50="Verified",$C$39=1),0,1)</f>
        <v>0</v>
      </c>
      <c r="J116" s="23" t="n">
        <f aca="false">IF($F50=1,IF(J$45=1,INDEX(Assumptions!$E$44:$E$46,MATCH($C50,Assumptions!$A$44:$A$46,0))*$C$34,0),IF(J$45=MAX($G50-1,1),INDEX(Assumptions!$E$44:$E$46,MATCH($C50,Assumptions!$A$44:$A$46,0)),0))*IF(AND($C50="Verified",$C$39=1),0,1)</f>
        <v>0</v>
      </c>
      <c r="K116" s="23" t="n">
        <f aca="false">IF($F50=1,IF(K$45=1,INDEX(Assumptions!$E$44:$E$46,MATCH($C50,Assumptions!$A$44:$A$46,0))*$C$34,0),IF(K$45=MAX($G50-1,1),INDEX(Assumptions!$E$44:$E$46,MATCH($C50,Assumptions!$A$44:$A$46,0)),0))*IF(AND($C50="Verified",$C$39=1),0,1)</f>
        <v>0</v>
      </c>
      <c r="L116" s="23" t="n">
        <f aca="false">IF($F50=1,IF(L$45=1,INDEX(Assumptions!$E$44:$E$46,MATCH($C50,Assumptions!$A$44:$A$46,0))*$C$34,0),IF(L$45=MAX($G50-1,1),INDEX(Assumptions!$E$44:$E$46,MATCH($C50,Assumptions!$A$44:$A$46,0)),0))*IF(AND($C50="Verified",$C$39=1),0,1)</f>
        <v>0</v>
      </c>
      <c r="M116" s="23" t="n">
        <f aca="false">IF($F50=1,IF(M$45=1,INDEX(Assumptions!$E$44:$E$46,MATCH($C50,Assumptions!$A$44:$A$46,0))*$C$34,0),IF(M$45=MAX($G50-1,1),INDEX(Assumptions!$E$44:$E$46,MATCH($C50,Assumptions!$A$44:$A$46,0)),0))*IF(AND($C50="Verified",$C$39=1),0,1)</f>
        <v>0</v>
      </c>
      <c r="N116" s="23" t="n">
        <f aca="false">IF($F50=1,IF(N$45=1,INDEX(Assumptions!$E$44:$E$46,MATCH($C50,Assumptions!$A$44:$A$46,0))*$C$34,0),IF(N$45=MAX($G50-1,1),INDEX(Assumptions!$E$44:$E$46,MATCH($C50,Assumptions!$A$44:$A$46,0)),0))*IF(AND($C50="Verified",$C$39=1),0,1)</f>
        <v>0</v>
      </c>
      <c r="O116" s="23" t="n">
        <f aca="false">IF($F50=1,IF(O$45=1,INDEX(Assumptions!$E$44:$E$46,MATCH($C50,Assumptions!$A$44:$A$46,0))*$C$34,0),IF(O$45=MAX($G50-1,1),INDEX(Assumptions!$E$44:$E$46,MATCH($C50,Assumptions!$A$44:$A$46,0)),0))*IF(AND($C50="Verified",$C$39=1),0,1)</f>
        <v>0</v>
      </c>
      <c r="P116" s="23" t="n">
        <f aca="false">IF($F50=1,IF(P$45=1,INDEX(Assumptions!$E$44:$E$46,MATCH($C50,Assumptions!$A$44:$A$46,0))*$C$34,0),IF(P$45=MAX($G50-1,1),INDEX(Assumptions!$E$44:$E$46,MATCH($C50,Assumptions!$A$44:$A$46,0)),0))*IF(AND($C50="Verified",$C$39=1),0,1)</f>
        <v>0</v>
      </c>
      <c r="Q116" s="23" t="n">
        <f aca="false">IF($F50=1,IF(Q$45=1,INDEX(Assumptions!$E$44:$E$46,MATCH($C50,Assumptions!$A$44:$A$46,0))*$C$34,0),IF(Q$45=MAX($G50-1,1),INDEX(Assumptions!$E$44:$E$46,MATCH($C50,Assumptions!$A$44:$A$46,0)),0))*IF(AND($C50="Verified",$C$39=1),0,1)</f>
        <v>0</v>
      </c>
      <c r="R116" s="23" t="n">
        <f aca="false">IF($F50=1,IF(R$45=1,INDEX(Assumptions!$E$44:$E$46,MATCH($C50,Assumptions!$A$44:$A$46,0))*$C$34,0),IF(R$45=MAX($G50-1,1),INDEX(Assumptions!$E$44:$E$46,MATCH($C50,Assumptions!$A$44:$A$46,0)),0))*IF(AND($C50="Verified",$C$39=1),0,1)</f>
        <v>0</v>
      </c>
      <c r="S116" s="23" t="n">
        <f aca="false">IF($F50=1,IF(S$45=1,INDEX(Assumptions!$E$44:$E$46,MATCH($C50,Assumptions!$A$44:$A$46,0))*$C$34,0),IF(S$45=MAX($G50-1,1),INDEX(Assumptions!$E$44:$E$46,MATCH($C50,Assumptions!$A$44:$A$46,0)),0))*IF(AND($C50="Verified",$C$39=1),0,1)</f>
        <v>0</v>
      </c>
      <c r="T116" s="23" t="n">
        <f aca="false">IF($F50=1,IF(T$45=1,INDEX(Assumptions!$E$44:$E$46,MATCH($C50,Assumptions!$A$44:$A$46,0))*$C$34,0),IF(T$45=MAX($G50-1,1),INDEX(Assumptions!$E$44:$E$46,MATCH($C50,Assumptions!$A$44:$A$46,0)),0))*IF(AND($C50="Verified",$C$39=1),0,1)</f>
        <v>0</v>
      </c>
      <c r="U116" s="23" t="n">
        <f aca="false">IF($F50=1,IF(U$45=1,INDEX(Assumptions!$E$44:$E$46,MATCH($C50,Assumptions!$A$44:$A$46,0))*$C$34,0),IF(U$45=MAX($G50-1,1),INDEX(Assumptions!$E$44:$E$46,MATCH($C50,Assumptions!$A$44:$A$46,0)),0))*IF(AND($C50="Verified",$C$39=1),0,1)</f>
        <v>0</v>
      </c>
      <c r="V116" s="23" t="n">
        <f aca="false">IF($F50=1,IF(V$45=1,INDEX(Assumptions!$E$44:$E$46,MATCH($C50,Assumptions!$A$44:$A$46,0))*$C$34,0),IF(V$45=MAX($G50-1,1),INDEX(Assumptions!$E$44:$E$46,MATCH($C50,Assumptions!$A$44:$A$46,0)),0))*IF(AND($C50="Verified",$C$39=1),0,1)</f>
        <v>0</v>
      </c>
      <c r="W116" s="23" t="n">
        <f aca="false">IF($F50=1,IF(W$45=1,INDEX(Assumptions!$E$44:$E$46,MATCH($C50,Assumptions!$A$44:$A$46,0))*$C$34,0),IF(W$45=MAX($G50-1,1),INDEX(Assumptions!$E$44:$E$46,MATCH($C50,Assumptions!$A$44:$A$46,0)),0))*IF(AND($C50="Verified",$C$39=1),0,1)</f>
        <v>0</v>
      </c>
      <c r="X116" s="23" t="n">
        <f aca="false">IF($F50=1,IF(X$45=1,INDEX(Assumptions!$E$44:$E$46,MATCH($C50,Assumptions!$A$44:$A$46,0))*$C$34,0),IF(X$45=MAX($G50-1,1),INDEX(Assumptions!$E$44:$E$46,MATCH($C50,Assumptions!$A$44:$A$46,0)),0))*IF(AND($C50="Verified",$C$39=1),0,1)</f>
        <v>0</v>
      </c>
      <c r="Y116" s="23" t="n">
        <f aca="false">IF($F50=1,IF(Y$45=1,INDEX(Assumptions!$E$44:$E$46,MATCH($C50,Assumptions!$A$44:$A$46,0))*$C$34,0),IF(Y$45=MAX($G50-1,1),INDEX(Assumptions!$E$44:$E$46,MATCH($C50,Assumptions!$A$44:$A$46,0)),0))*IF(AND($C50="Verified",$C$39=1),0,1)</f>
        <v>0</v>
      </c>
    </row>
    <row r="117" customFormat="false" ht="15" hidden="false" customHeight="false" outlineLevel="0" collapsed="false">
      <c r="A117" s="2" t="n">
        <f aca="false">A51</f>
        <v>4</v>
      </c>
      <c r="B117" s="2" t="str">
        <f aca="false">B51</f>
        <v>Pilot</v>
      </c>
      <c r="C117" s="2" t="str">
        <f aca="false">C51</f>
        <v>Assured</v>
      </c>
      <c r="D117" s="2"/>
      <c r="E117" s="2"/>
      <c r="F117" s="2"/>
      <c r="G117" s="2"/>
      <c r="H117" s="23" t="n">
        <f aca="false">IF($F51=1,IF(H$45=1,INDEX(Assumptions!$E$44:$E$46,MATCH($C51,Assumptions!$A$44:$A$46,0))*$C$34,0),IF(H$45=MAX($G51-1,1),INDEX(Assumptions!$E$44:$E$46,MATCH($C51,Assumptions!$A$44:$A$46,0)),0))*IF(AND($C51="Verified",$C$39=1),0,1)</f>
        <v>60000</v>
      </c>
      <c r="I117" s="23" t="n">
        <f aca="false">IF($F51=1,IF(I$45=1,INDEX(Assumptions!$E$44:$E$46,MATCH($C51,Assumptions!$A$44:$A$46,0))*$C$34,0),IF(I$45=MAX($G51-1,1),INDEX(Assumptions!$E$44:$E$46,MATCH($C51,Assumptions!$A$44:$A$46,0)),0))*IF(AND($C51="Verified",$C$39=1),0,1)</f>
        <v>0</v>
      </c>
      <c r="J117" s="23" t="n">
        <f aca="false">IF($F51=1,IF(J$45=1,INDEX(Assumptions!$E$44:$E$46,MATCH($C51,Assumptions!$A$44:$A$46,0))*$C$34,0),IF(J$45=MAX($G51-1,1),INDEX(Assumptions!$E$44:$E$46,MATCH($C51,Assumptions!$A$44:$A$46,0)),0))*IF(AND($C51="Verified",$C$39=1),0,1)</f>
        <v>0</v>
      </c>
      <c r="K117" s="23" t="n">
        <f aca="false">IF($F51=1,IF(K$45=1,INDEX(Assumptions!$E$44:$E$46,MATCH($C51,Assumptions!$A$44:$A$46,0))*$C$34,0),IF(K$45=MAX($G51-1,1),INDEX(Assumptions!$E$44:$E$46,MATCH($C51,Assumptions!$A$44:$A$46,0)),0))*IF(AND($C51="Verified",$C$39=1),0,1)</f>
        <v>0</v>
      </c>
      <c r="L117" s="23" t="n">
        <f aca="false">IF($F51=1,IF(L$45=1,INDEX(Assumptions!$E$44:$E$46,MATCH($C51,Assumptions!$A$44:$A$46,0))*$C$34,0),IF(L$45=MAX($G51-1,1),INDEX(Assumptions!$E$44:$E$46,MATCH($C51,Assumptions!$A$44:$A$46,0)),0))*IF(AND($C51="Verified",$C$39=1),0,1)</f>
        <v>0</v>
      </c>
      <c r="M117" s="23" t="n">
        <f aca="false">IF($F51=1,IF(M$45=1,INDEX(Assumptions!$E$44:$E$46,MATCH($C51,Assumptions!$A$44:$A$46,0))*$C$34,0),IF(M$45=MAX($G51-1,1),INDEX(Assumptions!$E$44:$E$46,MATCH($C51,Assumptions!$A$44:$A$46,0)),0))*IF(AND($C51="Verified",$C$39=1),0,1)</f>
        <v>0</v>
      </c>
      <c r="N117" s="23" t="n">
        <f aca="false">IF($F51=1,IF(N$45=1,INDEX(Assumptions!$E$44:$E$46,MATCH($C51,Assumptions!$A$44:$A$46,0))*$C$34,0),IF(N$45=MAX($G51-1,1),INDEX(Assumptions!$E$44:$E$46,MATCH($C51,Assumptions!$A$44:$A$46,0)),0))*IF(AND($C51="Verified",$C$39=1),0,1)</f>
        <v>0</v>
      </c>
      <c r="O117" s="23" t="n">
        <f aca="false">IF($F51=1,IF(O$45=1,INDEX(Assumptions!$E$44:$E$46,MATCH($C51,Assumptions!$A$44:$A$46,0))*$C$34,0),IF(O$45=MAX($G51-1,1),INDEX(Assumptions!$E$44:$E$46,MATCH($C51,Assumptions!$A$44:$A$46,0)),0))*IF(AND($C51="Verified",$C$39=1),0,1)</f>
        <v>0</v>
      </c>
      <c r="P117" s="23" t="n">
        <f aca="false">IF($F51=1,IF(P$45=1,INDEX(Assumptions!$E$44:$E$46,MATCH($C51,Assumptions!$A$44:$A$46,0))*$C$34,0),IF(P$45=MAX($G51-1,1),INDEX(Assumptions!$E$44:$E$46,MATCH($C51,Assumptions!$A$44:$A$46,0)),0))*IF(AND($C51="Verified",$C$39=1),0,1)</f>
        <v>0</v>
      </c>
      <c r="Q117" s="23" t="n">
        <f aca="false">IF($F51=1,IF(Q$45=1,INDEX(Assumptions!$E$44:$E$46,MATCH($C51,Assumptions!$A$44:$A$46,0))*$C$34,0),IF(Q$45=MAX($G51-1,1),INDEX(Assumptions!$E$44:$E$46,MATCH($C51,Assumptions!$A$44:$A$46,0)),0))*IF(AND($C51="Verified",$C$39=1),0,1)</f>
        <v>0</v>
      </c>
      <c r="R117" s="23" t="n">
        <f aca="false">IF($F51=1,IF(R$45=1,INDEX(Assumptions!$E$44:$E$46,MATCH($C51,Assumptions!$A$44:$A$46,0))*$C$34,0),IF(R$45=MAX($G51-1,1),INDEX(Assumptions!$E$44:$E$46,MATCH($C51,Assumptions!$A$44:$A$46,0)),0))*IF(AND($C51="Verified",$C$39=1),0,1)</f>
        <v>0</v>
      </c>
      <c r="S117" s="23" t="n">
        <f aca="false">IF($F51=1,IF(S$45=1,INDEX(Assumptions!$E$44:$E$46,MATCH($C51,Assumptions!$A$44:$A$46,0))*$C$34,0),IF(S$45=MAX($G51-1,1),INDEX(Assumptions!$E$44:$E$46,MATCH($C51,Assumptions!$A$44:$A$46,0)),0))*IF(AND($C51="Verified",$C$39=1),0,1)</f>
        <v>0</v>
      </c>
      <c r="T117" s="23" t="n">
        <f aca="false">IF($F51=1,IF(T$45=1,INDEX(Assumptions!$E$44:$E$46,MATCH($C51,Assumptions!$A$44:$A$46,0))*$C$34,0),IF(T$45=MAX($G51-1,1),INDEX(Assumptions!$E$44:$E$46,MATCH($C51,Assumptions!$A$44:$A$46,0)),0))*IF(AND($C51="Verified",$C$39=1),0,1)</f>
        <v>0</v>
      </c>
      <c r="U117" s="23" t="n">
        <f aca="false">IF($F51=1,IF(U$45=1,INDEX(Assumptions!$E$44:$E$46,MATCH($C51,Assumptions!$A$44:$A$46,0))*$C$34,0),IF(U$45=MAX($G51-1,1),INDEX(Assumptions!$E$44:$E$46,MATCH($C51,Assumptions!$A$44:$A$46,0)),0))*IF(AND($C51="Verified",$C$39=1),0,1)</f>
        <v>0</v>
      </c>
      <c r="V117" s="23" t="n">
        <f aca="false">IF($F51=1,IF(V$45=1,INDEX(Assumptions!$E$44:$E$46,MATCH($C51,Assumptions!$A$44:$A$46,0))*$C$34,0),IF(V$45=MAX($G51-1,1),INDEX(Assumptions!$E$44:$E$46,MATCH($C51,Assumptions!$A$44:$A$46,0)),0))*IF(AND($C51="Verified",$C$39=1),0,1)</f>
        <v>0</v>
      </c>
      <c r="W117" s="23" t="n">
        <f aca="false">IF($F51=1,IF(W$45=1,INDEX(Assumptions!$E$44:$E$46,MATCH($C51,Assumptions!$A$44:$A$46,0))*$C$34,0),IF(W$45=MAX($G51-1,1),INDEX(Assumptions!$E$44:$E$46,MATCH($C51,Assumptions!$A$44:$A$46,0)),0))*IF(AND($C51="Verified",$C$39=1),0,1)</f>
        <v>0</v>
      </c>
      <c r="X117" s="23" t="n">
        <f aca="false">IF($F51=1,IF(X$45=1,INDEX(Assumptions!$E$44:$E$46,MATCH($C51,Assumptions!$A$44:$A$46,0))*$C$34,0),IF(X$45=MAX($G51-1,1),INDEX(Assumptions!$E$44:$E$46,MATCH($C51,Assumptions!$A$44:$A$46,0)),0))*IF(AND($C51="Verified",$C$39=1),0,1)</f>
        <v>0</v>
      </c>
      <c r="Y117" s="23" t="n">
        <f aca="false">IF($F51=1,IF(Y$45=1,INDEX(Assumptions!$E$44:$E$46,MATCH($C51,Assumptions!$A$44:$A$46,0))*$C$34,0),IF(Y$45=MAX($G51-1,1),INDEX(Assumptions!$E$44:$E$46,MATCH($C51,Assumptions!$A$44:$A$46,0)),0))*IF(AND($C51="Verified",$C$39=1),0,1)</f>
        <v>0</v>
      </c>
    </row>
    <row r="118" customFormat="false" ht="15" hidden="false" customHeight="false" outlineLevel="0" collapsed="false">
      <c r="A118" s="2" t="n">
        <f aca="false">A52</f>
        <v>5</v>
      </c>
      <c r="B118" s="2" t="str">
        <f aca="false">B52</f>
        <v>A</v>
      </c>
      <c r="C118" s="2" t="str">
        <f aca="false">C52</f>
        <v>Assured</v>
      </c>
      <c r="D118" s="2"/>
      <c r="E118" s="2"/>
      <c r="F118" s="2"/>
      <c r="G118" s="2"/>
      <c r="H118" s="23" t="n">
        <f aca="false">IF($F52=1,IF(H$45=1,INDEX(Assumptions!$E$44:$E$46,MATCH($C52,Assumptions!$A$44:$A$46,0))*$C$34,0),IF(H$45=MAX($G52-1,1),INDEX(Assumptions!$E$44:$E$46,MATCH($C52,Assumptions!$A$44:$A$46,0)),0))*IF(AND($C52="Verified",$C$39=1),0,1)</f>
        <v>0</v>
      </c>
      <c r="I118" s="23" t="n">
        <f aca="false">IF($F52=1,IF(I$45=1,INDEX(Assumptions!$E$44:$E$46,MATCH($C52,Assumptions!$A$44:$A$46,0))*$C$34,0),IF(I$45=MAX($G52-1,1),INDEX(Assumptions!$E$44:$E$46,MATCH($C52,Assumptions!$A$44:$A$46,0)),0))*IF(AND($C52="Verified",$C$39=1),0,1)</f>
        <v>0</v>
      </c>
      <c r="J118" s="23" t="n">
        <f aca="false">IF($F52=1,IF(J$45=1,INDEX(Assumptions!$E$44:$E$46,MATCH($C52,Assumptions!$A$44:$A$46,0))*$C$34,0),IF(J$45=MAX($G52-1,1),INDEX(Assumptions!$E$44:$E$46,MATCH($C52,Assumptions!$A$44:$A$46,0)),0))*IF(AND($C52="Verified",$C$39=1),0,1)</f>
        <v>0</v>
      </c>
      <c r="K118" s="23" t="n">
        <f aca="false">IF($F52=1,IF(K$45=1,INDEX(Assumptions!$E$44:$E$46,MATCH($C52,Assumptions!$A$44:$A$46,0))*$C$34,0),IF(K$45=MAX($G52-1,1),INDEX(Assumptions!$E$44:$E$46,MATCH($C52,Assumptions!$A$44:$A$46,0)),0))*IF(AND($C52="Verified",$C$39=1),0,1)</f>
        <v>120000</v>
      </c>
      <c r="L118" s="23" t="n">
        <f aca="false">IF($F52=1,IF(L$45=1,INDEX(Assumptions!$E$44:$E$46,MATCH($C52,Assumptions!$A$44:$A$46,0))*$C$34,0),IF(L$45=MAX($G52-1,1),INDEX(Assumptions!$E$44:$E$46,MATCH($C52,Assumptions!$A$44:$A$46,0)),0))*IF(AND($C52="Verified",$C$39=1),0,1)</f>
        <v>0</v>
      </c>
      <c r="M118" s="23" t="n">
        <f aca="false">IF($F52=1,IF(M$45=1,INDEX(Assumptions!$E$44:$E$46,MATCH($C52,Assumptions!$A$44:$A$46,0))*$C$34,0),IF(M$45=MAX($G52-1,1),INDEX(Assumptions!$E$44:$E$46,MATCH($C52,Assumptions!$A$44:$A$46,0)),0))*IF(AND($C52="Verified",$C$39=1),0,1)</f>
        <v>0</v>
      </c>
      <c r="N118" s="23" t="n">
        <f aca="false">IF($F52=1,IF(N$45=1,INDEX(Assumptions!$E$44:$E$46,MATCH($C52,Assumptions!$A$44:$A$46,0))*$C$34,0),IF(N$45=MAX($G52-1,1),INDEX(Assumptions!$E$44:$E$46,MATCH($C52,Assumptions!$A$44:$A$46,0)),0))*IF(AND($C52="Verified",$C$39=1),0,1)</f>
        <v>0</v>
      </c>
      <c r="O118" s="23" t="n">
        <f aca="false">IF($F52=1,IF(O$45=1,INDEX(Assumptions!$E$44:$E$46,MATCH($C52,Assumptions!$A$44:$A$46,0))*$C$34,0),IF(O$45=MAX($G52-1,1),INDEX(Assumptions!$E$44:$E$46,MATCH($C52,Assumptions!$A$44:$A$46,0)),0))*IF(AND($C52="Verified",$C$39=1),0,1)</f>
        <v>0</v>
      </c>
      <c r="P118" s="23" t="n">
        <f aca="false">IF($F52=1,IF(P$45=1,INDEX(Assumptions!$E$44:$E$46,MATCH($C52,Assumptions!$A$44:$A$46,0))*$C$34,0),IF(P$45=MAX($G52-1,1),INDEX(Assumptions!$E$44:$E$46,MATCH($C52,Assumptions!$A$44:$A$46,0)),0))*IF(AND($C52="Verified",$C$39=1),0,1)</f>
        <v>0</v>
      </c>
      <c r="Q118" s="23" t="n">
        <f aca="false">IF($F52=1,IF(Q$45=1,INDEX(Assumptions!$E$44:$E$46,MATCH($C52,Assumptions!$A$44:$A$46,0))*$C$34,0),IF(Q$45=MAX($G52-1,1),INDEX(Assumptions!$E$44:$E$46,MATCH($C52,Assumptions!$A$44:$A$46,0)),0))*IF(AND($C52="Verified",$C$39=1),0,1)</f>
        <v>0</v>
      </c>
      <c r="R118" s="23" t="n">
        <f aca="false">IF($F52=1,IF(R$45=1,INDEX(Assumptions!$E$44:$E$46,MATCH($C52,Assumptions!$A$44:$A$46,0))*$C$34,0),IF(R$45=MAX($G52-1,1),INDEX(Assumptions!$E$44:$E$46,MATCH($C52,Assumptions!$A$44:$A$46,0)),0))*IF(AND($C52="Verified",$C$39=1),0,1)</f>
        <v>0</v>
      </c>
      <c r="S118" s="23" t="n">
        <f aca="false">IF($F52=1,IF(S$45=1,INDEX(Assumptions!$E$44:$E$46,MATCH($C52,Assumptions!$A$44:$A$46,0))*$C$34,0),IF(S$45=MAX($G52-1,1),INDEX(Assumptions!$E$44:$E$46,MATCH($C52,Assumptions!$A$44:$A$46,0)),0))*IF(AND($C52="Verified",$C$39=1),0,1)</f>
        <v>0</v>
      </c>
      <c r="T118" s="23" t="n">
        <f aca="false">IF($F52=1,IF(T$45=1,INDEX(Assumptions!$E$44:$E$46,MATCH($C52,Assumptions!$A$44:$A$46,0))*$C$34,0),IF(T$45=MAX($G52-1,1),INDEX(Assumptions!$E$44:$E$46,MATCH($C52,Assumptions!$A$44:$A$46,0)),0))*IF(AND($C52="Verified",$C$39=1),0,1)</f>
        <v>0</v>
      </c>
      <c r="U118" s="23" t="n">
        <f aca="false">IF($F52=1,IF(U$45=1,INDEX(Assumptions!$E$44:$E$46,MATCH($C52,Assumptions!$A$44:$A$46,0))*$C$34,0),IF(U$45=MAX($G52-1,1),INDEX(Assumptions!$E$44:$E$46,MATCH($C52,Assumptions!$A$44:$A$46,0)),0))*IF(AND($C52="Verified",$C$39=1),0,1)</f>
        <v>0</v>
      </c>
      <c r="V118" s="23" t="n">
        <f aca="false">IF($F52=1,IF(V$45=1,INDEX(Assumptions!$E$44:$E$46,MATCH($C52,Assumptions!$A$44:$A$46,0))*$C$34,0),IF(V$45=MAX($G52-1,1),INDEX(Assumptions!$E$44:$E$46,MATCH($C52,Assumptions!$A$44:$A$46,0)),0))*IF(AND($C52="Verified",$C$39=1),0,1)</f>
        <v>0</v>
      </c>
      <c r="W118" s="23" t="n">
        <f aca="false">IF($F52=1,IF(W$45=1,INDEX(Assumptions!$E$44:$E$46,MATCH($C52,Assumptions!$A$44:$A$46,0))*$C$34,0),IF(W$45=MAX($G52-1,1),INDEX(Assumptions!$E$44:$E$46,MATCH($C52,Assumptions!$A$44:$A$46,0)),0))*IF(AND($C52="Verified",$C$39=1),0,1)</f>
        <v>0</v>
      </c>
      <c r="X118" s="23" t="n">
        <f aca="false">IF($F52=1,IF(X$45=1,INDEX(Assumptions!$E$44:$E$46,MATCH($C52,Assumptions!$A$44:$A$46,0))*$C$34,0),IF(X$45=MAX($G52-1,1),INDEX(Assumptions!$E$44:$E$46,MATCH($C52,Assumptions!$A$44:$A$46,0)),0))*IF(AND($C52="Verified",$C$39=1),0,1)</f>
        <v>0</v>
      </c>
      <c r="Y118" s="23" t="n">
        <f aca="false">IF($F52=1,IF(Y$45=1,INDEX(Assumptions!$E$44:$E$46,MATCH($C52,Assumptions!$A$44:$A$46,0))*$C$34,0),IF(Y$45=MAX($G52-1,1),INDEX(Assumptions!$E$44:$E$46,MATCH($C52,Assumptions!$A$44:$A$46,0)),0))*IF(AND($C52="Verified",$C$39=1),0,1)</f>
        <v>0</v>
      </c>
    </row>
    <row r="119" customFormat="false" ht="15" hidden="false" customHeight="false" outlineLevel="0" collapsed="false">
      <c r="A119" s="2" t="n">
        <f aca="false">A53</f>
        <v>6</v>
      </c>
      <c r="B119" s="2" t="str">
        <f aca="false">B53</f>
        <v>A</v>
      </c>
      <c r="C119" s="2" t="str">
        <f aca="false">C53</f>
        <v>Assured</v>
      </c>
      <c r="D119" s="2"/>
      <c r="E119" s="2"/>
      <c r="F119" s="2"/>
      <c r="G119" s="2"/>
      <c r="H119" s="23" t="n">
        <f aca="false">IF($F53=1,IF(H$45=1,INDEX(Assumptions!$E$44:$E$46,MATCH($C53,Assumptions!$A$44:$A$46,0))*$C$34,0),IF(H$45=MAX($G53-1,1),INDEX(Assumptions!$E$44:$E$46,MATCH($C53,Assumptions!$A$44:$A$46,0)),0))*IF(AND($C53="Verified",$C$39=1),0,1)</f>
        <v>0</v>
      </c>
      <c r="I119" s="23" t="n">
        <f aca="false">IF($F53=1,IF(I$45=1,INDEX(Assumptions!$E$44:$E$46,MATCH($C53,Assumptions!$A$44:$A$46,0))*$C$34,0),IF(I$45=MAX($G53-1,1),INDEX(Assumptions!$E$44:$E$46,MATCH($C53,Assumptions!$A$44:$A$46,0)),0))*IF(AND($C53="Verified",$C$39=1),0,1)</f>
        <v>0</v>
      </c>
      <c r="J119" s="23" t="n">
        <f aca="false">IF($F53=1,IF(J$45=1,INDEX(Assumptions!$E$44:$E$46,MATCH($C53,Assumptions!$A$44:$A$46,0))*$C$34,0),IF(J$45=MAX($G53-1,1),INDEX(Assumptions!$E$44:$E$46,MATCH($C53,Assumptions!$A$44:$A$46,0)),0))*IF(AND($C53="Verified",$C$39=1),0,1)</f>
        <v>0</v>
      </c>
      <c r="K119" s="23" t="n">
        <f aca="false">IF($F53=1,IF(K$45=1,INDEX(Assumptions!$E$44:$E$46,MATCH($C53,Assumptions!$A$44:$A$46,0))*$C$34,0),IF(K$45=MAX($G53-1,1),INDEX(Assumptions!$E$44:$E$46,MATCH($C53,Assumptions!$A$44:$A$46,0)),0))*IF(AND($C53="Verified",$C$39=1),0,1)</f>
        <v>120000</v>
      </c>
      <c r="L119" s="23" t="n">
        <f aca="false">IF($F53=1,IF(L$45=1,INDEX(Assumptions!$E$44:$E$46,MATCH($C53,Assumptions!$A$44:$A$46,0))*$C$34,0),IF(L$45=MAX($G53-1,1),INDEX(Assumptions!$E$44:$E$46,MATCH($C53,Assumptions!$A$44:$A$46,0)),0))*IF(AND($C53="Verified",$C$39=1),0,1)</f>
        <v>0</v>
      </c>
      <c r="M119" s="23" t="n">
        <f aca="false">IF($F53=1,IF(M$45=1,INDEX(Assumptions!$E$44:$E$46,MATCH($C53,Assumptions!$A$44:$A$46,0))*$C$34,0),IF(M$45=MAX($G53-1,1),INDEX(Assumptions!$E$44:$E$46,MATCH($C53,Assumptions!$A$44:$A$46,0)),0))*IF(AND($C53="Verified",$C$39=1),0,1)</f>
        <v>0</v>
      </c>
      <c r="N119" s="23" t="n">
        <f aca="false">IF($F53=1,IF(N$45=1,INDEX(Assumptions!$E$44:$E$46,MATCH($C53,Assumptions!$A$44:$A$46,0))*$C$34,0),IF(N$45=MAX($G53-1,1),INDEX(Assumptions!$E$44:$E$46,MATCH($C53,Assumptions!$A$44:$A$46,0)),0))*IF(AND($C53="Verified",$C$39=1),0,1)</f>
        <v>0</v>
      </c>
      <c r="O119" s="23" t="n">
        <f aca="false">IF($F53=1,IF(O$45=1,INDEX(Assumptions!$E$44:$E$46,MATCH($C53,Assumptions!$A$44:$A$46,0))*$C$34,0),IF(O$45=MAX($G53-1,1),INDEX(Assumptions!$E$44:$E$46,MATCH($C53,Assumptions!$A$44:$A$46,0)),0))*IF(AND($C53="Verified",$C$39=1),0,1)</f>
        <v>0</v>
      </c>
      <c r="P119" s="23" t="n">
        <f aca="false">IF($F53=1,IF(P$45=1,INDEX(Assumptions!$E$44:$E$46,MATCH($C53,Assumptions!$A$44:$A$46,0))*$C$34,0),IF(P$45=MAX($G53-1,1),INDEX(Assumptions!$E$44:$E$46,MATCH($C53,Assumptions!$A$44:$A$46,0)),0))*IF(AND($C53="Verified",$C$39=1),0,1)</f>
        <v>0</v>
      </c>
      <c r="Q119" s="23" t="n">
        <f aca="false">IF($F53=1,IF(Q$45=1,INDEX(Assumptions!$E$44:$E$46,MATCH($C53,Assumptions!$A$44:$A$46,0))*$C$34,0),IF(Q$45=MAX($G53-1,1),INDEX(Assumptions!$E$44:$E$46,MATCH($C53,Assumptions!$A$44:$A$46,0)),0))*IF(AND($C53="Verified",$C$39=1),0,1)</f>
        <v>0</v>
      </c>
      <c r="R119" s="23" t="n">
        <f aca="false">IF($F53=1,IF(R$45=1,INDEX(Assumptions!$E$44:$E$46,MATCH($C53,Assumptions!$A$44:$A$46,0))*$C$34,0),IF(R$45=MAX($G53-1,1),INDEX(Assumptions!$E$44:$E$46,MATCH($C53,Assumptions!$A$44:$A$46,0)),0))*IF(AND($C53="Verified",$C$39=1),0,1)</f>
        <v>0</v>
      </c>
      <c r="S119" s="23" t="n">
        <f aca="false">IF($F53=1,IF(S$45=1,INDEX(Assumptions!$E$44:$E$46,MATCH($C53,Assumptions!$A$44:$A$46,0))*$C$34,0),IF(S$45=MAX($G53-1,1),INDEX(Assumptions!$E$44:$E$46,MATCH($C53,Assumptions!$A$44:$A$46,0)),0))*IF(AND($C53="Verified",$C$39=1),0,1)</f>
        <v>0</v>
      </c>
      <c r="T119" s="23" t="n">
        <f aca="false">IF($F53=1,IF(T$45=1,INDEX(Assumptions!$E$44:$E$46,MATCH($C53,Assumptions!$A$44:$A$46,0))*$C$34,0),IF(T$45=MAX($G53-1,1),INDEX(Assumptions!$E$44:$E$46,MATCH($C53,Assumptions!$A$44:$A$46,0)),0))*IF(AND($C53="Verified",$C$39=1),0,1)</f>
        <v>0</v>
      </c>
      <c r="U119" s="23" t="n">
        <f aca="false">IF($F53=1,IF(U$45=1,INDEX(Assumptions!$E$44:$E$46,MATCH($C53,Assumptions!$A$44:$A$46,0))*$C$34,0),IF(U$45=MAX($G53-1,1),INDEX(Assumptions!$E$44:$E$46,MATCH($C53,Assumptions!$A$44:$A$46,0)),0))*IF(AND($C53="Verified",$C$39=1),0,1)</f>
        <v>0</v>
      </c>
      <c r="V119" s="23" t="n">
        <f aca="false">IF($F53=1,IF(V$45=1,INDEX(Assumptions!$E$44:$E$46,MATCH($C53,Assumptions!$A$44:$A$46,0))*$C$34,0),IF(V$45=MAX($G53-1,1),INDEX(Assumptions!$E$44:$E$46,MATCH($C53,Assumptions!$A$44:$A$46,0)),0))*IF(AND($C53="Verified",$C$39=1),0,1)</f>
        <v>0</v>
      </c>
      <c r="W119" s="23" t="n">
        <f aca="false">IF($F53=1,IF(W$45=1,INDEX(Assumptions!$E$44:$E$46,MATCH($C53,Assumptions!$A$44:$A$46,0))*$C$34,0),IF(W$45=MAX($G53-1,1),INDEX(Assumptions!$E$44:$E$46,MATCH($C53,Assumptions!$A$44:$A$46,0)),0))*IF(AND($C53="Verified",$C$39=1),0,1)</f>
        <v>0</v>
      </c>
      <c r="X119" s="23" t="n">
        <f aca="false">IF($F53=1,IF(X$45=1,INDEX(Assumptions!$E$44:$E$46,MATCH($C53,Assumptions!$A$44:$A$46,0))*$C$34,0),IF(X$45=MAX($G53-1,1),INDEX(Assumptions!$E$44:$E$46,MATCH($C53,Assumptions!$A$44:$A$46,0)),0))*IF(AND($C53="Verified",$C$39=1),0,1)</f>
        <v>0</v>
      </c>
      <c r="Y119" s="23" t="n">
        <f aca="false">IF($F53=1,IF(Y$45=1,INDEX(Assumptions!$E$44:$E$46,MATCH($C53,Assumptions!$A$44:$A$46,0))*$C$34,0),IF(Y$45=MAX($G53-1,1),INDEX(Assumptions!$E$44:$E$46,MATCH($C53,Assumptions!$A$44:$A$46,0)),0))*IF(AND($C53="Verified",$C$39=1),0,1)</f>
        <v>0</v>
      </c>
    </row>
    <row r="120" customFormat="false" ht="15" hidden="false" customHeight="false" outlineLevel="0" collapsed="false">
      <c r="A120" s="2" t="n">
        <f aca="false">A54</f>
        <v>7</v>
      </c>
      <c r="B120" s="2" t="str">
        <f aca="false">B54</f>
        <v>A</v>
      </c>
      <c r="C120" s="2" t="str">
        <f aca="false">C54</f>
        <v>Assured</v>
      </c>
      <c r="D120" s="2"/>
      <c r="E120" s="2"/>
      <c r="F120" s="2"/>
      <c r="G120" s="2"/>
      <c r="H120" s="23" t="n">
        <f aca="false">IF($F54=1,IF(H$45=1,INDEX(Assumptions!$E$44:$E$46,MATCH($C54,Assumptions!$A$44:$A$46,0))*$C$34,0),IF(H$45=MAX($G54-1,1),INDEX(Assumptions!$E$44:$E$46,MATCH($C54,Assumptions!$A$44:$A$46,0)),0))*IF(AND($C54="Verified",$C$39=1),0,1)</f>
        <v>0</v>
      </c>
      <c r="I120" s="23" t="n">
        <f aca="false">IF($F54=1,IF(I$45=1,INDEX(Assumptions!$E$44:$E$46,MATCH($C54,Assumptions!$A$44:$A$46,0))*$C$34,0),IF(I$45=MAX($G54-1,1),INDEX(Assumptions!$E$44:$E$46,MATCH($C54,Assumptions!$A$44:$A$46,0)),0))*IF(AND($C54="Verified",$C$39=1),0,1)</f>
        <v>0</v>
      </c>
      <c r="J120" s="23" t="n">
        <f aca="false">IF($F54=1,IF(J$45=1,INDEX(Assumptions!$E$44:$E$46,MATCH($C54,Assumptions!$A$44:$A$46,0))*$C$34,0),IF(J$45=MAX($G54-1,1),INDEX(Assumptions!$E$44:$E$46,MATCH($C54,Assumptions!$A$44:$A$46,0)),0))*IF(AND($C54="Verified",$C$39=1),0,1)</f>
        <v>0</v>
      </c>
      <c r="K120" s="23" t="n">
        <f aca="false">IF($F54=1,IF(K$45=1,INDEX(Assumptions!$E$44:$E$46,MATCH($C54,Assumptions!$A$44:$A$46,0))*$C$34,0),IF(K$45=MAX($G54-1,1),INDEX(Assumptions!$E$44:$E$46,MATCH($C54,Assumptions!$A$44:$A$46,0)),0))*IF(AND($C54="Verified",$C$39=1),0,1)</f>
        <v>0</v>
      </c>
      <c r="L120" s="23" t="n">
        <f aca="false">IF($F54=1,IF(L$45=1,INDEX(Assumptions!$E$44:$E$46,MATCH($C54,Assumptions!$A$44:$A$46,0))*$C$34,0),IF(L$45=MAX($G54-1,1),INDEX(Assumptions!$E$44:$E$46,MATCH($C54,Assumptions!$A$44:$A$46,0)),0))*IF(AND($C54="Verified",$C$39=1),0,1)</f>
        <v>120000</v>
      </c>
      <c r="M120" s="23" t="n">
        <f aca="false">IF($F54=1,IF(M$45=1,INDEX(Assumptions!$E$44:$E$46,MATCH($C54,Assumptions!$A$44:$A$46,0))*$C$34,0),IF(M$45=MAX($G54-1,1),INDEX(Assumptions!$E$44:$E$46,MATCH($C54,Assumptions!$A$44:$A$46,0)),0))*IF(AND($C54="Verified",$C$39=1),0,1)</f>
        <v>0</v>
      </c>
      <c r="N120" s="23" t="n">
        <f aca="false">IF($F54=1,IF(N$45=1,INDEX(Assumptions!$E$44:$E$46,MATCH($C54,Assumptions!$A$44:$A$46,0))*$C$34,0),IF(N$45=MAX($G54-1,1),INDEX(Assumptions!$E$44:$E$46,MATCH($C54,Assumptions!$A$44:$A$46,0)),0))*IF(AND($C54="Verified",$C$39=1),0,1)</f>
        <v>0</v>
      </c>
      <c r="O120" s="23" t="n">
        <f aca="false">IF($F54=1,IF(O$45=1,INDEX(Assumptions!$E$44:$E$46,MATCH($C54,Assumptions!$A$44:$A$46,0))*$C$34,0),IF(O$45=MAX($G54-1,1),INDEX(Assumptions!$E$44:$E$46,MATCH($C54,Assumptions!$A$44:$A$46,0)),0))*IF(AND($C54="Verified",$C$39=1),0,1)</f>
        <v>0</v>
      </c>
      <c r="P120" s="23" t="n">
        <f aca="false">IF($F54=1,IF(P$45=1,INDEX(Assumptions!$E$44:$E$46,MATCH($C54,Assumptions!$A$44:$A$46,0))*$C$34,0),IF(P$45=MAX($G54-1,1),INDEX(Assumptions!$E$44:$E$46,MATCH($C54,Assumptions!$A$44:$A$46,0)),0))*IF(AND($C54="Verified",$C$39=1),0,1)</f>
        <v>0</v>
      </c>
      <c r="Q120" s="23" t="n">
        <f aca="false">IF($F54=1,IF(Q$45=1,INDEX(Assumptions!$E$44:$E$46,MATCH($C54,Assumptions!$A$44:$A$46,0))*$C$34,0),IF(Q$45=MAX($G54-1,1),INDEX(Assumptions!$E$44:$E$46,MATCH($C54,Assumptions!$A$44:$A$46,0)),0))*IF(AND($C54="Verified",$C$39=1),0,1)</f>
        <v>0</v>
      </c>
      <c r="R120" s="23" t="n">
        <f aca="false">IF($F54=1,IF(R$45=1,INDEX(Assumptions!$E$44:$E$46,MATCH($C54,Assumptions!$A$44:$A$46,0))*$C$34,0),IF(R$45=MAX($G54-1,1),INDEX(Assumptions!$E$44:$E$46,MATCH($C54,Assumptions!$A$44:$A$46,0)),0))*IF(AND($C54="Verified",$C$39=1),0,1)</f>
        <v>0</v>
      </c>
      <c r="S120" s="23" t="n">
        <f aca="false">IF($F54=1,IF(S$45=1,INDEX(Assumptions!$E$44:$E$46,MATCH($C54,Assumptions!$A$44:$A$46,0))*$C$34,0),IF(S$45=MAX($G54-1,1),INDEX(Assumptions!$E$44:$E$46,MATCH($C54,Assumptions!$A$44:$A$46,0)),0))*IF(AND($C54="Verified",$C$39=1),0,1)</f>
        <v>0</v>
      </c>
      <c r="T120" s="23" t="n">
        <f aca="false">IF($F54=1,IF(T$45=1,INDEX(Assumptions!$E$44:$E$46,MATCH($C54,Assumptions!$A$44:$A$46,0))*$C$34,0),IF(T$45=MAX($G54-1,1),INDEX(Assumptions!$E$44:$E$46,MATCH($C54,Assumptions!$A$44:$A$46,0)),0))*IF(AND($C54="Verified",$C$39=1),0,1)</f>
        <v>0</v>
      </c>
      <c r="U120" s="23" t="n">
        <f aca="false">IF($F54=1,IF(U$45=1,INDEX(Assumptions!$E$44:$E$46,MATCH($C54,Assumptions!$A$44:$A$46,0))*$C$34,0),IF(U$45=MAX($G54-1,1),INDEX(Assumptions!$E$44:$E$46,MATCH($C54,Assumptions!$A$44:$A$46,0)),0))*IF(AND($C54="Verified",$C$39=1),0,1)</f>
        <v>0</v>
      </c>
      <c r="V120" s="23" t="n">
        <f aca="false">IF($F54=1,IF(V$45=1,INDEX(Assumptions!$E$44:$E$46,MATCH($C54,Assumptions!$A$44:$A$46,0))*$C$34,0),IF(V$45=MAX($G54-1,1),INDEX(Assumptions!$E$44:$E$46,MATCH($C54,Assumptions!$A$44:$A$46,0)),0))*IF(AND($C54="Verified",$C$39=1),0,1)</f>
        <v>0</v>
      </c>
      <c r="W120" s="23" t="n">
        <f aca="false">IF($F54=1,IF(W$45=1,INDEX(Assumptions!$E$44:$E$46,MATCH($C54,Assumptions!$A$44:$A$46,0))*$C$34,0),IF(W$45=MAX($G54-1,1),INDEX(Assumptions!$E$44:$E$46,MATCH($C54,Assumptions!$A$44:$A$46,0)),0))*IF(AND($C54="Verified",$C$39=1),0,1)</f>
        <v>0</v>
      </c>
      <c r="X120" s="23" t="n">
        <f aca="false">IF($F54=1,IF(X$45=1,INDEX(Assumptions!$E$44:$E$46,MATCH($C54,Assumptions!$A$44:$A$46,0))*$C$34,0),IF(X$45=MAX($G54-1,1),INDEX(Assumptions!$E$44:$E$46,MATCH($C54,Assumptions!$A$44:$A$46,0)),0))*IF(AND($C54="Verified",$C$39=1),0,1)</f>
        <v>0</v>
      </c>
      <c r="Y120" s="23" t="n">
        <f aca="false">IF($F54=1,IF(Y$45=1,INDEX(Assumptions!$E$44:$E$46,MATCH($C54,Assumptions!$A$44:$A$46,0))*$C$34,0),IF(Y$45=MAX($G54-1,1),INDEX(Assumptions!$E$44:$E$46,MATCH($C54,Assumptions!$A$44:$A$46,0)),0))*IF(AND($C54="Verified",$C$39=1),0,1)</f>
        <v>0</v>
      </c>
    </row>
    <row r="121" customFormat="false" ht="15" hidden="false" customHeight="false" outlineLevel="0" collapsed="false">
      <c r="A121" s="2" t="n">
        <f aca="false">A55</f>
        <v>8</v>
      </c>
      <c r="B121" s="2" t="str">
        <f aca="false">B55</f>
        <v>A</v>
      </c>
      <c r="C121" s="2" t="str">
        <f aca="false">C55</f>
        <v>Assured</v>
      </c>
      <c r="D121" s="2"/>
      <c r="E121" s="2"/>
      <c r="F121" s="2"/>
      <c r="G121" s="2"/>
      <c r="H121" s="23" t="n">
        <f aca="false">IF($F55=1,IF(H$45=1,INDEX(Assumptions!$E$44:$E$46,MATCH($C55,Assumptions!$A$44:$A$46,0))*$C$34,0),IF(H$45=MAX($G55-1,1),INDEX(Assumptions!$E$44:$E$46,MATCH($C55,Assumptions!$A$44:$A$46,0)),0))*IF(AND($C55="Verified",$C$39=1),0,1)</f>
        <v>0</v>
      </c>
      <c r="I121" s="23" t="n">
        <f aca="false">IF($F55=1,IF(I$45=1,INDEX(Assumptions!$E$44:$E$46,MATCH($C55,Assumptions!$A$44:$A$46,0))*$C$34,0),IF(I$45=MAX($G55-1,1),INDEX(Assumptions!$E$44:$E$46,MATCH($C55,Assumptions!$A$44:$A$46,0)),0))*IF(AND($C55="Verified",$C$39=1),0,1)</f>
        <v>0</v>
      </c>
      <c r="J121" s="23" t="n">
        <f aca="false">IF($F55=1,IF(J$45=1,INDEX(Assumptions!$E$44:$E$46,MATCH($C55,Assumptions!$A$44:$A$46,0))*$C$34,0),IF(J$45=MAX($G55-1,1),INDEX(Assumptions!$E$44:$E$46,MATCH($C55,Assumptions!$A$44:$A$46,0)),0))*IF(AND($C55="Verified",$C$39=1),0,1)</f>
        <v>0</v>
      </c>
      <c r="K121" s="23" t="n">
        <f aca="false">IF($F55=1,IF(K$45=1,INDEX(Assumptions!$E$44:$E$46,MATCH($C55,Assumptions!$A$44:$A$46,0))*$C$34,0),IF(K$45=MAX($G55-1,1),INDEX(Assumptions!$E$44:$E$46,MATCH($C55,Assumptions!$A$44:$A$46,0)),0))*IF(AND($C55="Verified",$C$39=1),0,1)</f>
        <v>0</v>
      </c>
      <c r="L121" s="23" t="n">
        <f aca="false">IF($F55=1,IF(L$45=1,INDEX(Assumptions!$E$44:$E$46,MATCH($C55,Assumptions!$A$44:$A$46,0))*$C$34,0),IF(L$45=MAX($G55-1,1),INDEX(Assumptions!$E$44:$E$46,MATCH($C55,Assumptions!$A$44:$A$46,0)),0))*IF(AND($C55="Verified",$C$39=1),0,1)</f>
        <v>120000</v>
      </c>
      <c r="M121" s="23" t="n">
        <f aca="false">IF($F55=1,IF(M$45=1,INDEX(Assumptions!$E$44:$E$46,MATCH($C55,Assumptions!$A$44:$A$46,0))*$C$34,0),IF(M$45=MAX($G55-1,1),INDEX(Assumptions!$E$44:$E$46,MATCH($C55,Assumptions!$A$44:$A$46,0)),0))*IF(AND($C55="Verified",$C$39=1),0,1)</f>
        <v>0</v>
      </c>
      <c r="N121" s="23" t="n">
        <f aca="false">IF($F55=1,IF(N$45=1,INDEX(Assumptions!$E$44:$E$46,MATCH($C55,Assumptions!$A$44:$A$46,0))*$C$34,0),IF(N$45=MAX($G55-1,1),INDEX(Assumptions!$E$44:$E$46,MATCH($C55,Assumptions!$A$44:$A$46,0)),0))*IF(AND($C55="Verified",$C$39=1),0,1)</f>
        <v>0</v>
      </c>
      <c r="O121" s="23" t="n">
        <f aca="false">IF($F55=1,IF(O$45=1,INDEX(Assumptions!$E$44:$E$46,MATCH($C55,Assumptions!$A$44:$A$46,0))*$C$34,0),IF(O$45=MAX($G55-1,1),INDEX(Assumptions!$E$44:$E$46,MATCH($C55,Assumptions!$A$44:$A$46,0)),0))*IF(AND($C55="Verified",$C$39=1),0,1)</f>
        <v>0</v>
      </c>
      <c r="P121" s="23" t="n">
        <f aca="false">IF($F55=1,IF(P$45=1,INDEX(Assumptions!$E$44:$E$46,MATCH($C55,Assumptions!$A$44:$A$46,0))*$C$34,0),IF(P$45=MAX($G55-1,1),INDEX(Assumptions!$E$44:$E$46,MATCH($C55,Assumptions!$A$44:$A$46,0)),0))*IF(AND($C55="Verified",$C$39=1),0,1)</f>
        <v>0</v>
      </c>
      <c r="Q121" s="23" t="n">
        <f aca="false">IF($F55=1,IF(Q$45=1,INDEX(Assumptions!$E$44:$E$46,MATCH($C55,Assumptions!$A$44:$A$46,0))*$C$34,0),IF(Q$45=MAX($G55-1,1),INDEX(Assumptions!$E$44:$E$46,MATCH($C55,Assumptions!$A$44:$A$46,0)),0))*IF(AND($C55="Verified",$C$39=1),0,1)</f>
        <v>0</v>
      </c>
      <c r="R121" s="23" t="n">
        <f aca="false">IF($F55=1,IF(R$45=1,INDEX(Assumptions!$E$44:$E$46,MATCH($C55,Assumptions!$A$44:$A$46,0))*$C$34,0),IF(R$45=MAX($G55-1,1),INDEX(Assumptions!$E$44:$E$46,MATCH($C55,Assumptions!$A$44:$A$46,0)),0))*IF(AND($C55="Verified",$C$39=1),0,1)</f>
        <v>0</v>
      </c>
      <c r="S121" s="23" t="n">
        <f aca="false">IF($F55=1,IF(S$45=1,INDEX(Assumptions!$E$44:$E$46,MATCH($C55,Assumptions!$A$44:$A$46,0))*$C$34,0),IF(S$45=MAX($G55-1,1),INDEX(Assumptions!$E$44:$E$46,MATCH($C55,Assumptions!$A$44:$A$46,0)),0))*IF(AND($C55="Verified",$C$39=1),0,1)</f>
        <v>0</v>
      </c>
      <c r="T121" s="23" t="n">
        <f aca="false">IF($F55=1,IF(T$45=1,INDEX(Assumptions!$E$44:$E$46,MATCH($C55,Assumptions!$A$44:$A$46,0))*$C$34,0),IF(T$45=MAX($G55-1,1),INDEX(Assumptions!$E$44:$E$46,MATCH($C55,Assumptions!$A$44:$A$46,0)),0))*IF(AND($C55="Verified",$C$39=1),0,1)</f>
        <v>0</v>
      </c>
      <c r="U121" s="23" t="n">
        <f aca="false">IF($F55=1,IF(U$45=1,INDEX(Assumptions!$E$44:$E$46,MATCH($C55,Assumptions!$A$44:$A$46,0))*$C$34,0),IF(U$45=MAX($G55-1,1),INDEX(Assumptions!$E$44:$E$46,MATCH($C55,Assumptions!$A$44:$A$46,0)),0))*IF(AND($C55="Verified",$C$39=1),0,1)</f>
        <v>0</v>
      </c>
      <c r="V121" s="23" t="n">
        <f aca="false">IF($F55=1,IF(V$45=1,INDEX(Assumptions!$E$44:$E$46,MATCH($C55,Assumptions!$A$44:$A$46,0))*$C$34,0),IF(V$45=MAX($G55-1,1),INDEX(Assumptions!$E$44:$E$46,MATCH($C55,Assumptions!$A$44:$A$46,0)),0))*IF(AND($C55="Verified",$C$39=1),0,1)</f>
        <v>0</v>
      </c>
      <c r="W121" s="23" t="n">
        <f aca="false">IF($F55=1,IF(W$45=1,INDEX(Assumptions!$E$44:$E$46,MATCH($C55,Assumptions!$A$44:$A$46,0))*$C$34,0),IF(W$45=MAX($G55-1,1),INDEX(Assumptions!$E$44:$E$46,MATCH($C55,Assumptions!$A$44:$A$46,0)),0))*IF(AND($C55="Verified",$C$39=1),0,1)</f>
        <v>0</v>
      </c>
      <c r="X121" s="23" t="n">
        <f aca="false">IF($F55=1,IF(X$45=1,INDEX(Assumptions!$E$44:$E$46,MATCH($C55,Assumptions!$A$44:$A$46,0))*$C$34,0),IF(X$45=MAX($G55-1,1),INDEX(Assumptions!$E$44:$E$46,MATCH($C55,Assumptions!$A$44:$A$46,0)),0))*IF(AND($C55="Verified",$C$39=1),0,1)</f>
        <v>0</v>
      </c>
      <c r="Y121" s="23" t="n">
        <f aca="false">IF($F55=1,IF(Y$45=1,INDEX(Assumptions!$E$44:$E$46,MATCH($C55,Assumptions!$A$44:$A$46,0))*$C$34,0),IF(Y$45=MAX($G55-1,1),INDEX(Assumptions!$E$44:$E$46,MATCH($C55,Assumptions!$A$44:$A$46,0)),0))*IF(AND($C55="Verified",$C$39=1),0,1)</f>
        <v>0</v>
      </c>
    </row>
    <row r="122" customFormat="false" ht="15" hidden="false" customHeight="false" outlineLevel="0" collapsed="false">
      <c r="A122" s="2" t="n">
        <f aca="false">A56</f>
        <v>9</v>
      </c>
      <c r="B122" s="2" t="str">
        <f aca="false">B56</f>
        <v>A</v>
      </c>
      <c r="C122" s="2" t="str">
        <f aca="false">C56</f>
        <v>Assured</v>
      </c>
      <c r="D122" s="2"/>
      <c r="E122" s="2"/>
      <c r="F122" s="2"/>
      <c r="G122" s="2"/>
      <c r="H122" s="23" t="n">
        <f aca="false">IF($F56=1,IF(H$45=1,INDEX(Assumptions!$E$44:$E$46,MATCH($C56,Assumptions!$A$44:$A$46,0))*$C$34,0),IF(H$45=MAX($G56-1,1),INDEX(Assumptions!$E$44:$E$46,MATCH($C56,Assumptions!$A$44:$A$46,0)),0))*IF(AND($C56="Verified",$C$39=1),0,1)</f>
        <v>0</v>
      </c>
      <c r="I122" s="23" t="n">
        <f aca="false">IF($F56=1,IF(I$45=1,INDEX(Assumptions!$E$44:$E$46,MATCH($C56,Assumptions!$A$44:$A$46,0))*$C$34,0),IF(I$45=MAX($G56-1,1),INDEX(Assumptions!$E$44:$E$46,MATCH($C56,Assumptions!$A$44:$A$46,0)),0))*IF(AND($C56="Verified",$C$39=1),0,1)</f>
        <v>0</v>
      </c>
      <c r="J122" s="23" t="n">
        <f aca="false">IF($F56=1,IF(J$45=1,INDEX(Assumptions!$E$44:$E$46,MATCH($C56,Assumptions!$A$44:$A$46,0))*$C$34,0),IF(J$45=MAX($G56-1,1),INDEX(Assumptions!$E$44:$E$46,MATCH($C56,Assumptions!$A$44:$A$46,0)),0))*IF(AND($C56="Verified",$C$39=1),0,1)</f>
        <v>0</v>
      </c>
      <c r="K122" s="23" t="n">
        <f aca="false">IF($F56=1,IF(K$45=1,INDEX(Assumptions!$E$44:$E$46,MATCH($C56,Assumptions!$A$44:$A$46,0))*$C$34,0),IF(K$45=MAX($G56-1,1),INDEX(Assumptions!$E$44:$E$46,MATCH($C56,Assumptions!$A$44:$A$46,0)),0))*IF(AND($C56="Verified",$C$39=1),0,1)</f>
        <v>0</v>
      </c>
      <c r="L122" s="23" t="n">
        <f aca="false">IF($F56=1,IF(L$45=1,INDEX(Assumptions!$E$44:$E$46,MATCH($C56,Assumptions!$A$44:$A$46,0))*$C$34,0),IF(L$45=MAX($G56-1,1),INDEX(Assumptions!$E$44:$E$46,MATCH($C56,Assumptions!$A$44:$A$46,0)),0))*IF(AND($C56="Verified",$C$39=1),0,1)</f>
        <v>0</v>
      </c>
      <c r="M122" s="23" t="n">
        <f aca="false">IF($F56=1,IF(M$45=1,INDEX(Assumptions!$E$44:$E$46,MATCH($C56,Assumptions!$A$44:$A$46,0))*$C$34,0),IF(M$45=MAX($G56-1,1),INDEX(Assumptions!$E$44:$E$46,MATCH($C56,Assumptions!$A$44:$A$46,0)),0))*IF(AND($C56="Verified",$C$39=1),0,1)</f>
        <v>120000</v>
      </c>
      <c r="N122" s="23" t="n">
        <f aca="false">IF($F56=1,IF(N$45=1,INDEX(Assumptions!$E$44:$E$46,MATCH($C56,Assumptions!$A$44:$A$46,0))*$C$34,0),IF(N$45=MAX($G56-1,1),INDEX(Assumptions!$E$44:$E$46,MATCH($C56,Assumptions!$A$44:$A$46,0)),0))*IF(AND($C56="Verified",$C$39=1),0,1)</f>
        <v>0</v>
      </c>
      <c r="O122" s="23" t="n">
        <f aca="false">IF($F56=1,IF(O$45=1,INDEX(Assumptions!$E$44:$E$46,MATCH($C56,Assumptions!$A$44:$A$46,0))*$C$34,0),IF(O$45=MAX($G56-1,1),INDEX(Assumptions!$E$44:$E$46,MATCH($C56,Assumptions!$A$44:$A$46,0)),0))*IF(AND($C56="Verified",$C$39=1),0,1)</f>
        <v>0</v>
      </c>
      <c r="P122" s="23" t="n">
        <f aca="false">IF($F56=1,IF(P$45=1,INDEX(Assumptions!$E$44:$E$46,MATCH($C56,Assumptions!$A$44:$A$46,0))*$C$34,0),IF(P$45=MAX($G56-1,1),INDEX(Assumptions!$E$44:$E$46,MATCH($C56,Assumptions!$A$44:$A$46,0)),0))*IF(AND($C56="Verified",$C$39=1),0,1)</f>
        <v>0</v>
      </c>
      <c r="Q122" s="23" t="n">
        <f aca="false">IF($F56=1,IF(Q$45=1,INDEX(Assumptions!$E$44:$E$46,MATCH($C56,Assumptions!$A$44:$A$46,0))*$C$34,0),IF(Q$45=MAX($G56-1,1),INDEX(Assumptions!$E$44:$E$46,MATCH($C56,Assumptions!$A$44:$A$46,0)),0))*IF(AND($C56="Verified",$C$39=1),0,1)</f>
        <v>0</v>
      </c>
      <c r="R122" s="23" t="n">
        <f aca="false">IF($F56=1,IF(R$45=1,INDEX(Assumptions!$E$44:$E$46,MATCH($C56,Assumptions!$A$44:$A$46,0))*$C$34,0),IF(R$45=MAX($G56-1,1),INDEX(Assumptions!$E$44:$E$46,MATCH($C56,Assumptions!$A$44:$A$46,0)),0))*IF(AND($C56="Verified",$C$39=1),0,1)</f>
        <v>0</v>
      </c>
      <c r="S122" s="23" t="n">
        <f aca="false">IF($F56=1,IF(S$45=1,INDEX(Assumptions!$E$44:$E$46,MATCH($C56,Assumptions!$A$44:$A$46,0))*$C$34,0),IF(S$45=MAX($G56-1,1),INDEX(Assumptions!$E$44:$E$46,MATCH($C56,Assumptions!$A$44:$A$46,0)),0))*IF(AND($C56="Verified",$C$39=1),0,1)</f>
        <v>0</v>
      </c>
      <c r="T122" s="23" t="n">
        <f aca="false">IF($F56=1,IF(T$45=1,INDEX(Assumptions!$E$44:$E$46,MATCH($C56,Assumptions!$A$44:$A$46,0))*$C$34,0),IF(T$45=MAX($G56-1,1),INDEX(Assumptions!$E$44:$E$46,MATCH($C56,Assumptions!$A$44:$A$46,0)),0))*IF(AND($C56="Verified",$C$39=1),0,1)</f>
        <v>0</v>
      </c>
      <c r="U122" s="23" t="n">
        <f aca="false">IF($F56=1,IF(U$45=1,INDEX(Assumptions!$E$44:$E$46,MATCH($C56,Assumptions!$A$44:$A$46,0))*$C$34,0),IF(U$45=MAX($G56-1,1),INDEX(Assumptions!$E$44:$E$46,MATCH($C56,Assumptions!$A$44:$A$46,0)),0))*IF(AND($C56="Verified",$C$39=1),0,1)</f>
        <v>0</v>
      </c>
      <c r="V122" s="23" t="n">
        <f aca="false">IF($F56=1,IF(V$45=1,INDEX(Assumptions!$E$44:$E$46,MATCH($C56,Assumptions!$A$44:$A$46,0))*$C$34,0),IF(V$45=MAX($G56-1,1),INDEX(Assumptions!$E$44:$E$46,MATCH($C56,Assumptions!$A$44:$A$46,0)),0))*IF(AND($C56="Verified",$C$39=1),0,1)</f>
        <v>0</v>
      </c>
      <c r="W122" s="23" t="n">
        <f aca="false">IF($F56=1,IF(W$45=1,INDEX(Assumptions!$E$44:$E$46,MATCH($C56,Assumptions!$A$44:$A$46,0))*$C$34,0),IF(W$45=MAX($G56-1,1),INDEX(Assumptions!$E$44:$E$46,MATCH($C56,Assumptions!$A$44:$A$46,0)),0))*IF(AND($C56="Verified",$C$39=1),0,1)</f>
        <v>0</v>
      </c>
      <c r="X122" s="23" t="n">
        <f aca="false">IF($F56=1,IF(X$45=1,INDEX(Assumptions!$E$44:$E$46,MATCH($C56,Assumptions!$A$44:$A$46,0))*$C$34,0),IF(X$45=MAX($G56-1,1),INDEX(Assumptions!$E$44:$E$46,MATCH($C56,Assumptions!$A$44:$A$46,0)),0))*IF(AND($C56="Verified",$C$39=1),0,1)</f>
        <v>0</v>
      </c>
      <c r="Y122" s="23" t="n">
        <f aca="false">IF($F56=1,IF(Y$45=1,INDEX(Assumptions!$E$44:$E$46,MATCH($C56,Assumptions!$A$44:$A$46,0))*$C$34,0),IF(Y$45=MAX($G56-1,1),INDEX(Assumptions!$E$44:$E$46,MATCH($C56,Assumptions!$A$44:$A$46,0)),0))*IF(AND($C56="Verified",$C$39=1),0,1)</f>
        <v>0</v>
      </c>
    </row>
    <row r="123" customFormat="false" ht="15" hidden="false" customHeight="false" outlineLevel="0" collapsed="false">
      <c r="A123" s="2" t="n">
        <f aca="false">A57</f>
        <v>10</v>
      </c>
      <c r="B123" s="2" t="str">
        <f aca="false">B57</f>
        <v>C</v>
      </c>
      <c r="C123" s="2" t="str">
        <f aca="false">C57</f>
        <v>Assured</v>
      </c>
      <c r="D123" s="2"/>
      <c r="E123" s="2"/>
      <c r="F123" s="2"/>
      <c r="G123" s="2"/>
      <c r="H123" s="23" t="n">
        <f aca="false">IF($F57=1,IF(H$45=1,INDEX(Assumptions!$E$44:$E$46,MATCH($C57,Assumptions!$A$44:$A$46,0))*$C$34,0),IF(H$45=MAX($G57-1,1),INDEX(Assumptions!$E$44:$E$46,MATCH($C57,Assumptions!$A$44:$A$46,0)),0))*IF(AND($C57="Verified",$C$39=1),0,1)</f>
        <v>0</v>
      </c>
      <c r="I123" s="23" t="n">
        <f aca="false">IF($F57=1,IF(I$45=1,INDEX(Assumptions!$E$44:$E$46,MATCH($C57,Assumptions!$A$44:$A$46,0))*$C$34,0),IF(I$45=MAX($G57-1,1),INDEX(Assumptions!$E$44:$E$46,MATCH($C57,Assumptions!$A$44:$A$46,0)),0))*IF(AND($C57="Verified",$C$39=1),0,1)</f>
        <v>0</v>
      </c>
      <c r="J123" s="23" t="n">
        <f aca="false">IF($F57=1,IF(J$45=1,INDEX(Assumptions!$E$44:$E$46,MATCH($C57,Assumptions!$A$44:$A$46,0))*$C$34,0),IF(J$45=MAX($G57-1,1),INDEX(Assumptions!$E$44:$E$46,MATCH($C57,Assumptions!$A$44:$A$46,0)),0))*IF(AND($C57="Verified",$C$39=1),0,1)</f>
        <v>0</v>
      </c>
      <c r="K123" s="23" t="n">
        <f aca="false">IF($F57=1,IF(K$45=1,INDEX(Assumptions!$E$44:$E$46,MATCH($C57,Assumptions!$A$44:$A$46,0))*$C$34,0),IF(K$45=MAX($G57-1,1),INDEX(Assumptions!$E$44:$E$46,MATCH($C57,Assumptions!$A$44:$A$46,0)),0))*IF(AND($C57="Verified",$C$39=1),0,1)</f>
        <v>0</v>
      </c>
      <c r="L123" s="23" t="n">
        <f aca="false">IF($F57=1,IF(L$45=1,INDEX(Assumptions!$E$44:$E$46,MATCH($C57,Assumptions!$A$44:$A$46,0))*$C$34,0),IF(L$45=MAX($G57-1,1),INDEX(Assumptions!$E$44:$E$46,MATCH($C57,Assumptions!$A$44:$A$46,0)),0))*IF(AND($C57="Verified",$C$39=1),0,1)</f>
        <v>0</v>
      </c>
      <c r="M123" s="23" t="n">
        <f aca="false">IF($F57=1,IF(M$45=1,INDEX(Assumptions!$E$44:$E$46,MATCH($C57,Assumptions!$A$44:$A$46,0))*$C$34,0),IF(M$45=MAX($G57-1,1),INDEX(Assumptions!$E$44:$E$46,MATCH($C57,Assumptions!$A$44:$A$46,0)),0))*IF(AND($C57="Verified",$C$39=1),0,1)</f>
        <v>0</v>
      </c>
      <c r="N123" s="23" t="n">
        <f aca="false">IF($F57=1,IF(N$45=1,INDEX(Assumptions!$E$44:$E$46,MATCH($C57,Assumptions!$A$44:$A$46,0))*$C$34,0),IF(N$45=MAX($G57-1,1),INDEX(Assumptions!$E$44:$E$46,MATCH($C57,Assumptions!$A$44:$A$46,0)),0))*IF(AND($C57="Verified",$C$39=1),0,1)</f>
        <v>120000</v>
      </c>
      <c r="O123" s="23" t="n">
        <f aca="false">IF($F57=1,IF(O$45=1,INDEX(Assumptions!$E$44:$E$46,MATCH($C57,Assumptions!$A$44:$A$46,0))*$C$34,0),IF(O$45=MAX($G57-1,1),INDEX(Assumptions!$E$44:$E$46,MATCH($C57,Assumptions!$A$44:$A$46,0)),0))*IF(AND($C57="Verified",$C$39=1),0,1)</f>
        <v>0</v>
      </c>
      <c r="P123" s="23" t="n">
        <f aca="false">IF($F57=1,IF(P$45=1,INDEX(Assumptions!$E$44:$E$46,MATCH($C57,Assumptions!$A$44:$A$46,0))*$C$34,0),IF(P$45=MAX($G57-1,1),INDEX(Assumptions!$E$44:$E$46,MATCH($C57,Assumptions!$A$44:$A$46,0)),0))*IF(AND($C57="Verified",$C$39=1),0,1)</f>
        <v>0</v>
      </c>
      <c r="Q123" s="23" t="n">
        <f aca="false">IF($F57=1,IF(Q$45=1,INDEX(Assumptions!$E$44:$E$46,MATCH($C57,Assumptions!$A$44:$A$46,0))*$C$34,0),IF(Q$45=MAX($G57-1,1),INDEX(Assumptions!$E$44:$E$46,MATCH($C57,Assumptions!$A$44:$A$46,0)),0))*IF(AND($C57="Verified",$C$39=1),0,1)</f>
        <v>0</v>
      </c>
      <c r="R123" s="23" t="n">
        <f aca="false">IF($F57=1,IF(R$45=1,INDEX(Assumptions!$E$44:$E$46,MATCH($C57,Assumptions!$A$44:$A$46,0))*$C$34,0),IF(R$45=MAX($G57-1,1),INDEX(Assumptions!$E$44:$E$46,MATCH($C57,Assumptions!$A$44:$A$46,0)),0))*IF(AND($C57="Verified",$C$39=1),0,1)</f>
        <v>0</v>
      </c>
      <c r="S123" s="23" t="n">
        <f aca="false">IF($F57=1,IF(S$45=1,INDEX(Assumptions!$E$44:$E$46,MATCH($C57,Assumptions!$A$44:$A$46,0))*$C$34,0),IF(S$45=MAX($G57-1,1),INDEX(Assumptions!$E$44:$E$46,MATCH($C57,Assumptions!$A$44:$A$46,0)),0))*IF(AND($C57="Verified",$C$39=1),0,1)</f>
        <v>0</v>
      </c>
      <c r="T123" s="23" t="n">
        <f aca="false">IF($F57=1,IF(T$45=1,INDEX(Assumptions!$E$44:$E$46,MATCH($C57,Assumptions!$A$44:$A$46,0))*$C$34,0),IF(T$45=MAX($G57-1,1),INDEX(Assumptions!$E$44:$E$46,MATCH($C57,Assumptions!$A$44:$A$46,0)),0))*IF(AND($C57="Verified",$C$39=1),0,1)</f>
        <v>0</v>
      </c>
      <c r="U123" s="23" t="n">
        <f aca="false">IF($F57=1,IF(U$45=1,INDEX(Assumptions!$E$44:$E$46,MATCH($C57,Assumptions!$A$44:$A$46,0))*$C$34,0),IF(U$45=MAX($G57-1,1),INDEX(Assumptions!$E$44:$E$46,MATCH($C57,Assumptions!$A$44:$A$46,0)),0))*IF(AND($C57="Verified",$C$39=1),0,1)</f>
        <v>0</v>
      </c>
      <c r="V123" s="23" t="n">
        <f aca="false">IF($F57=1,IF(V$45=1,INDEX(Assumptions!$E$44:$E$46,MATCH($C57,Assumptions!$A$44:$A$46,0))*$C$34,0),IF(V$45=MAX($G57-1,1),INDEX(Assumptions!$E$44:$E$46,MATCH($C57,Assumptions!$A$44:$A$46,0)),0))*IF(AND($C57="Verified",$C$39=1),0,1)</f>
        <v>0</v>
      </c>
      <c r="W123" s="23" t="n">
        <f aca="false">IF($F57=1,IF(W$45=1,INDEX(Assumptions!$E$44:$E$46,MATCH($C57,Assumptions!$A$44:$A$46,0))*$C$34,0),IF(W$45=MAX($G57-1,1),INDEX(Assumptions!$E$44:$E$46,MATCH($C57,Assumptions!$A$44:$A$46,0)),0))*IF(AND($C57="Verified",$C$39=1),0,1)</f>
        <v>0</v>
      </c>
      <c r="X123" s="23" t="n">
        <f aca="false">IF($F57=1,IF(X$45=1,INDEX(Assumptions!$E$44:$E$46,MATCH($C57,Assumptions!$A$44:$A$46,0))*$C$34,0),IF(X$45=MAX($G57-1,1),INDEX(Assumptions!$E$44:$E$46,MATCH($C57,Assumptions!$A$44:$A$46,0)),0))*IF(AND($C57="Verified",$C$39=1),0,1)</f>
        <v>0</v>
      </c>
      <c r="Y123" s="23" t="n">
        <f aca="false">IF($F57=1,IF(Y$45=1,INDEX(Assumptions!$E$44:$E$46,MATCH($C57,Assumptions!$A$44:$A$46,0))*$C$34,0),IF(Y$45=MAX($G57-1,1),INDEX(Assumptions!$E$44:$E$46,MATCH($C57,Assumptions!$A$44:$A$46,0)),0))*IF(AND($C57="Verified",$C$39=1),0,1)</f>
        <v>0</v>
      </c>
    </row>
    <row r="124" customFormat="false" ht="15" hidden="false" customHeight="false" outlineLevel="0" collapsed="false">
      <c r="A124" s="2" t="n">
        <f aca="false">A58</f>
        <v>11</v>
      </c>
      <c r="B124" s="2" t="str">
        <f aca="false">B58</f>
        <v>C</v>
      </c>
      <c r="C124" s="2" t="str">
        <f aca="false">C58</f>
        <v>Assured</v>
      </c>
      <c r="D124" s="2"/>
      <c r="E124" s="2"/>
      <c r="F124" s="2"/>
      <c r="G124" s="2"/>
      <c r="H124" s="23" t="n">
        <f aca="false">IF($F58=1,IF(H$45=1,INDEX(Assumptions!$E$44:$E$46,MATCH($C58,Assumptions!$A$44:$A$46,0))*$C$34,0),IF(H$45=MAX($G58-1,1),INDEX(Assumptions!$E$44:$E$46,MATCH($C58,Assumptions!$A$44:$A$46,0)),0))*IF(AND($C58="Verified",$C$39=1),0,1)</f>
        <v>0</v>
      </c>
      <c r="I124" s="23" t="n">
        <f aca="false">IF($F58=1,IF(I$45=1,INDEX(Assumptions!$E$44:$E$46,MATCH($C58,Assumptions!$A$44:$A$46,0))*$C$34,0),IF(I$45=MAX($G58-1,1),INDEX(Assumptions!$E$44:$E$46,MATCH($C58,Assumptions!$A$44:$A$46,0)),0))*IF(AND($C58="Verified",$C$39=1),0,1)</f>
        <v>0</v>
      </c>
      <c r="J124" s="23" t="n">
        <f aca="false">IF($F58=1,IF(J$45=1,INDEX(Assumptions!$E$44:$E$46,MATCH($C58,Assumptions!$A$44:$A$46,0))*$C$34,0),IF(J$45=MAX($G58-1,1),INDEX(Assumptions!$E$44:$E$46,MATCH($C58,Assumptions!$A$44:$A$46,0)),0))*IF(AND($C58="Verified",$C$39=1),0,1)</f>
        <v>0</v>
      </c>
      <c r="K124" s="23" t="n">
        <f aca="false">IF($F58=1,IF(K$45=1,INDEX(Assumptions!$E$44:$E$46,MATCH($C58,Assumptions!$A$44:$A$46,0))*$C$34,0),IF(K$45=MAX($G58-1,1),INDEX(Assumptions!$E$44:$E$46,MATCH($C58,Assumptions!$A$44:$A$46,0)),0))*IF(AND($C58="Verified",$C$39=1),0,1)</f>
        <v>0</v>
      </c>
      <c r="L124" s="23" t="n">
        <f aca="false">IF($F58=1,IF(L$45=1,INDEX(Assumptions!$E$44:$E$46,MATCH($C58,Assumptions!$A$44:$A$46,0))*$C$34,0),IF(L$45=MAX($G58-1,1),INDEX(Assumptions!$E$44:$E$46,MATCH($C58,Assumptions!$A$44:$A$46,0)),0))*IF(AND($C58="Verified",$C$39=1),0,1)</f>
        <v>0</v>
      </c>
      <c r="M124" s="23" t="n">
        <f aca="false">IF($F58=1,IF(M$45=1,INDEX(Assumptions!$E$44:$E$46,MATCH($C58,Assumptions!$A$44:$A$46,0))*$C$34,0),IF(M$45=MAX($G58-1,1),INDEX(Assumptions!$E$44:$E$46,MATCH($C58,Assumptions!$A$44:$A$46,0)),0))*IF(AND($C58="Verified",$C$39=1),0,1)</f>
        <v>0</v>
      </c>
      <c r="N124" s="23" t="n">
        <f aca="false">IF($F58=1,IF(N$45=1,INDEX(Assumptions!$E$44:$E$46,MATCH($C58,Assumptions!$A$44:$A$46,0))*$C$34,0),IF(N$45=MAX($G58-1,1),INDEX(Assumptions!$E$44:$E$46,MATCH($C58,Assumptions!$A$44:$A$46,0)),0))*IF(AND($C58="Verified",$C$39=1),0,1)</f>
        <v>0</v>
      </c>
      <c r="O124" s="23" t="n">
        <f aca="false">IF($F58=1,IF(O$45=1,INDEX(Assumptions!$E$44:$E$46,MATCH($C58,Assumptions!$A$44:$A$46,0))*$C$34,0),IF(O$45=MAX($G58-1,1),INDEX(Assumptions!$E$44:$E$46,MATCH($C58,Assumptions!$A$44:$A$46,0)),0))*IF(AND($C58="Verified",$C$39=1),0,1)</f>
        <v>120000</v>
      </c>
      <c r="P124" s="23" t="n">
        <f aca="false">IF($F58=1,IF(P$45=1,INDEX(Assumptions!$E$44:$E$46,MATCH($C58,Assumptions!$A$44:$A$46,0))*$C$34,0),IF(P$45=MAX($G58-1,1),INDEX(Assumptions!$E$44:$E$46,MATCH($C58,Assumptions!$A$44:$A$46,0)),0))*IF(AND($C58="Verified",$C$39=1),0,1)</f>
        <v>0</v>
      </c>
      <c r="Q124" s="23" t="n">
        <f aca="false">IF($F58=1,IF(Q$45=1,INDEX(Assumptions!$E$44:$E$46,MATCH($C58,Assumptions!$A$44:$A$46,0))*$C$34,0),IF(Q$45=MAX($G58-1,1),INDEX(Assumptions!$E$44:$E$46,MATCH($C58,Assumptions!$A$44:$A$46,0)),0))*IF(AND($C58="Verified",$C$39=1),0,1)</f>
        <v>0</v>
      </c>
      <c r="R124" s="23" t="n">
        <f aca="false">IF($F58=1,IF(R$45=1,INDEX(Assumptions!$E$44:$E$46,MATCH($C58,Assumptions!$A$44:$A$46,0))*$C$34,0),IF(R$45=MAX($G58-1,1),INDEX(Assumptions!$E$44:$E$46,MATCH($C58,Assumptions!$A$44:$A$46,0)),0))*IF(AND($C58="Verified",$C$39=1),0,1)</f>
        <v>0</v>
      </c>
      <c r="S124" s="23" t="n">
        <f aca="false">IF($F58=1,IF(S$45=1,INDEX(Assumptions!$E$44:$E$46,MATCH($C58,Assumptions!$A$44:$A$46,0))*$C$34,0),IF(S$45=MAX($G58-1,1),INDEX(Assumptions!$E$44:$E$46,MATCH($C58,Assumptions!$A$44:$A$46,0)),0))*IF(AND($C58="Verified",$C$39=1),0,1)</f>
        <v>0</v>
      </c>
      <c r="T124" s="23" t="n">
        <f aca="false">IF($F58=1,IF(T$45=1,INDEX(Assumptions!$E$44:$E$46,MATCH($C58,Assumptions!$A$44:$A$46,0))*$C$34,0),IF(T$45=MAX($G58-1,1),INDEX(Assumptions!$E$44:$E$46,MATCH($C58,Assumptions!$A$44:$A$46,0)),0))*IF(AND($C58="Verified",$C$39=1),0,1)</f>
        <v>0</v>
      </c>
      <c r="U124" s="23" t="n">
        <f aca="false">IF($F58=1,IF(U$45=1,INDEX(Assumptions!$E$44:$E$46,MATCH($C58,Assumptions!$A$44:$A$46,0))*$C$34,0),IF(U$45=MAX($G58-1,1),INDEX(Assumptions!$E$44:$E$46,MATCH($C58,Assumptions!$A$44:$A$46,0)),0))*IF(AND($C58="Verified",$C$39=1),0,1)</f>
        <v>0</v>
      </c>
      <c r="V124" s="23" t="n">
        <f aca="false">IF($F58=1,IF(V$45=1,INDEX(Assumptions!$E$44:$E$46,MATCH($C58,Assumptions!$A$44:$A$46,0))*$C$34,0),IF(V$45=MAX($G58-1,1),INDEX(Assumptions!$E$44:$E$46,MATCH($C58,Assumptions!$A$44:$A$46,0)),0))*IF(AND($C58="Verified",$C$39=1),0,1)</f>
        <v>0</v>
      </c>
      <c r="W124" s="23" t="n">
        <f aca="false">IF($F58=1,IF(W$45=1,INDEX(Assumptions!$E$44:$E$46,MATCH($C58,Assumptions!$A$44:$A$46,0))*$C$34,0),IF(W$45=MAX($G58-1,1),INDEX(Assumptions!$E$44:$E$46,MATCH($C58,Assumptions!$A$44:$A$46,0)),0))*IF(AND($C58="Verified",$C$39=1),0,1)</f>
        <v>0</v>
      </c>
      <c r="X124" s="23" t="n">
        <f aca="false">IF($F58=1,IF(X$45=1,INDEX(Assumptions!$E$44:$E$46,MATCH($C58,Assumptions!$A$44:$A$46,0))*$C$34,0),IF(X$45=MAX($G58-1,1),INDEX(Assumptions!$E$44:$E$46,MATCH($C58,Assumptions!$A$44:$A$46,0)),0))*IF(AND($C58="Verified",$C$39=1),0,1)</f>
        <v>0</v>
      </c>
      <c r="Y124" s="23" t="n">
        <f aca="false">IF($F58=1,IF(Y$45=1,INDEX(Assumptions!$E$44:$E$46,MATCH($C58,Assumptions!$A$44:$A$46,0))*$C$34,0),IF(Y$45=MAX($G58-1,1),INDEX(Assumptions!$E$44:$E$46,MATCH($C58,Assumptions!$A$44:$A$46,0)),0))*IF(AND($C58="Verified",$C$39=1),0,1)</f>
        <v>0</v>
      </c>
    </row>
    <row r="125" customFormat="false" ht="15" hidden="false" customHeight="false" outlineLevel="0" collapsed="false">
      <c r="A125" s="2" t="n">
        <f aca="false">A59</f>
        <v>12</v>
      </c>
      <c r="B125" s="2" t="str">
        <f aca="false">B59</f>
        <v>C</v>
      </c>
      <c r="C125" s="2" t="str">
        <f aca="false">C59</f>
        <v>Assured</v>
      </c>
      <c r="D125" s="2"/>
      <c r="E125" s="2"/>
      <c r="F125" s="2"/>
      <c r="G125" s="2"/>
      <c r="H125" s="23" t="n">
        <f aca="false">IF($F59=1,IF(H$45=1,INDEX(Assumptions!$E$44:$E$46,MATCH($C59,Assumptions!$A$44:$A$46,0))*$C$34,0),IF(H$45=MAX($G59-1,1),INDEX(Assumptions!$E$44:$E$46,MATCH($C59,Assumptions!$A$44:$A$46,0)),0))*IF(AND($C59="Verified",$C$39=1),0,1)</f>
        <v>0</v>
      </c>
      <c r="I125" s="23" t="n">
        <f aca="false">IF($F59=1,IF(I$45=1,INDEX(Assumptions!$E$44:$E$46,MATCH($C59,Assumptions!$A$44:$A$46,0))*$C$34,0),IF(I$45=MAX($G59-1,1),INDEX(Assumptions!$E$44:$E$46,MATCH($C59,Assumptions!$A$44:$A$46,0)),0))*IF(AND($C59="Verified",$C$39=1),0,1)</f>
        <v>0</v>
      </c>
      <c r="J125" s="23" t="n">
        <f aca="false">IF($F59=1,IF(J$45=1,INDEX(Assumptions!$E$44:$E$46,MATCH($C59,Assumptions!$A$44:$A$46,0))*$C$34,0),IF(J$45=MAX($G59-1,1),INDEX(Assumptions!$E$44:$E$46,MATCH($C59,Assumptions!$A$44:$A$46,0)),0))*IF(AND($C59="Verified",$C$39=1),0,1)</f>
        <v>0</v>
      </c>
      <c r="K125" s="23" t="n">
        <f aca="false">IF($F59=1,IF(K$45=1,INDEX(Assumptions!$E$44:$E$46,MATCH($C59,Assumptions!$A$44:$A$46,0))*$C$34,0),IF(K$45=MAX($G59-1,1),INDEX(Assumptions!$E$44:$E$46,MATCH($C59,Assumptions!$A$44:$A$46,0)),0))*IF(AND($C59="Verified",$C$39=1),0,1)</f>
        <v>0</v>
      </c>
      <c r="L125" s="23" t="n">
        <f aca="false">IF($F59=1,IF(L$45=1,INDEX(Assumptions!$E$44:$E$46,MATCH($C59,Assumptions!$A$44:$A$46,0))*$C$34,0),IF(L$45=MAX($G59-1,1),INDEX(Assumptions!$E$44:$E$46,MATCH($C59,Assumptions!$A$44:$A$46,0)),0))*IF(AND($C59="Verified",$C$39=1),0,1)</f>
        <v>0</v>
      </c>
      <c r="M125" s="23" t="n">
        <f aca="false">IF($F59=1,IF(M$45=1,INDEX(Assumptions!$E$44:$E$46,MATCH($C59,Assumptions!$A$44:$A$46,0))*$C$34,0),IF(M$45=MAX($G59-1,1),INDEX(Assumptions!$E$44:$E$46,MATCH($C59,Assumptions!$A$44:$A$46,0)),0))*IF(AND($C59="Verified",$C$39=1),0,1)</f>
        <v>0</v>
      </c>
      <c r="N125" s="23" t="n">
        <f aca="false">IF($F59=1,IF(N$45=1,INDEX(Assumptions!$E$44:$E$46,MATCH($C59,Assumptions!$A$44:$A$46,0))*$C$34,0),IF(N$45=MAX($G59-1,1),INDEX(Assumptions!$E$44:$E$46,MATCH($C59,Assumptions!$A$44:$A$46,0)),0))*IF(AND($C59="Verified",$C$39=1),0,1)</f>
        <v>0</v>
      </c>
      <c r="O125" s="23" t="n">
        <f aca="false">IF($F59=1,IF(O$45=1,INDEX(Assumptions!$E$44:$E$46,MATCH($C59,Assumptions!$A$44:$A$46,0))*$C$34,0),IF(O$45=MAX($G59-1,1),INDEX(Assumptions!$E$44:$E$46,MATCH($C59,Assumptions!$A$44:$A$46,0)),0))*IF(AND($C59="Verified",$C$39=1),0,1)</f>
        <v>120000</v>
      </c>
      <c r="P125" s="23" t="n">
        <f aca="false">IF($F59=1,IF(P$45=1,INDEX(Assumptions!$E$44:$E$46,MATCH($C59,Assumptions!$A$44:$A$46,0))*$C$34,0),IF(P$45=MAX($G59-1,1),INDEX(Assumptions!$E$44:$E$46,MATCH($C59,Assumptions!$A$44:$A$46,0)),0))*IF(AND($C59="Verified",$C$39=1),0,1)</f>
        <v>0</v>
      </c>
      <c r="Q125" s="23" t="n">
        <f aca="false">IF($F59=1,IF(Q$45=1,INDEX(Assumptions!$E$44:$E$46,MATCH($C59,Assumptions!$A$44:$A$46,0))*$C$34,0),IF(Q$45=MAX($G59-1,1),INDEX(Assumptions!$E$44:$E$46,MATCH($C59,Assumptions!$A$44:$A$46,0)),0))*IF(AND($C59="Verified",$C$39=1),0,1)</f>
        <v>0</v>
      </c>
      <c r="R125" s="23" t="n">
        <f aca="false">IF($F59=1,IF(R$45=1,INDEX(Assumptions!$E$44:$E$46,MATCH($C59,Assumptions!$A$44:$A$46,0))*$C$34,0),IF(R$45=MAX($G59-1,1),INDEX(Assumptions!$E$44:$E$46,MATCH($C59,Assumptions!$A$44:$A$46,0)),0))*IF(AND($C59="Verified",$C$39=1),0,1)</f>
        <v>0</v>
      </c>
      <c r="S125" s="23" t="n">
        <f aca="false">IF($F59=1,IF(S$45=1,INDEX(Assumptions!$E$44:$E$46,MATCH($C59,Assumptions!$A$44:$A$46,0))*$C$34,0),IF(S$45=MAX($G59-1,1),INDEX(Assumptions!$E$44:$E$46,MATCH($C59,Assumptions!$A$44:$A$46,0)),0))*IF(AND($C59="Verified",$C$39=1),0,1)</f>
        <v>0</v>
      </c>
      <c r="T125" s="23" t="n">
        <f aca="false">IF($F59=1,IF(T$45=1,INDEX(Assumptions!$E$44:$E$46,MATCH($C59,Assumptions!$A$44:$A$46,0))*$C$34,0),IF(T$45=MAX($G59-1,1),INDEX(Assumptions!$E$44:$E$46,MATCH($C59,Assumptions!$A$44:$A$46,0)),0))*IF(AND($C59="Verified",$C$39=1),0,1)</f>
        <v>0</v>
      </c>
      <c r="U125" s="23" t="n">
        <f aca="false">IF($F59=1,IF(U$45=1,INDEX(Assumptions!$E$44:$E$46,MATCH($C59,Assumptions!$A$44:$A$46,0))*$C$34,0),IF(U$45=MAX($G59-1,1),INDEX(Assumptions!$E$44:$E$46,MATCH($C59,Assumptions!$A$44:$A$46,0)),0))*IF(AND($C59="Verified",$C$39=1),0,1)</f>
        <v>0</v>
      </c>
      <c r="V125" s="23" t="n">
        <f aca="false">IF($F59=1,IF(V$45=1,INDEX(Assumptions!$E$44:$E$46,MATCH($C59,Assumptions!$A$44:$A$46,0))*$C$34,0),IF(V$45=MAX($G59-1,1),INDEX(Assumptions!$E$44:$E$46,MATCH($C59,Assumptions!$A$44:$A$46,0)),0))*IF(AND($C59="Verified",$C$39=1),0,1)</f>
        <v>0</v>
      </c>
      <c r="W125" s="23" t="n">
        <f aca="false">IF($F59=1,IF(W$45=1,INDEX(Assumptions!$E$44:$E$46,MATCH($C59,Assumptions!$A$44:$A$46,0))*$C$34,0),IF(W$45=MAX($G59-1,1),INDEX(Assumptions!$E$44:$E$46,MATCH($C59,Assumptions!$A$44:$A$46,0)),0))*IF(AND($C59="Verified",$C$39=1),0,1)</f>
        <v>0</v>
      </c>
      <c r="X125" s="23" t="n">
        <f aca="false">IF($F59=1,IF(X$45=1,INDEX(Assumptions!$E$44:$E$46,MATCH($C59,Assumptions!$A$44:$A$46,0))*$C$34,0),IF(X$45=MAX($G59-1,1),INDEX(Assumptions!$E$44:$E$46,MATCH($C59,Assumptions!$A$44:$A$46,0)),0))*IF(AND($C59="Verified",$C$39=1),0,1)</f>
        <v>0</v>
      </c>
      <c r="Y125" s="23" t="n">
        <f aca="false">IF($F59=1,IF(Y$45=1,INDEX(Assumptions!$E$44:$E$46,MATCH($C59,Assumptions!$A$44:$A$46,0))*$C$34,0),IF(Y$45=MAX($G59-1,1),INDEX(Assumptions!$E$44:$E$46,MATCH($C59,Assumptions!$A$44:$A$46,0)),0))*IF(AND($C59="Verified",$C$39=1),0,1)</f>
        <v>0</v>
      </c>
    </row>
    <row r="126" customFormat="false" ht="15" hidden="false" customHeight="false" outlineLevel="0" collapsed="false">
      <c r="A126" s="2" t="n">
        <f aca="false">A60</f>
        <v>13</v>
      </c>
      <c r="B126" s="2" t="str">
        <f aca="false">B60</f>
        <v>C</v>
      </c>
      <c r="C126" s="2" t="str">
        <f aca="false">C60</f>
        <v>Assured</v>
      </c>
      <c r="D126" s="2"/>
      <c r="E126" s="2"/>
      <c r="F126" s="2"/>
      <c r="G126" s="2"/>
      <c r="H126" s="23" t="n">
        <f aca="false">IF($F60=1,IF(H$45=1,INDEX(Assumptions!$E$44:$E$46,MATCH($C60,Assumptions!$A$44:$A$46,0))*$C$34,0),IF(H$45=MAX($G60-1,1),INDEX(Assumptions!$E$44:$E$46,MATCH($C60,Assumptions!$A$44:$A$46,0)),0))*IF(AND($C60="Verified",$C$39=1),0,1)</f>
        <v>0</v>
      </c>
      <c r="I126" s="23" t="n">
        <f aca="false">IF($F60=1,IF(I$45=1,INDEX(Assumptions!$E$44:$E$46,MATCH($C60,Assumptions!$A$44:$A$46,0))*$C$34,0),IF(I$45=MAX($G60-1,1),INDEX(Assumptions!$E$44:$E$46,MATCH($C60,Assumptions!$A$44:$A$46,0)),0))*IF(AND($C60="Verified",$C$39=1),0,1)</f>
        <v>0</v>
      </c>
      <c r="J126" s="23" t="n">
        <f aca="false">IF($F60=1,IF(J$45=1,INDEX(Assumptions!$E$44:$E$46,MATCH($C60,Assumptions!$A$44:$A$46,0))*$C$34,0),IF(J$45=MAX($G60-1,1),INDEX(Assumptions!$E$44:$E$46,MATCH($C60,Assumptions!$A$44:$A$46,0)),0))*IF(AND($C60="Verified",$C$39=1),0,1)</f>
        <v>0</v>
      </c>
      <c r="K126" s="23" t="n">
        <f aca="false">IF($F60=1,IF(K$45=1,INDEX(Assumptions!$E$44:$E$46,MATCH($C60,Assumptions!$A$44:$A$46,0))*$C$34,0),IF(K$45=MAX($G60-1,1),INDEX(Assumptions!$E$44:$E$46,MATCH($C60,Assumptions!$A$44:$A$46,0)),0))*IF(AND($C60="Verified",$C$39=1),0,1)</f>
        <v>0</v>
      </c>
      <c r="L126" s="23" t="n">
        <f aca="false">IF($F60=1,IF(L$45=1,INDEX(Assumptions!$E$44:$E$46,MATCH($C60,Assumptions!$A$44:$A$46,0))*$C$34,0),IF(L$45=MAX($G60-1,1),INDEX(Assumptions!$E$44:$E$46,MATCH($C60,Assumptions!$A$44:$A$46,0)),0))*IF(AND($C60="Verified",$C$39=1),0,1)</f>
        <v>0</v>
      </c>
      <c r="M126" s="23" t="n">
        <f aca="false">IF($F60=1,IF(M$45=1,INDEX(Assumptions!$E$44:$E$46,MATCH($C60,Assumptions!$A$44:$A$46,0))*$C$34,0),IF(M$45=MAX($G60-1,1),INDEX(Assumptions!$E$44:$E$46,MATCH($C60,Assumptions!$A$44:$A$46,0)),0))*IF(AND($C60="Verified",$C$39=1),0,1)</f>
        <v>0</v>
      </c>
      <c r="N126" s="23" t="n">
        <f aca="false">IF($F60=1,IF(N$45=1,INDEX(Assumptions!$E$44:$E$46,MATCH($C60,Assumptions!$A$44:$A$46,0))*$C$34,0),IF(N$45=MAX($G60-1,1),INDEX(Assumptions!$E$44:$E$46,MATCH($C60,Assumptions!$A$44:$A$46,0)),0))*IF(AND($C60="Verified",$C$39=1),0,1)</f>
        <v>0</v>
      </c>
      <c r="O126" s="23" t="n">
        <f aca="false">IF($F60=1,IF(O$45=1,INDEX(Assumptions!$E$44:$E$46,MATCH($C60,Assumptions!$A$44:$A$46,0))*$C$34,0),IF(O$45=MAX($G60-1,1),INDEX(Assumptions!$E$44:$E$46,MATCH($C60,Assumptions!$A$44:$A$46,0)),0))*IF(AND($C60="Verified",$C$39=1),0,1)</f>
        <v>0</v>
      </c>
      <c r="P126" s="23" t="n">
        <f aca="false">IF($F60=1,IF(P$45=1,INDEX(Assumptions!$E$44:$E$46,MATCH($C60,Assumptions!$A$44:$A$46,0))*$C$34,0),IF(P$45=MAX($G60-1,1),INDEX(Assumptions!$E$44:$E$46,MATCH($C60,Assumptions!$A$44:$A$46,0)),0))*IF(AND($C60="Verified",$C$39=1),0,1)</f>
        <v>120000</v>
      </c>
      <c r="Q126" s="23" t="n">
        <f aca="false">IF($F60=1,IF(Q$45=1,INDEX(Assumptions!$E$44:$E$46,MATCH($C60,Assumptions!$A$44:$A$46,0))*$C$34,0),IF(Q$45=MAX($G60-1,1),INDEX(Assumptions!$E$44:$E$46,MATCH($C60,Assumptions!$A$44:$A$46,0)),0))*IF(AND($C60="Verified",$C$39=1),0,1)</f>
        <v>0</v>
      </c>
      <c r="R126" s="23" t="n">
        <f aca="false">IF($F60=1,IF(R$45=1,INDEX(Assumptions!$E$44:$E$46,MATCH($C60,Assumptions!$A$44:$A$46,0))*$C$34,0),IF(R$45=MAX($G60-1,1),INDEX(Assumptions!$E$44:$E$46,MATCH($C60,Assumptions!$A$44:$A$46,0)),0))*IF(AND($C60="Verified",$C$39=1),0,1)</f>
        <v>0</v>
      </c>
      <c r="S126" s="23" t="n">
        <f aca="false">IF($F60=1,IF(S$45=1,INDEX(Assumptions!$E$44:$E$46,MATCH($C60,Assumptions!$A$44:$A$46,0))*$C$34,0),IF(S$45=MAX($G60-1,1),INDEX(Assumptions!$E$44:$E$46,MATCH($C60,Assumptions!$A$44:$A$46,0)),0))*IF(AND($C60="Verified",$C$39=1),0,1)</f>
        <v>0</v>
      </c>
      <c r="T126" s="23" t="n">
        <f aca="false">IF($F60=1,IF(T$45=1,INDEX(Assumptions!$E$44:$E$46,MATCH($C60,Assumptions!$A$44:$A$46,0))*$C$34,0),IF(T$45=MAX($G60-1,1),INDEX(Assumptions!$E$44:$E$46,MATCH($C60,Assumptions!$A$44:$A$46,0)),0))*IF(AND($C60="Verified",$C$39=1),0,1)</f>
        <v>0</v>
      </c>
      <c r="U126" s="23" t="n">
        <f aca="false">IF($F60=1,IF(U$45=1,INDEX(Assumptions!$E$44:$E$46,MATCH($C60,Assumptions!$A$44:$A$46,0))*$C$34,0),IF(U$45=MAX($G60-1,1),INDEX(Assumptions!$E$44:$E$46,MATCH($C60,Assumptions!$A$44:$A$46,0)),0))*IF(AND($C60="Verified",$C$39=1),0,1)</f>
        <v>0</v>
      </c>
      <c r="V126" s="23" t="n">
        <f aca="false">IF($F60=1,IF(V$45=1,INDEX(Assumptions!$E$44:$E$46,MATCH($C60,Assumptions!$A$44:$A$46,0))*$C$34,0),IF(V$45=MAX($G60-1,1),INDEX(Assumptions!$E$44:$E$46,MATCH($C60,Assumptions!$A$44:$A$46,0)),0))*IF(AND($C60="Verified",$C$39=1),0,1)</f>
        <v>0</v>
      </c>
      <c r="W126" s="23" t="n">
        <f aca="false">IF($F60=1,IF(W$45=1,INDEX(Assumptions!$E$44:$E$46,MATCH($C60,Assumptions!$A$44:$A$46,0))*$C$34,0),IF(W$45=MAX($G60-1,1),INDEX(Assumptions!$E$44:$E$46,MATCH($C60,Assumptions!$A$44:$A$46,0)),0))*IF(AND($C60="Verified",$C$39=1),0,1)</f>
        <v>0</v>
      </c>
      <c r="X126" s="23" t="n">
        <f aca="false">IF($F60=1,IF(X$45=1,INDEX(Assumptions!$E$44:$E$46,MATCH($C60,Assumptions!$A$44:$A$46,0))*$C$34,0),IF(X$45=MAX($G60-1,1),INDEX(Assumptions!$E$44:$E$46,MATCH($C60,Assumptions!$A$44:$A$46,0)),0))*IF(AND($C60="Verified",$C$39=1),0,1)</f>
        <v>0</v>
      </c>
      <c r="Y126" s="23" t="n">
        <f aca="false">IF($F60=1,IF(Y$45=1,INDEX(Assumptions!$E$44:$E$46,MATCH($C60,Assumptions!$A$44:$A$46,0))*$C$34,0),IF(Y$45=MAX($G60-1,1),INDEX(Assumptions!$E$44:$E$46,MATCH($C60,Assumptions!$A$44:$A$46,0)),0))*IF(AND($C60="Verified",$C$39=1),0,1)</f>
        <v>0</v>
      </c>
    </row>
    <row r="127" customFormat="false" ht="15" hidden="false" customHeight="false" outlineLevel="0" collapsed="false">
      <c r="A127" s="2" t="n">
        <f aca="false">A61</f>
        <v>14</v>
      </c>
      <c r="B127" s="2" t="str">
        <f aca="false">B61</f>
        <v>B</v>
      </c>
      <c r="C127" s="2" t="str">
        <f aca="false">C61</f>
        <v>Connect</v>
      </c>
      <c r="D127" s="2"/>
      <c r="E127" s="2"/>
      <c r="F127" s="2"/>
      <c r="G127" s="2"/>
      <c r="H127" s="23" t="n">
        <f aca="false">IF($F61=1,IF(H$45=1,INDEX(Assumptions!$E$44:$E$46,MATCH($C61,Assumptions!$A$44:$A$46,0))*$C$34,0),IF(H$45=MAX($G61-1,1),INDEX(Assumptions!$E$44:$E$46,MATCH($C61,Assumptions!$A$44:$A$46,0)),0))*IF(AND($C61="Verified",$C$39=1),0,1)</f>
        <v>0</v>
      </c>
      <c r="I127" s="23" t="n">
        <f aca="false">IF($F61=1,IF(I$45=1,INDEX(Assumptions!$E$44:$E$46,MATCH($C61,Assumptions!$A$44:$A$46,0))*$C$34,0),IF(I$45=MAX($G61-1,1),INDEX(Assumptions!$E$44:$E$46,MATCH($C61,Assumptions!$A$44:$A$46,0)),0))*IF(AND($C61="Verified",$C$39=1),0,1)</f>
        <v>0</v>
      </c>
      <c r="J127" s="23" t="n">
        <f aca="false">IF($F61=1,IF(J$45=1,INDEX(Assumptions!$E$44:$E$46,MATCH($C61,Assumptions!$A$44:$A$46,0))*$C$34,0),IF(J$45=MAX($G61-1,1),INDEX(Assumptions!$E$44:$E$46,MATCH($C61,Assumptions!$A$44:$A$46,0)),0))*IF(AND($C61="Verified",$C$39=1),0,1)</f>
        <v>0</v>
      </c>
      <c r="K127" s="23" t="n">
        <f aca="false">IF($F61=1,IF(K$45=1,INDEX(Assumptions!$E$44:$E$46,MATCH($C61,Assumptions!$A$44:$A$46,0))*$C$34,0),IF(K$45=MAX($G61-1,1),INDEX(Assumptions!$E$44:$E$46,MATCH($C61,Assumptions!$A$44:$A$46,0)),0))*IF(AND($C61="Verified",$C$39=1),0,1)</f>
        <v>0</v>
      </c>
      <c r="L127" s="23" t="n">
        <f aca="false">IF($F61=1,IF(L$45=1,INDEX(Assumptions!$E$44:$E$46,MATCH($C61,Assumptions!$A$44:$A$46,0))*$C$34,0),IF(L$45=MAX($G61-1,1),INDEX(Assumptions!$E$44:$E$46,MATCH($C61,Assumptions!$A$44:$A$46,0)),0))*IF(AND($C61="Verified",$C$39=1),0,1)</f>
        <v>0</v>
      </c>
      <c r="M127" s="23" t="n">
        <f aca="false">IF($F61=1,IF(M$45=1,INDEX(Assumptions!$E$44:$E$46,MATCH($C61,Assumptions!$A$44:$A$46,0))*$C$34,0),IF(M$45=MAX($G61-1,1),INDEX(Assumptions!$E$44:$E$46,MATCH($C61,Assumptions!$A$44:$A$46,0)),0))*IF(AND($C61="Verified",$C$39=1),0,1)</f>
        <v>0</v>
      </c>
      <c r="N127" s="23" t="n">
        <f aca="false">IF($F61=1,IF(N$45=1,INDEX(Assumptions!$E$44:$E$46,MATCH($C61,Assumptions!$A$44:$A$46,0))*$C$34,0),IF(N$45=MAX($G61-1,1),INDEX(Assumptions!$E$44:$E$46,MATCH($C61,Assumptions!$A$44:$A$46,0)),0))*IF(AND($C61="Verified",$C$39=1),0,1)</f>
        <v>0</v>
      </c>
      <c r="O127" s="23" t="n">
        <f aca="false">IF($F61=1,IF(O$45=1,INDEX(Assumptions!$E$44:$E$46,MATCH($C61,Assumptions!$A$44:$A$46,0))*$C$34,0),IF(O$45=MAX($G61-1,1),INDEX(Assumptions!$E$44:$E$46,MATCH($C61,Assumptions!$A$44:$A$46,0)),0))*IF(AND($C61="Verified",$C$39=1),0,1)</f>
        <v>0</v>
      </c>
      <c r="P127" s="23" t="n">
        <f aca="false">IF($F61=1,IF(P$45=1,INDEX(Assumptions!$E$44:$E$46,MATCH($C61,Assumptions!$A$44:$A$46,0))*$C$34,0),IF(P$45=MAX($G61-1,1),INDEX(Assumptions!$E$44:$E$46,MATCH($C61,Assumptions!$A$44:$A$46,0)),0))*IF(AND($C61="Verified",$C$39=1),0,1)</f>
        <v>0</v>
      </c>
      <c r="Q127" s="23" t="n">
        <f aca="false">IF($F61=1,IF(Q$45=1,INDEX(Assumptions!$E$44:$E$46,MATCH($C61,Assumptions!$A$44:$A$46,0))*$C$34,0),IF(Q$45=MAX($G61-1,1),INDEX(Assumptions!$E$44:$E$46,MATCH($C61,Assumptions!$A$44:$A$46,0)),0))*IF(AND($C61="Verified",$C$39=1),0,1)</f>
        <v>70000</v>
      </c>
      <c r="R127" s="23" t="n">
        <f aca="false">IF($F61=1,IF(R$45=1,INDEX(Assumptions!$E$44:$E$46,MATCH($C61,Assumptions!$A$44:$A$46,0))*$C$34,0),IF(R$45=MAX($G61-1,1),INDEX(Assumptions!$E$44:$E$46,MATCH($C61,Assumptions!$A$44:$A$46,0)),0))*IF(AND($C61="Verified",$C$39=1),0,1)</f>
        <v>0</v>
      </c>
      <c r="S127" s="23" t="n">
        <f aca="false">IF($F61=1,IF(S$45=1,INDEX(Assumptions!$E$44:$E$46,MATCH($C61,Assumptions!$A$44:$A$46,0))*$C$34,0),IF(S$45=MAX($G61-1,1),INDEX(Assumptions!$E$44:$E$46,MATCH($C61,Assumptions!$A$44:$A$46,0)),0))*IF(AND($C61="Verified",$C$39=1),0,1)</f>
        <v>0</v>
      </c>
      <c r="T127" s="23" t="n">
        <f aca="false">IF($F61=1,IF(T$45=1,INDEX(Assumptions!$E$44:$E$46,MATCH($C61,Assumptions!$A$44:$A$46,0))*$C$34,0),IF(T$45=MAX($G61-1,1),INDEX(Assumptions!$E$44:$E$46,MATCH($C61,Assumptions!$A$44:$A$46,0)),0))*IF(AND($C61="Verified",$C$39=1),0,1)</f>
        <v>0</v>
      </c>
      <c r="U127" s="23" t="n">
        <f aca="false">IF($F61=1,IF(U$45=1,INDEX(Assumptions!$E$44:$E$46,MATCH($C61,Assumptions!$A$44:$A$46,0))*$C$34,0),IF(U$45=MAX($G61-1,1),INDEX(Assumptions!$E$44:$E$46,MATCH($C61,Assumptions!$A$44:$A$46,0)),0))*IF(AND($C61="Verified",$C$39=1),0,1)</f>
        <v>0</v>
      </c>
      <c r="V127" s="23" t="n">
        <f aca="false">IF($F61=1,IF(V$45=1,INDEX(Assumptions!$E$44:$E$46,MATCH($C61,Assumptions!$A$44:$A$46,0))*$C$34,0),IF(V$45=MAX($G61-1,1),INDEX(Assumptions!$E$44:$E$46,MATCH($C61,Assumptions!$A$44:$A$46,0)),0))*IF(AND($C61="Verified",$C$39=1),0,1)</f>
        <v>0</v>
      </c>
      <c r="W127" s="23" t="n">
        <f aca="false">IF($F61=1,IF(W$45=1,INDEX(Assumptions!$E$44:$E$46,MATCH($C61,Assumptions!$A$44:$A$46,0))*$C$34,0),IF(W$45=MAX($G61-1,1),INDEX(Assumptions!$E$44:$E$46,MATCH($C61,Assumptions!$A$44:$A$46,0)),0))*IF(AND($C61="Verified",$C$39=1),0,1)</f>
        <v>0</v>
      </c>
      <c r="X127" s="23" t="n">
        <f aca="false">IF($F61=1,IF(X$45=1,INDEX(Assumptions!$E$44:$E$46,MATCH($C61,Assumptions!$A$44:$A$46,0))*$C$34,0),IF(X$45=MAX($G61-1,1),INDEX(Assumptions!$E$44:$E$46,MATCH($C61,Assumptions!$A$44:$A$46,0)),0))*IF(AND($C61="Verified",$C$39=1),0,1)</f>
        <v>0</v>
      </c>
      <c r="Y127" s="23" t="n">
        <f aca="false">IF($F61=1,IF(Y$45=1,INDEX(Assumptions!$E$44:$E$46,MATCH($C61,Assumptions!$A$44:$A$46,0))*$C$34,0),IF(Y$45=MAX($G61-1,1),INDEX(Assumptions!$E$44:$E$46,MATCH($C61,Assumptions!$A$44:$A$46,0)),0))*IF(AND($C61="Verified",$C$39=1),0,1)</f>
        <v>0</v>
      </c>
    </row>
    <row r="128" customFormat="false" ht="15" hidden="false" customHeight="false" outlineLevel="0" collapsed="false">
      <c r="A128" s="2" t="n">
        <f aca="false">A62</f>
        <v>15</v>
      </c>
      <c r="B128" s="2" t="str">
        <f aca="false">B62</f>
        <v>B</v>
      </c>
      <c r="C128" s="2" t="str">
        <f aca="false">C62</f>
        <v>Connect</v>
      </c>
      <c r="D128" s="2"/>
      <c r="E128" s="2"/>
      <c r="F128" s="2"/>
      <c r="G128" s="2"/>
      <c r="H128" s="23" t="n">
        <f aca="false">IF($F62=1,IF(H$45=1,INDEX(Assumptions!$E$44:$E$46,MATCH($C62,Assumptions!$A$44:$A$46,0))*$C$34,0),IF(H$45=MAX($G62-1,1),INDEX(Assumptions!$E$44:$E$46,MATCH($C62,Assumptions!$A$44:$A$46,0)),0))*IF(AND($C62="Verified",$C$39=1),0,1)</f>
        <v>0</v>
      </c>
      <c r="I128" s="23" t="n">
        <f aca="false">IF($F62=1,IF(I$45=1,INDEX(Assumptions!$E$44:$E$46,MATCH($C62,Assumptions!$A$44:$A$46,0))*$C$34,0),IF(I$45=MAX($G62-1,1),INDEX(Assumptions!$E$44:$E$46,MATCH($C62,Assumptions!$A$44:$A$46,0)),0))*IF(AND($C62="Verified",$C$39=1),0,1)</f>
        <v>0</v>
      </c>
      <c r="J128" s="23" t="n">
        <f aca="false">IF($F62=1,IF(J$45=1,INDEX(Assumptions!$E$44:$E$46,MATCH($C62,Assumptions!$A$44:$A$46,0))*$C$34,0),IF(J$45=MAX($G62-1,1),INDEX(Assumptions!$E$44:$E$46,MATCH($C62,Assumptions!$A$44:$A$46,0)),0))*IF(AND($C62="Verified",$C$39=1),0,1)</f>
        <v>0</v>
      </c>
      <c r="K128" s="23" t="n">
        <f aca="false">IF($F62=1,IF(K$45=1,INDEX(Assumptions!$E$44:$E$46,MATCH($C62,Assumptions!$A$44:$A$46,0))*$C$34,0),IF(K$45=MAX($G62-1,1),INDEX(Assumptions!$E$44:$E$46,MATCH($C62,Assumptions!$A$44:$A$46,0)),0))*IF(AND($C62="Verified",$C$39=1),0,1)</f>
        <v>0</v>
      </c>
      <c r="L128" s="23" t="n">
        <f aca="false">IF($F62=1,IF(L$45=1,INDEX(Assumptions!$E$44:$E$46,MATCH($C62,Assumptions!$A$44:$A$46,0))*$C$34,0),IF(L$45=MAX($G62-1,1),INDEX(Assumptions!$E$44:$E$46,MATCH($C62,Assumptions!$A$44:$A$46,0)),0))*IF(AND($C62="Verified",$C$39=1),0,1)</f>
        <v>0</v>
      </c>
      <c r="M128" s="23" t="n">
        <f aca="false">IF($F62=1,IF(M$45=1,INDEX(Assumptions!$E$44:$E$46,MATCH($C62,Assumptions!$A$44:$A$46,0))*$C$34,0),IF(M$45=MAX($G62-1,1),INDEX(Assumptions!$E$44:$E$46,MATCH($C62,Assumptions!$A$44:$A$46,0)),0))*IF(AND($C62="Verified",$C$39=1),0,1)</f>
        <v>0</v>
      </c>
      <c r="N128" s="23" t="n">
        <f aca="false">IF($F62=1,IF(N$45=1,INDEX(Assumptions!$E$44:$E$46,MATCH($C62,Assumptions!$A$44:$A$46,0))*$C$34,0),IF(N$45=MAX($G62-1,1),INDEX(Assumptions!$E$44:$E$46,MATCH($C62,Assumptions!$A$44:$A$46,0)),0))*IF(AND($C62="Verified",$C$39=1),0,1)</f>
        <v>0</v>
      </c>
      <c r="O128" s="23" t="n">
        <f aca="false">IF($F62=1,IF(O$45=1,INDEX(Assumptions!$E$44:$E$46,MATCH($C62,Assumptions!$A$44:$A$46,0))*$C$34,0),IF(O$45=MAX($G62-1,1),INDEX(Assumptions!$E$44:$E$46,MATCH($C62,Assumptions!$A$44:$A$46,0)),0))*IF(AND($C62="Verified",$C$39=1),0,1)</f>
        <v>0</v>
      </c>
      <c r="P128" s="23" t="n">
        <f aca="false">IF($F62=1,IF(P$45=1,INDEX(Assumptions!$E$44:$E$46,MATCH($C62,Assumptions!$A$44:$A$46,0))*$C$34,0),IF(P$45=MAX($G62-1,1),INDEX(Assumptions!$E$44:$E$46,MATCH($C62,Assumptions!$A$44:$A$46,0)),0))*IF(AND($C62="Verified",$C$39=1),0,1)</f>
        <v>0</v>
      </c>
      <c r="Q128" s="23" t="n">
        <f aca="false">IF($F62=1,IF(Q$45=1,INDEX(Assumptions!$E$44:$E$46,MATCH($C62,Assumptions!$A$44:$A$46,0))*$C$34,0),IF(Q$45=MAX($G62-1,1),INDEX(Assumptions!$E$44:$E$46,MATCH($C62,Assumptions!$A$44:$A$46,0)),0))*IF(AND($C62="Verified",$C$39=1),0,1)</f>
        <v>0</v>
      </c>
      <c r="R128" s="23" t="n">
        <f aca="false">IF($F62=1,IF(R$45=1,INDEX(Assumptions!$E$44:$E$46,MATCH($C62,Assumptions!$A$44:$A$46,0))*$C$34,0),IF(R$45=MAX($G62-1,1),INDEX(Assumptions!$E$44:$E$46,MATCH($C62,Assumptions!$A$44:$A$46,0)),0))*IF(AND($C62="Verified",$C$39=1),0,1)</f>
        <v>70000</v>
      </c>
      <c r="S128" s="23" t="n">
        <f aca="false">IF($F62=1,IF(S$45=1,INDEX(Assumptions!$E$44:$E$46,MATCH($C62,Assumptions!$A$44:$A$46,0))*$C$34,0),IF(S$45=MAX($G62-1,1),INDEX(Assumptions!$E$44:$E$46,MATCH($C62,Assumptions!$A$44:$A$46,0)),0))*IF(AND($C62="Verified",$C$39=1),0,1)</f>
        <v>0</v>
      </c>
      <c r="T128" s="23" t="n">
        <f aca="false">IF($F62=1,IF(T$45=1,INDEX(Assumptions!$E$44:$E$46,MATCH($C62,Assumptions!$A$44:$A$46,0))*$C$34,0),IF(T$45=MAX($G62-1,1),INDEX(Assumptions!$E$44:$E$46,MATCH($C62,Assumptions!$A$44:$A$46,0)),0))*IF(AND($C62="Verified",$C$39=1),0,1)</f>
        <v>0</v>
      </c>
      <c r="U128" s="23" t="n">
        <f aca="false">IF($F62=1,IF(U$45=1,INDEX(Assumptions!$E$44:$E$46,MATCH($C62,Assumptions!$A$44:$A$46,0))*$C$34,0),IF(U$45=MAX($G62-1,1),INDEX(Assumptions!$E$44:$E$46,MATCH($C62,Assumptions!$A$44:$A$46,0)),0))*IF(AND($C62="Verified",$C$39=1),0,1)</f>
        <v>0</v>
      </c>
      <c r="V128" s="23" t="n">
        <f aca="false">IF($F62=1,IF(V$45=1,INDEX(Assumptions!$E$44:$E$46,MATCH($C62,Assumptions!$A$44:$A$46,0))*$C$34,0),IF(V$45=MAX($G62-1,1),INDEX(Assumptions!$E$44:$E$46,MATCH($C62,Assumptions!$A$44:$A$46,0)),0))*IF(AND($C62="Verified",$C$39=1),0,1)</f>
        <v>0</v>
      </c>
      <c r="W128" s="23" t="n">
        <f aca="false">IF($F62=1,IF(W$45=1,INDEX(Assumptions!$E$44:$E$46,MATCH($C62,Assumptions!$A$44:$A$46,0))*$C$34,0),IF(W$45=MAX($G62-1,1),INDEX(Assumptions!$E$44:$E$46,MATCH($C62,Assumptions!$A$44:$A$46,0)),0))*IF(AND($C62="Verified",$C$39=1),0,1)</f>
        <v>0</v>
      </c>
      <c r="X128" s="23" t="n">
        <f aca="false">IF($F62=1,IF(X$45=1,INDEX(Assumptions!$E$44:$E$46,MATCH($C62,Assumptions!$A$44:$A$46,0))*$C$34,0),IF(X$45=MAX($G62-1,1),INDEX(Assumptions!$E$44:$E$46,MATCH($C62,Assumptions!$A$44:$A$46,0)),0))*IF(AND($C62="Verified",$C$39=1),0,1)</f>
        <v>0</v>
      </c>
      <c r="Y128" s="23" t="n">
        <f aca="false">IF($F62=1,IF(Y$45=1,INDEX(Assumptions!$E$44:$E$46,MATCH($C62,Assumptions!$A$44:$A$46,0))*$C$34,0),IF(Y$45=MAX($G62-1,1),INDEX(Assumptions!$E$44:$E$46,MATCH($C62,Assumptions!$A$44:$A$46,0)),0))*IF(AND($C62="Verified",$C$39=1),0,1)</f>
        <v>0</v>
      </c>
    </row>
    <row r="129" customFormat="false" ht="15" hidden="false" customHeight="false" outlineLevel="0" collapsed="false">
      <c r="A129" s="2" t="n">
        <f aca="false">A63</f>
        <v>16</v>
      </c>
      <c r="B129" s="2" t="str">
        <f aca="false">B63</f>
        <v>B</v>
      </c>
      <c r="C129" s="2" t="str">
        <f aca="false">C63</f>
        <v>Connect</v>
      </c>
      <c r="D129" s="2"/>
      <c r="E129" s="2"/>
      <c r="F129" s="2"/>
      <c r="G129" s="2"/>
      <c r="H129" s="23" t="n">
        <f aca="false">IF($F63=1,IF(H$45=1,INDEX(Assumptions!$E$44:$E$46,MATCH($C63,Assumptions!$A$44:$A$46,0))*$C$34,0),IF(H$45=MAX($G63-1,1),INDEX(Assumptions!$E$44:$E$46,MATCH($C63,Assumptions!$A$44:$A$46,0)),0))*IF(AND($C63="Verified",$C$39=1),0,1)</f>
        <v>0</v>
      </c>
      <c r="I129" s="23" t="n">
        <f aca="false">IF($F63=1,IF(I$45=1,INDEX(Assumptions!$E$44:$E$46,MATCH($C63,Assumptions!$A$44:$A$46,0))*$C$34,0),IF(I$45=MAX($G63-1,1),INDEX(Assumptions!$E$44:$E$46,MATCH($C63,Assumptions!$A$44:$A$46,0)),0))*IF(AND($C63="Verified",$C$39=1),0,1)</f>
        <v>0</v>
      </c>
      <c r="J129" s="23" t="n">
        <f aca="false">IF($F63=1,IF(J$45=1,INDEX(Assumptions!$E$44:$E$46,MATCH($C63,Assumptions!$A$44:$A$46,0))*$C$34,0),IF(J$45=MAX($G63-1,1),INDEX(Assumptions!$E$44:$E$46,MATCH($C63,Assumptions!$A$44:$A$46,0)),0))*IF(AND($C63="Verified",$C$39=1),0,1)</f>
        <v>0</v>
      </c>
      <c r="K129" s="23" t="n">
        <f aca="false">IF($F63=1,IF(K$45=1,INDEX(Assumptions!$E$44:$E$46,MATCH($C63,Assumptions!$A$44:$A$46,0))*$C$34,0),IF(K$45=MAX($G63-1,1),INDEX(Assumptions!$E$44:$E$46,MATCH($C63,Assumptions!$A$44:$A$46,0)),0))*IF(AND($C63="Verified",$C$39=1),0,1)</f>
        <v>0</v>
      </c>
      <c r="L129" s="23" t="n">
        <f aca="false">IF($F63=1,IF(L$45=1,INDEX(Assumptions!$E$44:$E$46,MATCH($C63,Assumptions!$A$44:$A$46,0))*$C$34,0),IF(L$45=MAX($G63-1,1),INDEX(Assumptions!$E$44:$E$46,MATCH($C63,Assumptions!$A$44:$A$46,0)),0))*IF(AND($C63="Verified",$C$39=1),0,1)</f>
        <v>0</v>
      </c>
      <c r="M129" s="23" t="n">
        <f aca="false">IF($F63=1,IF(M$45=1,INDEX(Assumptions!$E$44:$E$46,MATCH($C63,Assumptions!$A$44:$A$46,0))*$C$34,0),IF(M$45=MAX($G63-1,1),INDEX(Assumptions!$E$44:$E$46,MATCH($C63,Assumptions!$A$44:$A$46,0)),0))*IF(AND($C63="Verified",$C$39=1),0,1)</f>
        <v>0</v>
      </c>
      <c r="N129" s="23" t="n">
        <f aca="false">IF($F63=1,IF(N$45=1,INDEX(Assumptions!$E$44:$E$46,MATCH($C63,Assumptions!$A$44:$A$46,0))*$C$34,0),IF(N$45=MAX($G63-1,1),INDEX(Assumptions!$E$44:$E$46,MATCH($C63,Assumptions!$A$44:$A$46,0)),0))*IF(AND($C63="Verified",$C$39=1),0,1)</f>
        <v>0</v>
      </c>
      <c r="O129" s="23" t="n">
        <f aca="false">IF($F63=1,IF(O$45=1,INDEX(Assumptions!$E$44:$E$46,MATCH($C63,Assumptions!$A$44:$A$46,0))*$C$34,0),IF(O$45=MAX($G63-1,1),INDEX(Assumptions!$E$44:$E$46,MATCH($C63,Assumptions!$A$44:$A$46,0)),0))*IF(AND($C63="Verified",$C$39=1),0,1)</f>
        <v>0</v>
      </c>
      <c r="P129" s="23" t="n">
        <f aca="false">IF($F63=1,IF(P$45=1,INDEX(Assumptions!$E$44:$E$46,MATCH($C63,Assumptions!$A$44:$A$46,0))*$C$34,0),IF(P$45=MAX($G63-1,1),INDEX(Assumptions!$E$44:$E$46,MATCH($C63,Assumptions!$A$44:$A$46,0)),0))*IF(AND($C63="Verified",$C$39=1),0,1)</f>
        <v>0</v>
      </c>
      <c r="Q129" s="23" t="n">
        <f aca="false">IF($F63=1,IF(Q$45=1,INDEX(Assumptions!$E$44:$E$46,MATCH($C63,Assumptions!$A$44:$A$46,0))*$C$34,0),IF(Q$45=MAX($G63-1,1),INDEX(Assumptions!$E$44:$E$46,MATCH($C63,Assumptions!$A$44:$A$46,0)),0))*IF(AND($C63="Verified",$C$39=1),0,1)</f>
        <v>0</v>
      </c>
      <c r="R129" s="23" t="n">
        <f aca="false">IF($F63=1,IF(R$45=1,INDEX(Assumptions!$E$44:$E$46,MATCH($C63,Assumptions!$A$44:$A$46,0))*$C$34,0),IF(R$45=MAX($G63-1,1),INDEX(Assumptions!$E$44:$E$46,MATCH($C63,Assumptions!$A$44:$A$46,0)),0))*IF(AND($C63="Verified",$C$39=1),0,1)</f>
        <v>0</v>
      </c>
      <c r="S129" s="23" t="n">
        <f aca="false">IF($F63=1,IF(S$45=1,INDEX(Assumptions!$E$44:$E$46,MATCH($C63,Assumptions!$A$44:$A$46,0))*$C$34,0),IF(S$45=MAX($G63-1,1),INDEX(Assumptions!$E$44:$E$46,MATCH($C63,Assumptions!$A$44:$A$46,0)),0))*IF(AND($C63="Verified",$C$39=1),0,1)</f>
        <v>70000</v>
      </c>
      <c r="T129" s="23" t="n">
        <f aca="false">IF($F63=1,IF(T$45=1,INDEX(Assumptions!$E$44:$E$46,MATCH($C63,Assumptions!$A$44:$A$46,0))*$C$34,0),IF(T$45=MAX($G63-1,1),INDEX(Assumptions!$E$44:$E$46,MATCH($C63,Assumptions!$A$44:$A$46,0)),0))*IF(AND($C63="Verified",$C$39=1),0,1)</f>
        <v>0</v>
      </c>
      <c r="U129" s="23" t="n">
        <f aca="false">IF($F63=1,IF(U$45=1,INDEX(Assumptions!$E$44:$E$46,MATCH($C63,Assumptions!$A$44:$A$46,0))*$C$34,0),IF(U$45=MAX($G63-1,1),INDEX(Assumptions!$E$44:$E$46,MATCH($C63,Assumptions!$A$44:$A$46,0)),0))*IF(AND($C63="Verified",$C$39=1),0,1)</f>
        <v>0</v>
      </c>
      <c r="V129" s="23" t="n">
        <f aca="false">IF($F63=1,IF(V$45=1,INDEX(Assumptions!$E$44:$E$46,MATCH($C63,Assumptions!$A$44:$A$46,0))*$C$34,0),IF(V$45=MAX($G63-1,1),INDEX(Assumptions!$E$44:$E$46,MATCH($C63,Assumptions!$A$44:$A$46,0)),0))*IF(AND($C63="Verified",$C$39=1),0,1)</f>
        <v>0</v>
      </c>
      <c r="W129" s="23" t="n">
        <f aca="false">IF($F63=1,IF(W$45=1,INDEX(Assumptions!$E$44:$E$46,MATCH($C63,Assumptions!$A$44:$A$46,0))*$C$34,0),IF(W$45=MAX($G63-1,1),INDEX(Assumptions!$E$44:$E$46,MATCH($C63,Assumptions!$A$44:$A$46,0)),0))*IF(AND($C63="Verified",$C$39=1),0,1)</f>
        <v>0</v>
      </c>
      <c r="X129" s="23" t="n">
        <f aca="false">IF($F63=1,IF(X$45=1,INDEX(Assumptions!$E$44:$E$46,MATCH($C63,Assumptions!$A$44:$A$46,0))*$C$34,0),IF(X$45=MAX($G63-1,1),INDEX(Assumptions!$E$44:$E$46,MATCH($C63,Assumptions!$A$44:$A$46,0)),0))*IF(AND($C63="Verified",$C$39=1),0,1)</f>
        <v>0</v>
      </c>
      <c r="Y129" s="23" t="n">
        <f aca="false">IF($F63=1,IF(Y$45=1,INDEX(Assumptions!$E$44:$E$46,MATCH($C63,Assumptions!$A$44:$A$46,0))*$C$34,0),IF(Y$45=MAX($G63-1,1),INDEX(Assumptions!$E$44:$E$46,MATCH($C63,Assumptions!$A$44:$A$46,0)),0))*IF(AND($C63="Verified",$C$39=1),0,1)</f>
        <v>0</v>
      </c>
    </row>
    <row r="130" customFormat="false" ht="15" hidden="false" customHeight="false" outlineLevel="0" collapsed="false">
      <c r="A130" s="2" t="n">
        <f aca="false">A64</f>
        <v>17</v>
      </c>
      <c r="B130" s="2" t="str">
        <f aca="false">B64</f>
        <v>B</v>
      </c>
      <c r="C130" s="2" t="str">
        <f aca="false">C64</f>
        <v>Verified</v>
      </c>
      <c r="D130" s="2"/>
      <c r="E130" s="2"/>
      <c r="F130" s="2"/>
      <c r="G130" s="2"/>
      <c r="H130" s="23" t="n">
        <f aca="false">IF($F64=1,IF(H$45=1,INDEX(Assumptions!$E$44:$E$46,MATCH($C64,Assumptions!$A$44:$A$46,0))*$C$34,0),IF(H$45=MAX($G64-1,1),INDEX(Assumptions!$E$44:$E$46,MATCH($C64,Assumptions!$A$44:$A$46,0)),0))*IF(AND($C64="Verified",$C$39=1),0,1)</f>
        <v>0</v>
      </c>
      <c r="I130" s="23" t="n">
        <f aca="false">IF($F64=1,IF(I$45=1,INDEX(Assumptions!$E$44:$E$46,MATCH($C64,Assumptions!$A$44:$A$46,0))*$C$34,0),IF(I$45=MAX($G64-1,1),INDEX(Assumptions!$E$44:$E$46,MATCH($C64,Assumptions!$A$44:$A$46,0)),0))*IF(AND($C64="Verified",$C$39=1),0,1)</f>
        <v>0</v>
      </c>
      <c r="J130" s="23" t="n">
        <f aca="false">IF($F64=1,IF(J$45=1,INDEX(Assumptions!$E$44:$E$46,MATCH($C64,Assumptions!$A$44:$A$46,0))*$C$34,0),IF(J$45=MAX($G64-1,1),INDEX(Assumptions!$E$44:$E$46,MATCH($C64,Assumptions!$A$44:$A$46,0)),0))*IF(AND($C64="Verified",$C$39=1),0,1)</f>
        <v>0</v>
      </c>
      <c r="K130" s="23" t="n">
        <f aca="false">IF($F64=1,IF(K$45=1,INDEX(Assumptions!$E$44:$E$46,MATCH($C64,Assumptions!$A$44:$A$46,0))*$C$34,0),IF(K$45=MAX($G64-1,1),INDEX(Assumptions!$E$44:$E$46,MATCH($C64,Assumptions!$A$44:$A$46,0)),0))*IF(AND($C64="Verified",$C$39=1),0,1)</f>
        <v>0</v>
      </c>
      <c r="L130" s="23" t="n">
        <f aca="false">IF($F64=1,IF(L$45=1,INDEX(Assumptions!$E$44:$E$46,MATCH($C64,Assumptions!$A$44:$A$46,0))*$C$34,0),IF(L$45=MAX($G64-1,1),INDEX(Assumptions!$E$44:$E$46,MATCH($C64,Assumptions!$A$44:$A$46,0)),0))*IF(AND($C64="Verified",$C$39=1),0,1)</f>
        <v>0</v>
      </c>
      <c r="M130" s="23" t="n">
        <f aca="false">IF($F64=1,IF(M$45=1,INDEX(Assumptions!$E$44:$E$46,MATCH($C64,Assumptions!$A$44:$A$46,0))*$C$34,0),IF(M$45=MAX($G64-1,1),INDEX(Assumptions!$E$44:$E$46,MATCH($C64,Assumptions!$A$44:$A$46,0)),0))*IF(AND($C64="Verified",$C$39=1),0,1)</f>
        <v>0</v>
      </c>
      <c r="N130" s="23" t="n">
        <f aca="false">IF($F64=1,IF(N$45=1,INDEX(Assumptions!$E$44:$E$46,MATCH($C64,Assumptions!$A$44:$A$46,0))*$C$34,0),IF(N$45=MAX($G64-1,1),INDEX(Assumptions!$E$44:$E$46,MATCH($C64,Assumptions!$A$44:$A$46,0)),0))*IF(AND($C64="Verified",$C$39=1),0,1)</f>
        <v>0</v>
      </c>
      <c r="O130" s="23" t="n">
        <f aca="false">IF($F64=1,IF(O$45=1,INDEX(Assumptions!$E$44:$E$46,MATCH($C64,Assumptions!$A$44:$A$46,0))*$C$34,0),IF(O$45=MAX($G64-1,1),INDEX(Assumptions!$E$44:$E$46,MATCH($C64,Assumptions!$A$44:$A$46,0)),0))*IF(AND($C64="Verified",$C$39=1),0,1)</f>
        <v>0</v>
      </c>
      <c r="P130" s="23" t="n">
        <f aca="false">IF($F64=1,IF(P$45=1,INDEX(Assumptions!$E$44:$E$46,MATCH($C64,Assumptions!$A$44:$A$46,0))*$C$34,0),IF(P$45=MAX($G64-1,1),INDEX(Assumptions!$E$44:$E$46,MATCH($C64,Assumptions!$A$44:$A$46,0)),0))*IF(AND($C64="Verified",$C$39=1),0,1)</f>
        <v>0</v>
      </c>
      <c r="Q130" s="23" t="n">
        <f aca="false">IF($F64=1,IF(Q$45=1,INDEX(Assumptions!$E$44:$E$46,MATCH($C64,Assumptions!$A$44:$A$46,0))*$C$34,0),IF(Q$45=MAX($G64-1,1),INDEX(Assumptions!$E$44:$E$46,MATCH($C64,Assumptions!$A$44:$A$46,0)),0))*IF(AND($C64="Verified",$C$39=1),0,1)</f>
        <v>0</v>
      </c>
      <c r="R130" s="23" t="n">
        <f aca="false">IF($F64=1,IF(R$45=1,INDEX(Assumptions!$E$44:$E$46,MATCH($C64,Assumptions!$A$44:$A$46,0))*$C$34,0),IF(R$45=MAX($G64-1,1),INDEX(Assumptions!$E$44:$E$46,MATCH($C64,Assumptions!$A$44:$A$46,0)),0))*IF(AND($C64="Verified",$C$39=1),0,1)</f>
        <v>0</v>
      </c>
      <c r="S130" s="23" t="n">
        <f aca="false">IF($F64=1,IF(S$45=1,INDEX(Assumptions!$E$44:$E$46,MATCH($C64,Assumptions!$A$44:$A$46,0))*$C$34,0),IF(S$45=MAX($G64-1,1),INDEX(Assumptions!$E$44:$E$46,MATCH($C64,Assumptions!$A$44:$A$46,0)),0))*IF(AND($C64="Verified",$C$39=1),0,1)</f>
        <v>0</v>
      </c>
      <c r="T130" s="23" t="n">
        <f aca="false">IF($F64=1,IF(T$45=1,INDEX(Assumptions!$E$44:$E$46,MATCH($C64,Assumptions!$A$44:$A$46,0))*$C$34,0),IF(T$45=MAX($G64-1,1),INDEX(Assumptions!$E$44:$E$46,MATCH($C64,Assumptions!$A$44:$A$46,0)),0))*IF(AND($C64="Verified",$C$39=1),0,1)</f>
        <v>45000</v>
      </c>
      <c r="U130" s="23" t="n">
        <f aca="false">IF($F64=1,IF(U$45=1,INDEX(Assumptions!$E$44:$E$46,MATCH($C64,Assumptions!$A$44:$A$46,0))*$C$34,0),IF(U$45=MAX($G64-1,1),INDEX(Assumptions!$E$44:$E$46,MATCH($C64,Assumptions!$A$44:$A$46,0)),0))*IF(AND($C64="Verified",$C$39=1),0,1)</f>
        <v>0</v>
      </c>
      <c r="V130" s="23" t="n">
        <f aca="false">IF($F64=1,IF(V$45=1,INDEX(Assumptions!$E$44:$E$46,MATCH($C64,Assumptions!$A$44:$A$46,0))*$C$34,0),IF(V$45=MAX($G64-1,1),INDEX(Assumptions!$E$44:$E$46,MATCH($C64,Assumptions!$A$44:$A$46,0)),0))*IF(AND($C64="Verified",$C$39=1),0,1)</f>
        <v>0</v>
      </c>
      <c r="W130" s="23" t="n">
        <f aca="false">IF($F64=1,IF(W$45=1,INDEX(Assumptions!$E$44:$E$46,MATCH($C64,Assumptions!$A$44:$A$46,0))*$C$34,0),IF(W$45=MAX($G64-1,1),INDEX(Assumptions!$E$44:$E$46,MATCH($C64,Assumptions!$A$44:$A$46,0)),0))*IF(AND($C64="Verified",$C$39=1),0,1)</f>
        <v>0</v>
      </c>
      <c r="X130" s="23" t="n">
        <f aca="false">IF($F64=1,IF(X$45=1,INDEX(Assumptions!$E$44:$E$46,MATCH($C64,Assumptions!$A$44:$A$46,0))*$C$34,0),IF(X$45=MAX($G64-1,1),INDEX(Assumptions!$E$44:$E$46,MATCH($C64,Assumptions!$A$44:$A$46,0)),0))*IF(AND($C64="Verified",$C$39=1),0,1)</f>
        <v>0</v>
      </c>
      <c r="Y130" s="23" t="n">
        <f aca="false">IF($F64=1,IF(Y$45=1,INDEX(Assumptions!$E$44:$E$46,MATCH($C64,Assumptions!$A$44:$A$46,0))*$C$34,0),IF(Y$45=MAX($G64-1,1),INDEX(Assumptions!$E$44:$E$46,MATCH($C64,Assumptions!$A$44:$A$46,0)),0))*IF(AND($C64="Verified",$C$39=1),0,1)</f>
        <v>0</v>
      </c>
    </row>
    <row r="131" customFormat="false" ht="15" hidden="false" customHeight="false" outlineLevel="0" collapsed="false">
      <c r="A131" s="2" t="n">
        <f aca="false">A65</f>
        <v>18</v>
      </c>
      <c r="B131" s="2" t="str">
        <f aca="false">B65</f>
        <v>B</v>
      </c>
      <c r="C131" s="2" t="str">
        <f aca="false">C65</f>
        <v>Verified</v>
      </c>
      <c r="D131" s="2"/>
      <c r="E131" s="2"/>
      <c r="F131" s="2"/>
      <c r="G131" s="2"/>
      <c r="H131" s="23" t="n">
        <f aca="false">IF($F65=1,IF(H$45=1,INDEX(Assumptions!$E$44:$E$46,MATCH($C65,Assumptions!$A$44:$A$46,0))*$C$34,0),IF(H$45=MAX($G65-1,1),INDEX(Assumptions!$E$44:$E$46,MATCH($C65,Assumptions!$A$44:$A$46,0)),0))*IF(AND($C65="Verified",$C$39=1),0,1)</f>
        <v>0</v>
      </c>
      <c r="I131" s="23" t="n">
        <f aca="false">IF($F65=1,IF(I$45=1,INDEX(Assumptions!$E$44:$E$46,MATCH($C65,Assumptions!$A$44:$A$46,0))*$C$34,0),IF(I$45=MAX($G65-1,1),INDEX(Assumptions!$E$44:$E$46,MATCH($C65,Assumptions!$A$44:$A$46,0)),0))*IF(AND($C65="Verified",$C$39=1),0,1)</f>
        <v>0</v>
      </c>
      <c r="J131" s="23" t="n">
        <f aca="false">IF($F65=1,IF(J$45=1,INDEX(Assumptions!$E$44:$E$46,MATCH($C65,Assumptions!$A$44:$A$46,0))*$C$34,0),IF(J$45=MAX($G65-1,1),INDEX(Assumptions!$E$44:$E$46,MATCH($C65,Assumptions!$A$44:$A$46,0)),0))*IF(AND($C65="Verified",$C$39=1),0,1)</f>
        <v>0</v>
      </c>
      <c r="K131" s="23" t="n">
        <f aca="false">IF($F65=1,IF(K$45=1,INDEX(Assumptions!$E$44:$E$46,MATCH($C65,Assumptions!$A$44:$A$46,0))*$C$34,0),IF(K$45=MAX($G65-1,1),INDEX(Assumptions!$E$44:$E$46,MATCH($C65,Assumptions!$A$44:$A$46,0)),0))*IF(AND($C65="Verified",$C$39=1),0,1)</f>
        <v>0</v>
      </c>
      <c r="L131" s="23" t="n">
        <f aca="false">IF($F65=1,IF(L$45=1,INDEX(Assumptions!$E$44:$E$46,MATCH($C65,Assumptions!$A$44:$A$46,0))*$C$34,0),IF(L$45=MAX($G65-1,1),INDEX(Assumptions!$E$44:$E$46,MATCH($C65,Assumptions!$A$44:$A$46,0)),0))*IF(AND($C65="Verified",$C$39=1),0,1)</f>
        <v>0</v>
      </c>
      <c r="M131" s="23" t="n">
        <f aca="false">IF($F65=1,IF(M$45=1,INDEX(Assumptions!$E$44:$E$46,MATCH($C65,Assumptions!$A$44:$A$46,0))*$C$34,0),IF(M$45=MAX($G65-1,1),INDEX(Assumptions!$E$44:$E$46,MATCH($C65,Assumptions!$A$44:$A$46,0)),0))*IF(AND($C65="Verified",$C$39=1),0,1)</f>
        <v>0</v>
      </c>
      <c r="N131" s="23" t="n">
        <f aca="false">IF($F65=1,IF(N$45=1,INDEX(Assumptions!$E$44:$E$46,MATCH($C65,Assumptions!$A$44:$A$46,0))*$C$34,0),IF(N$45=MAX($G65-1,1),INDEX(Assumptions!$E$44:$E$46,MATCH($C65,Assumptions!$A$44:$A$46,0)),0))*IF(AND($C65="Verified",$C$39=1),0,1)</f>
        <v>0</v>
      </c>
      <c r="O131" s="23" t="n">
        <f aca="false">IF($F65=1,IF(O$45=1,INDEX(Assumptions!$E$44:$E$46,MATCH($C65,Assumptions!$A$44:$A$46,0))*$C$34,0),IF(O$45=MAX($G65-1,1),INDEX(Assumptions!$E$44:$E$46,MATCH($C65,Assumptions!$A$44:$A$46,0)),0))*IF(AND($C65="Verified",$C$39=1),0,1)</f>
        <v>0</v>
      </c>
      <c r="P131" s="23" t="n">
        <f aca="false">IF($F65=1,IF(P$45=1,INDEX(Assumptions!$E$44:$E$46,MATCH($C65,Assumptions!$A$44:$A$46,0))*$C$34,0),IF(P$45=MAX($G65-1,1),INDEX(Assumptions!$E$44:$E$46,MATCH($C65,Assumptions!$A$44:$A$46,0)),0))*IF(AND($C65="Verified",$C$39=1),0,1)</f>
        <v>0</v>
      </c>
      <c r="Q131" s="23" t="n">
        <f aca="false">IF($F65=1,IF(Q$45=1,INDEX(Assumptions!$E$44:$E$46,MATCH($C65,Assumptions!$A$44:$A$46,0))*$C$34,0),IF(Q$45=MAX($G65-1,1),INDEX(Assumptions!$E$44:$E$46,MATCH($C65,Assumptions!$A$44:$A$46,0)),0))*IF(AND($C65="Verified",$C$39=1),0,1)</f>
        <v>0</v>
      </c>
      <c r="R131" s="23" t="n">
        <f aca="false">IF($F65=1,IF(R$45=1,INDEX(Assumptions!$E$44:$E$46,MATCH($C65,Assumptions!$A$44:$A$46,0))*$C$34,0),IF(R$45=MAX($G65-1,1),INDEX(Assumptions!$E$44:$E$46,MATCH($C65,Assumptions!$A$44:$A$46,0)),0))*IF(AND($C65="Verified",$C$39=1),0,1)</f>
        <v>0</v>
      </c>
      <c r="S131" s="23" t="n">
        <f aca="false">IF($F65=1,IF(S$45=1,INDEX(Assumptions!$E$44:$E$46,MATCH($C65,Assumptions!$A$44:$A$46,0))*$C$34,0),IF(S$45=MAX($G65-1,1),INDEX(Assumptions!$E$44:$E$46,MATCH($C65,Assumptions!$A$44:$A$46,0)),0))*IF(AND($C65="Verified",$C$39=1),0,1)</f>
        <v>0</v>
      </c>
      <c r="T131" s="23" t="n">
        <f aca="false">IF($F65=1,IF(T$45=1,INDEX(Assumptions!$E$44:$E$46,MATCH($C65,Assumptions!$A$44:$A$46,0))*$C$34,0),IF(T$45=MAX($G65-1,1),INDEX(Assumptions!$E$44:$E$46,MATCH($C65,Assumptions!$A$44:$A$46,0)),0))*IF(AND($C65="Verified",$C$39=1),0,1)</f>
        <v>0</v>
      </c>
      <c r="U131" s="23" t="n">
        <f aca="false">IF($F65=1,IF(U$45=1,INDEX(Assumptions!$E$44:$E$46,MATCH($C65,Assumptions!$A$44:$A$46,0))*$C$34,0),IF(U$45=MAX($G65-1,1),INDEX(Assumptions!$E$44:$E$46,MATCH($C65,Assumptions!$A$44:$A$46,0)),0))*IF(AND($C65="Verified",$C$39=1),0,1)</f>
        <v>45000</v>
      </c>
      <c r="V131" s="23" t="n">
        <f aca="false">IF($F65=1,IF(V$45=1,INDEX(Assumptions!$E$44:$E$46,MATCH($C65,Assumptions!$A$44:$A$46,0))*$C$34,0),IF(V$45=MAX($G65-1,1),INDEX(Assumptions!$E$44:$E$46,MATCH($C65,Assumptions!$A$44:$A$46,0)),0))*IF(AND($C65="Verified",$C$39=1),0,1)</f>
        <v>0</v>
      </c>
      <c r="W131" s="23" t="n">
        <f aca="false">IF($F65=1,IF(W$45=1,INDEX(Assumptions!$E$44:$E$46,MATCH($C65,Assumptions!$A$44:$A$46,0))*$C$34,0),IF(W$45=MAX($G65-1,1),INDEX(Assumptions!$E$44:$E$46,MATCH($C65,Assumptions!$A$44:$A$46,0)),0))*IF(AND($C65="Verified",$C$39=1),0,1)</f>
        <v>0</v>
      </c>
      <c r="X131" s="23" t="n">
        <f aca="false">IF($F65=1,IF(X$45=1,INDEX(Assumptions!$E$44:$E$46,MATCH($C65,Assumptions!$A$44:$A$46,0))*$C$34,0),IF(X$45=MAX($G65-1,1),INDEX(Assumptions!$E$44:$E$46,MATCH($C65,Assumptions!$A$44:$A$46,0)),0))*IF(AND($C65="Verified",$C$39=1),0,1)</f>
        <v>0</v>
      </c>
      <c r="Y131" s="23" t="n">
        <f aca="false">IF($F65=1,IF(Y$45=1,INDEX(Assumptions!$E$44:$E$46,MATCH($C65,Assumptions!$A$44:$A$46,0))*$C$34,0),IF(Y$45=MAX($G65-1,1),INDEX(Assumptions!$E$44:$E$46,MATCH($C65,Assumptions!$A$44:$A$46,0)),0))*IF(AND($C65="Verified",$C$39=1),0,1)</f>
        <v>0</v>
      </c>
    </row>
    <row r="132" customFormat="false" ht="15" hidden="false" customHeight="false" outlineLevel="0" collapsed="false">
      <c r="A132" s="2" t="n">
        <f aca="false">A66</f>
        <v>19</v>
      </c>
      <c r="B132" s="2" t="str">
        <f aca="false">B66</f>
        <v>B</v>
      </c>
      <c r="C132" s="2" t="str">
        <f aca="false">C66</f>
        <v>Verified</v>
      </c>
      <c r="D132" s="2"/>
      <c r="E132" s="2"/>
      <c r="F132" s="2"/>
      <c r="G132" s="2"/>
      <c r="H132" s="23" t="n">
        <f aca="false">IF($F66=1,IF(H$45=1,INDEX(Assumptions!$E$44:$E$46,MATCH($C66,Assumptions!$A$44:$A$46,0))*$C$34,0),IF(H$45=MAX($G66-1,1),INDEX(Assumptions!$E$44:$E$46,MATCH($C66,Assumptions!$A$44:$A$46,0)),0))*IF(AND($C66="Verified",$C$39=1),0,1)</f>
        <v>0</v>
      </c>
      <c r="I132" s="23" t="n">
        <f aca="false">IF($F66=1,IF(I$45=1,INDEX(Assumptions!$E$44:$E$46,MATCH($C66,Assumptions!$A$44:$A$46,0))*$C$34,0),IF(I$45=MAX($G66-1,1),INDEX(Assumptions!$E$44:$E$46,MATCH($C66,Assumptions!$A$44:$A$46,0)),0))*IF(AND($C66="Verified",$C$39=1),0,1)</f>
        <v>0</v>
      </c>
      <c r="J132" s="23" t="n">
        <f aca="false">IF($F66=1,IF(J$45=1,INDEX(Assumptions!$E$44:$E$46,MATCH($C66,Assumptions!$A$44:$A$46,0))*$C$34,0),IF(J$45=MAX($G66-1,1),INDEX(Assumptions!$E$44:$E$46,MATCH($C66,Assumptions!$A$44:$A$46,0)),0))*IF(AND($C66="Verified",$C$39=1),0,1)</f>
        <v>0</v>
      </c>
      <c r="K132" s="23" t="n">
        <f aca="false">IF($F66=1,IF(K$45=1,INDEX(Assumptions!$E$44:$E$46,MATCH($C66,Assumptions!$A$44:$A$46,0))*$C$34,0),IF(K$45=MAX($G66-1,1),INDEX(Assumptions!$E$44:$E$46,MATCH($C66,Assumptions!$A$44:$A$46,0)),0))*IF(AND($C66="Verified",$C$39=1),0,1)</f>
        <v>0</v>
      </c>
      <c r="L132" s="23" t="n">
        <f aca="false">IF($F66=1,IF(L$45=1,INDEX(Assumptions!$E$44:$E$46,MATCH($C66,Assumptions!$A$44:$A$46,0))*$C$34,0),IF(L$45=MAX($G66-1,1),INDEX(Assumptions!$E$44:$E$46,MATCH($C66,Assumptions!$A$44:$A$46,0)),0))*IF(AND($C66="Verified",$C$39=1),0,1)</f>
        <v>0</v>
      </c>
      <c r="M132" s="23" t="n">
        <f aca="false">IF($F66=1,IF(M$45=1,INDEX(Assumptions!$E$44:$E$46,MATCH($C66,Assumptions!$A$44:$A$46,0))*$C$34,0),IF(M$45=MAX($G66-1,1),INDEX(Assumptions!$E$44:$E$46,MATCH($C66,Assumptions!$A$44:$A$46,0)),0))*IF(AND($C66="Verified",$C$39=1),0,1)</f>
        <v>0</v>
      </c>
      <c r="N132" s="23" t="n">
        <f aca="false">IF($F66=1,IF(N$45=1,INDEX(Assumptions!$E$44:$E$46,MATCH($C66,Assumptions!$A$44:$A$46,0))*$C$34,0),IF(N$45=MAX($G66-1,1),INDEX(Assumptions!$E$44:$E$46,MATCH($C66,Assumptions!$A$44:$A$46,0)),0))*IF(AND($C66="Verified",$C$39=1),0,1)</f>
        <v>0</v>
      </c>
      <c r="O132" s="23" t="n">
        <f aca="false">IF($F66=1,IF(O$45=1,INDEX(Assumptions!$E$44:$E$46,MATCH($C66,Assumptions!$A$44:$A$46,0))*$C$34,0),IF(O$45=MAX($G66-1,1),INDEX(Assumptions!$E$44:$E$46,MATCH($C66,Assumptions!$A$44:$A$46,0)),0))*IF(AND($C66="Verified",$C$39=1),0,1)</f>
        <v>0</v>
      </c>
      <c r="P132" s="23" t="n">
        <f aca="false">IF($F66=1,IF(P$45=1,INDEX(Assumptions!$E$44:$E$46,MATCH($C66,Assumptions!$A$44:$A$46,0))*$C$34,0),IF(P$45=MAX($G66-1,1),INDEX(Assumptions!$E$44:$E$46,MATCH($C66,Assumptions!$A$44:$A$46,0)),0))*IF(AND($C66="Verified",$C$39=1),0,1)</f>
        <v>0</v>
      </c>
      <c r="Q132" s="23" t="n">
        <f aca="false">IF($F66=1,IF(Q$45=1,INDEX(Assumptions!$E$44:$E$46,MATCH($C66,Assumptions!$A$44:$A$46,0))*$C$34,0),IF(Q$45=MAX($G66-1,1),INDEX(Assumptions!$E$44:$E$46,MATCH($C66,Assumptions!$A$44:$A$46,0)),0))*IF(AND($C66="Verified",$C$39=1),0,1)</f>
        <v>0</v>
      </c>
      <c r="R132" s="23" t="n">
        <f aca="false">IF($F66=1,IF(R$45=1,INDEX(Assumptions!$E$44:$E$46,MATCH($C66,Assumptions!$A$44:$A$46,0))*$C$34,0),IF(R$45=MAX($G66-1,1),INDEX(Assumptions!$E$44:$E$46,MATCH($C66,Assumptions!$A$44:$A$46,0)),0))*IF(AND($C66="Verified",$C$39=1),0,1)</f>
        <v>0</v>
      </c>
      <c r="S132" s="23" t="n">
        <f aca="false">IF($F66=1,IF(S$45=1,INDEX(Assumptions!$E$44:$E$46,MATCH($C66,Assumptions!$A$44:$A$46,0))*$C$34,0),IF(S$45=MAX($G66-1,1),INDEX(Assumptions!$E$44:$E$46,MATCH($C66,Assumptions!$A$44:$A$46,0)),0))*IF(AND($C66="Verified",$C$39=1),0,1)</f>
        <v>0</v>
      </c>
      <c r="T132" s="23" t="n">
        <f aca="false">IF($F66=1,IF(T$45=1,INDEX(Assumptions!$E$44:$E$46,MATCH($C66,Assumptions!$A$44:$A$46,0))*$C$34,0),IF(T$45=MAX($G66-1,1),INDEX(Assumptions!$E$44:$E$46,MATCH($C66,Assumptions!$A$44:$A$46,0)),0))*IF(AND($C66="Verified",$C$39=1),0,1)</f>
        <v>0</v>
      </c>
      <c r="U132" s="23" t="n">
        <f aca="false">IF($F66=1,IF(U$45=1,INDEX(Assumptions!$E$44:$E$46,MATCH($C66,Assumptions!$A$44:$A$46,0))*$C$34,0),IF(U$45=MAX($G66-1,1),INDEX(Assumptions!$E$44:$E$46,MATCH($C66,Assumptions!$A$44:$A$46,0)),0))*IF(AND($C66="Verified",$C$39=1),0,1)</f>
        <v>0</v>
      </c>
      <c r="V132" s="23" t="n">
        <f aca="false">IF($F66=1,IF(V$45=1,INDEX(Assumptions!$E$44:$E$46,MATCH($C66,Assumptions!$A$44:$A$46,0))*$C$34,0),IF(V$45=MAX($G66-1,1),INDEX(Assumptions!$E$44:$E$46,MATCH($C66,Assumptions!$A$44:$A$46,0)),0))*IF(AND($C66="Verified",$C$39=1),0,1)</f>
        <v>45000</v>
      </c>
      <c r="W132" s="23" t="n">
        <f aca="false">IF($F66=1,IF(W$45=1,INDEX(Assumptions!$E$44:$E$46,MATCH($C66,Assumptions!$A$44:$A$46,0))*$C$34,0),IF(W$45=MAX($G66-1,1),INDEX(Assumptions!$E$44:$E$46,MATCH($C66,Assumptions!$A$44:$A$46,0)),0))*IF(AND($C66="Verified",$C$39=1),0,1)</f>
        <v>0</v>
      </c>
      <c r="X132" s="23" t="n">
        <f aca="false">IF($F66=1,IF(X$45=1,INDEX(Assumptions!$E$44:$E$46,MATCH($C66,Assumptions!$A$44:$A$46,0))*$C$34,0),IF(X$45=MAX($G66-1,1),INDEX(Assumptions!$E$44:$E$46,MATCH($C66,Assumptions!$A$44:$A$46,0)),0))*IF(AND($C66="Verified",$C$39=1),0,1)</f>
        <v>0</v>
      </c>
      <c r="Y132" s="23" t="n">
        <f aca="false">IF($F66=1,IF(Y$45=1,INDEX(Assumptions!$E$44:$E$46,MATCH($C66,Assumptions!$A$44:$A$46,0))*$C$34,0),IF(Y$45=MAX($G66-1,1),INDEX(Assumptions!$E$44:$E$46,MATCH($C66,Assumptions!$A$44:$A$46,0)),0))*IF(AND($C66="Verified",$C$39=1),0,1)</f>
        <v>0</v>
      </c>
    </row>
    <row r="133" customFormat="false" ht="15" hidden="false" customHeight="false" outlineLevel="0" collapsed="false">
      <c r="A133" s="2" t="n">
        <f aca="false">A67</f>
        <v>20</v>
      </c>
      <c r="B133" s="2" t="str">
        <f aca="false">B67</f>
        <v>B</v>
      </c>
      <c r="C133" s="2" t="str">
        <f aca="false">C67</f>
        <v>Verified</v>
      </c>
      <c r="D133" s="2"/>
      <c r="E133" s="2"/>
      <c r="F133" s="2"/>
      <c r="G133" s="2"/>
      <c r="H133" s="23" t="n">
        <f aca="false">IF($F67=1,IF(H$45=1,INDEX(Assumptions!$E$44:$E$46,MATCH($C67,Assumptions!$A$44:$A$46,0))*$C$34,0),IF(H$45=MAX($G67-1,1),INDEX(Assumptions!$E$44:$E$46,MATCH($C67,Assumptions!$A$44:$A$46,0)),0))*IF(AND($C67="Verified",$C$39=1),0,1)</f>
        <v>0</v>
      </c>
      <c r="I133" s="23" t="n">
        <f aca="false">IF($F67=1,IF(I$45=1,INDEX(Assumptions!$E$44:$E$46,MATCH($C67,Assumptions!$A$44:$A$46,0))*$C$34,0),IF(I$45=MAX($G67-1,1),INDEX(Assumptions!$E$44:$E$46,MATCH($C67,Assumptions!$A$44:$A$46,0)),0))*IF(AND($C67="Verified",$C$39=1),0,1)</f>
        <v>0</v>
      </c>
      <c r="J133" s="23" t="n">
        <f aca="false">IF($F67=1,IF(J$45=1,INDEX(Assumptions!$E$44:$E$46,MATCH($C67,Assumptions!$A$44:$A$46,0))*$C$34,0),IF(J$45=MAX($G67-1,1),INDEX(Assumptions!$E$44:$E$46,MATCH($C67,Assumptions!$A$44:$A$46,0)),0))*IF(AND($C67="Verified",$C$39=1),0,1)</f>
        <v>0</v>
      </c>
      <c r="K133" s="23" t="n">
        <f aca="false">IF($F67=1,IF(K$45=1,INDEX(Assumptions!$E$44:$E$46,MATCH($C67,Assumptions!$A$44:$A$46,0))*$C$34,0),IF(K$45=MAX($G67-1,1),INDEX(Assumptions!$E$44:$E$46,MATCH($C67,Assumptions!$A$44:$A$46,0)),0))*IF(AND($C67="Verified",$C$39=1),0,1)</f>
        <v>0</v>
      </c>
      <c r="L133" s="23" t="n">
        <f aca="false">IF($F67=1,IF(L$45=1,INDEX(Assumptions!$E$44:$E$46,MATCH($C67,Assumptions!$A$44:$A$46,0))*$C$34,0),IF(L$45=MAX($G67-1,1),INDEX(Assumptions!$E$44:$E$46,MATCH($C67,Assumptions!$A$44:$A$46,0)),0))*IF(AND($C67="Verified",$C$39=1),0,1)</f>
        <v>0</v>
      </c>
      <c r="M133" s="23" t="n">
        <f aca="false">IF($F67=1,IF(M$45=1,INDEX(Assumptions!$E$44:$E$46,MATCH($C67,Assumptions!$A$44:$A$46,0))*$C$34,0),IF(M$45=MAX($G67-1,1),INDEX(Assumptions!$E$44:$E$46,MATCH($C67,Assumptions!$A$44:$A$46,0)),0))*IF(AND($C67="Verified",$C$39=1),0,1)</f>
        <v>0</v>
      </c>
      <c r="N133" s="23" t="n">
        <f aca="false">IF($F67=1,IF(N$45=1,INDEX(Assumptions!$E$44:$E$46,MATCH($C67,Assumptions!$A$44:$A$46,0))*$C$34,0),IF(N$45=MAX($G67-1,1),INDEX(Assumptions!$E$44:$E$46,MATCH($C67,Assumptions!$A$44:$A$46,0)),0))*IF(AND($C67="Verified",$C$39=1),0,1)</f>
        <v>0</v>
      </c>
      <c r="O133" s="23" t="n">
        <f aca="false">IF($F67=1,IF(O$45=1,INDEX(Assumptions!$E$44:$E$46,MATCH($C67,Assumptions!$A$44:$A$46,0))*$C$34,0),IF(O$45=MAX($G67-1,1),INDEX(Assumptions!$E$44:$E$46,MATCH($C67,Assumptions!$A$44:$A$46,0)),0))*IF(AND($C67="Verified",$C$39=1),0,1)</f>
        <v>0</v>
      </c>
      <c r="P133" s="23" t="n">
        <f aca="false">IF($F67=1,IF(P$45=1,INDEX(Assumptions!$E$44:$E$46,MATCH($C67,Assumptions!$A$44:$A$46,0))*$C$34,0),IF(P$45=MAX($G67-1,1),INDEX(Assumptions!$E$44:$E$46,MATCH($C67,Assumptions!$A$44:$A$46,0)),0))*IF(AND($C67="Verified",$C$39=1),0,1)</f>
        <v>0</v>
      </c>
      <c r="Q133" s="23" t="n">
        <f aca="false">IF($F67=1,IF(Q$45=1,INDEX(Assumptions!$E$44:$E$46,MATCH($C67,Assumptions!$A$44:$A$46,0))*$C$34,0),IF(Q$45=MAX($G67-1,1),INDEX(Assumptions!$E$44:$E$46,MATCH($C67,Assumptions!$A$44:$A$46,0)),0))*IF(AND($C67="Verified",$C$39=1),0,1)</f>
        <v>0</v>
      </c>
      <c r="R133" s="23" t="n">
        <f aca="false">IF($F67=1,IF(R$45=1,INDEX(Assumptions!$E$44:$E$46,MATCH($C67,Assumptions!$A$44:$A$46,0))*$C$34,0),IF(R$45=MAX($G67-1,1),INDEX(Assumptions!$E$44:$E$46,MATCH($C67,Assumptions!$A$44:$A$46,0)),0))*IF(AND($C67="Verified",$C$39=1),0,1)</f>
        <v>0</v>
      </c>
      <c r="S133" s="23" t="n">
        <f aca="false">IF($F67=1,IF(S$45=1,INDEX(Assumptions!$E$44:$E$46,MATCH($C67,Assumptions!$A$44:$A$46,0))*$C$34,0),IF(S$45=MAX($G67-1,1),INDEX(Assumptions!$E$44:$E$46,MATCH($C67,Assumptions!$A$44:$A$46,0)),0))*IF(AND($C67="Verified",$C$39=1),0,1)</f>
        <v>0</v>
      </c>
      <c r="T133" s="23" t="n">
        <f aca="false">IF($F67=1,IF(T$45=1,INDEX(Assumptions!$E$44:$E$46,MATCH($C67,Assumptions!$A$44:$A$46,0))*$C$34,0),IF(T$45=MAX($G67-1,1),INDEX(Assumptions!$E$44:$E$46,MATCH($C67,Assumptions!$A$44:$A$46,0)),0))*IF(AND($C67="Verified",$C$39=1),0,1)</f>
        <v>0</v>
      </c>
      <c r="U133" s="23" t="n">
        <f aca="false">IF($F67=1,IF(U$45=1,INDEX(Assumptions!$E$44:$E$46,MATCH($C67,Assumptions!$A$44:$A$46,0))*$C$34,0),IF(U$45=MAX($G67-1,1),INDEX(Assumptions!$E$44:$E$46,MATCH($C67,Assumptions!$A$44:$A$46,0)),0))*IF(AND($C67="Verified",$C$39=1),0,1)</f>
        <v>0</v>
      </c>
      <c r="V133" s="23" t="n">
        <f aca="false">IF($F67=1,IF(V$45=1,INDEX(Assumptions!$E$44:$E$46,MATCH($C67,Assumptions!$A$44:$A$46,0))*$C$34,0),IF(V$45=MAX($G67-1,1),INDEX(Assumptions!$E$44:$E$46,MATCH($C67,Assumptions!$A$44:$A$46,0)),0))*IF(AND($C67="Verified",$C$39=1),0,1)</f>
        <v>45000</v>
      </c>
      <c r="W133" s="23" t="n">
        <f aca="false">IF($F67=1,IF(W$45=1,INDEX(Assumptions!$E$44:$E$46,MATCH($C67,Assumptions!$A$44:$A$46,0))*$C$34,0),IF(W$45=MAX($G67-1,1),INDEX(Assumptions!$E$44:$E$46,MATCH($C67,Assumptions!$A$44:$A$46,0)),0))*IF(AND($C67="Verified",$C$39=1),0,1)</f>
        <v>0</v>
      </c>
      <c r="X133" s="23" t="n">
        <f aca="false">IF($F67=1,IF(X$45=1,INDEX(Assumptions!$E$44:$E$46,MATCH($C67,Assumptions!$A$44:$A$46,0))*$C$34,0),IF(X$45=MAX($G67-1,1),INDEX(Assumptions!$E$44:$E$46,MATCH($C67,Assumptions!$A$44:$A$46,0)),0))*IF(AND($C67="Verified",$C$39=1),0,1)</f>
        <v>0</v>
      </c>
      <c r="Y133" s="23" t="n">
        <f aca="false">IF($F67=1,IF(Y$45=1,INDEX(Assumptions!$E$44:$E$46,MATCH($C67,Assumptions!$A$44:$A$46,0))*$C$34,0),IF(Y$45=MAX($G67-1,1),INDEX(Assumptions!$E$44:$E$46,MATCH($C67,Assumptions!$A$44:$A$46,0)),0))*IF(AND($C67="Verified",$C$39=1),0,1)</f>
        <v>0</v>
      </c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" hidden="false" customHeight="false" outlineLevel="0" collapsed="false">
      <c r="A135" s="37" t="s">
        <v>202</v>
      </c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customFormat="false" ht="15" hidden="false" customHeight="false" outlineLevel="0" collapsed="false">
      <c r="A136" s="2" t="n">
        <f aca="false">A48</f>
        <v>1</v>
      </c>
      <c r="B136" s="2" t="str">
        <f aca="false">B48</f>
        <v>Pilot</v>
      </c>
      <c r="C136" s="2" t="str">
        <f aca="false">C48</f>
        <v>Assured</v>
      </c>
      <c r="D136" s="2"/>
      <c r="E136" s="2"/>
      <c r="F136" s="2"/>
      <c r="G136" s="2"/>
      <c r="H136" s="24" t="n">
        <f aca="false">H48*($C$30+(INDEX(Assumptions!$F$44:$F$46,MATCH($C48,Assumptions!$A$44:$A$46,0))-$C$30)*MIN(1,H$45/$C$29))</f>
        <v>13.4108333333333</v>
      </c>
      <c r="I136" s="24" t="n">
        <f aca="false">I48*($C$30+(INDEX(Assumptions!$F$44:$F$46,MATCH($C48,Assumptions!$A$44:$A$46,0))-$C$30)*MIN(1,I$45/$C$29))</f>
        <v>14.5138888888889</v>
      </c>
      <c r="J136" s="24" t="n">
        <f aca="false">J48*($C$30+(INDEX(Assumptions!$F$44:$F$46,MATCH($C48,Assumptions!$A$44:$A$46,0))-$C$30)*MIN(1,J$45/$C$29))</f>
        <v>15.6591666666667</v>
      </c>
      <c r="K136" s="24" t="n">
        <f aca="false">K48*($C$30+(INDEX(Assumptions!$F$44:$F$46,MATCH($C48,Assumptions!$A$44:$A$46,0))-$C$30)*MIN(1,K$45/$C$29))</f>
        <v>16.8466666666667</v>
      </c>
      <c r="L136" s="24" t="n">
        <f aca="false">L48*($C$30+(INDEX(Assumptions!$F$44:$F$46,MATCH($C48,Assumptions!$A$44:$A$46,0))-$C$30)*MIN(1,L$45/$C$29))</f>
        <v>17.3533333333333</v>
      </c>
      <c r="M136" s="24" t="n">
        <f aca="false">M48*($C$30+(INDEX(Assumptions!$F$44:$F$46,MATCH($C48,Assumptions!$A$44:$A$46,0))-$C$30)*MIN(1,M$45/$C$29))</f>
        <v>17.86</v>
      </c>
      <c r="N136" s="24" t="n">
        <f aca="false">N48*($C$30+(INDEX(Assumptions!$F$44:$F$46,MATCH($C48,Assumptions!$A$44:$A$46,0))-$C$30)*MIN(1,N$45/$C$29))</f>
        <v>17.86</v>
      </c>
      <c r="O136" s="24" t="n">
        <f aca="false">O48*($C$30+(INDEX(Assumptions!$F$44:$F$46,MATCH($C48,Assumptions!$A$44:$A$46,0))-$C$30)*MIN(1,O$45/$C$29))</f>
        <v>17.86</v>
      </c>
      <c r="P136" s="24" t="n">
        <f aca="false">P48*($C$30+(INDEX(Assumptions!$F$44:$F$46,MATCH($C48,Assumptions!$A$44:$A$46,0))-$C$30)*MIN(1,P$45/$C$29))</f>
        <v>17.86</v>
      </c>
      <c r="Q136" s="24" t="n">
        <f aca="false">Q48*($C$30+(INDEX(Assumptions!$F$44:$F$46,MATCH($C48,Assumptions!$A$44:$A$46,0))-$C$30)*MIN(1,Q$45/$C$29))</f>
        <v>17.86</v>
      </c>
      <c r="R136" s="24" t="n">
        <f aca="false">R48*($C$30+(INDEX(Assumptions!$F$44:$F$46,MATCH($C48,Assumptions!$A$44:$A$46,0))-$C$30)*MIN(1,R$45/$C$29))</f>
        <v>17.86</v>
      </c>
      <c r="S136" s="24" t="n">
        <f aca="false">S48*($C$30+(INDEX(Assumptions!$F$44:$F$46,MATCH($C48,Assumptions!$A$44:$A$46,0))-$C$30)*MIN(1,S$45/$C$29))</f>
        <v>17.86</v>
      </c>
      <c r="T136" s="24" t="n">
        <f aca="false">T48*($C$30+(INDEX(Assumptions!$F$44:$F$46,MATCH($C48,Assumptions!$A$44:$A$46,0))-$C$30)*MIN(1,T$45/$C$29))</f>
        <v>17.86</v>
      </c>
      <c r="U136" s="24" t="n">
        <f aca="false">U48*($C$30+(INDEX(Assumptions!$F$44:$F$46,MATCH($C48,Assumptions!$A$44:$A$46,0))-$C$30)*MIN(1,U$45/$C$29))</f>
        <v>17.86</v>
      </c>
      <c r="V136" s="24" t="n">
        <f aca="false">V48*($C$30+(INDEX(Assumptions!$F$44:$F$46,MATCH($C48,Assumptions!$A$44:$A$46,0))-$C$30)*MIN(1,V$45/$C$29))</f>
        <v>17.86</v>
      </c>
      <c r="W136" s="24" t="n">
        <f aca="false">W48*($C$30+(INDEX(Assumptions!$F$44:$F$46,MATCH($C48,Assumptions!$A$44:$A$46,0))-$C$30)*MIN(1,W$45/$C$29))</f>
        <v>17.86</v>
      </c>
      <c r="X136" s="24" t="n">
        <f aca="false">X48*($C$30+(INDEX(Assumptions!$F$44:$F$46,MATCH($C48,Assumptions!$A$44:$A$46,0))-$C$30)*MIN(1,X$45/$C$29))</f>
        <v>17.86</v>
      </c>
      <c r="Y136" s="24" t="n">
        <f aca="false">Y48*($C$30+(INDEX(Assumptions!$F$44:$F$46,MATCH($C48,Assumptions!$A$44:$A$46,0))-$C$30)*MIN(1,Y$45/$C$29))</f>
        <v>17.86</v>
      </c>
    </row>
    <row r="137" customFormat="false" ht="15" hidden="false" customHeight="false" outlineLevel="0" collapsed="false">
      <c r="A137" s="2" t="n">
        <f aca="false">A49</f>
        <v>2</v>
      </c>
      <c r="B137" s="2" t="str">
        <f aca="false">B49</f>
        <v>Pilot</v>
      </c>
      <c r="C137" s="2" t="str">
        <f aca="false">C49</f>
        <v>Assured</v>
      </c>
      <c r="D137" s="2"/>
      <c r="E137" s="2"/>
      <c r="F137" s="2"/>
      <c r="G137" s="2"/>
      <c r="H137" s="24" t="n">
        <f aca="false">H49*($C$30+(INDEX(Assumptions!$F$44:$F$46,MATCH($C49,Assumptions!$A$44:$A$46,0))-$C$30)*MIN(1,H$45/$C$29))</f>
        <v>13.4108333333333</v>
      </c>
      <c r="I137" s="24" t="n">
        <f aca="false">I49*($C$30+(INDEX(Assumptions!$F$44:$F$46,MATCH($C49,Assumptions!$A$44:$A$46,0))-$C$30)*MIN(1,I$45/$C$29))</f>
        <v>14.5138888888889</v>
      </c>
      <c r="J137" s="24" t="n">
        <f aca="false">J49*($C$30+(INDEX(Assumptions!$F$44:$F$46,MATCH($C49,Assumptions!$A$44:$A$46,0))-$C$30)*MIN(1,J$45/$C$29))</f>
        <v>15.6591666666667</v>
      </c>
      <c r="K137" s="24" t="n">
        <f aca="false">K49*($C$30+(INDEX(Assumptions!$F$44:$F$46,MATCH($C49,Assumptions!$A$44:$A$46,0))-$C$30)*MIN(1,K$45/$C$29))</f>
        <v>16.8466666666667</v>
      </c>
      <c r="L137" s="24" t="n">
        <f aca="false">L49*($C$30+(INDEX(Assumptions!$F$44:$F$46,MATCH($C49,Assumptions!$A$44:$A$46,0))-$C$30)*MIN(1,L$45/$C$29))</f>
        <v>17.3533333333333</v>
      </c>
      <c r="M137" s="24" t="n">
        <f aca="false">M49*($C$30+(INDEX(Assumptions!$F$44:$F$46,MATCH($C49,Assumptions!$A$44:$A$46,0))-$C$30)*MIN(1,M$45/$C$29))</f>
        <v>17.86</v>
      </c>
      <c r="N137" s="24" t="n">
        <f aca="false">N49*($C$30+(INDEX(Assumptions!$F$44:$F$46,MATCH($C49,Assumptions!$A$44:$A$46,0))-$C$30)*MIN(1,N$45/$C$29))</f>
        <v>17.86</v>
      </c>
      <c r="O137" s="24" t="n">
        <f aca="false">O49*($C$30+(INDEX(Assumptions!$F$44:$F$46,MATCH($C49,Assumptions!$A$44:$A$46,0))-$C$30)*MIN(1,O$45/$C$29))</f>
        <v>17.86</v>
      </c>
      <c r="P137" s="24" t="n">
        <f aca="false">P49*($C$30+(INDEX(Assumptions!$F$44:$F$46,MATCH($C49,Assumptions!$A$44:$A$46,0))-$C$30)*MIN(1,P$45/$C$29))</f>
        <v>17.86</v>
      </c>
      <c r="Q137" s="24" t="n">
        <f aca="false">Q49*($C$30+(INDEX(Assumptions!$F$44:$F$46,MATCH($C49,Assumptions!$A$44:$A$46,0))-$C$30)*MIN(1,Q$45/$C$29))</f>
        <v>17.86</v>
      </c>
      <c r="R137" s="24" t="n">
        <f aca="false">R49*($C$30+(INDEX(Assumptions!$F$44:$F$46,MATCH($C49,Assumptions!$A$44:$A$46,0))-$C$30)*MIN(1,R$45/$C$29))</f>
        <v>17.86</v>
      </c>
      <c r="S137" s="24" t="n">
        <f aca="false">S49*($C$30+(INDEX(Assumptions!$F$44:$F$46,MATCH($C49,Assumptions!$A$44:$A$46,0))-$C$30)*MIN(1,S$45/$C$29))</f>
        <v>17.86</v>
      </c>
      <c r="T137" s="24" t="n">
        <f aca="false">T49*($C$30+(INDEX(Assumptions!$F$44:$F$46,MATCH($C49,Assumptions!$A$44:$A$46,0))-$C$30)*MIN(1,T$45/$C$29))</f>
        <v>17.86</v>
      </c>
      <c r="U137" s="24" t="n">
        <f aca="false">U49*($C$30+(INDEX(Assumptions!$F$44:$F$46,MATCH($C49,Assumptions!$A$44:$A$46,0))-$C$30)*MIN(1,U$45/$C$29))</f>
        <v>17.86</v>
      </c>
      <c r="V137" s="24" t="n">
        <f aca="false">V49*($C$30+(INDEX(Assumptions!$F$44:$F$46,MATCH($C49,Assumptions!$A$44:$A$46,0))-$C$30)*MIN(1,V$45/$C$29))</f>
        <v>17.86</v>
      </c>
      <c r="W137" s="24" t="n">
        <f aca="false">W49*($C$30+(INDEX(Assumptions!$F$44:$F$46,MATCH($C49,Assumptions!$A$44:$A$46,0))-$C$30)*MIN(1,W$45/$C$29))</f>
        <v>17.86</v>
      </c>
      <c r="X137" s="24" t="n">
        <f aca="false">X49*($C$30+(INDEX(Assumptions!$F$44:$F$46,MATCH($C49,Assumptions!$A$44:$A$46,0))-$C$30)*MIN(1,X$45/$C$29))</f>
        <v>17.86</v>
      </c>
      <c r="Y137" s="24" t="n">
        <f aca="false">Y49*($C$30+(INDEX(Assumptions!$F$44:$F$46,MATCH($C49,Assumptions!$A$44:$A$46,0))-$C$30)*MIN(1,Y$45/$C$29))</f>
        <v>17.86</v>
      </c>
    </row>
    <row r="138" customFormat="false" ht="15" hidden="false" customHeight="false" outlineLevel="0" collapsed="false">
      <c r="A138" s="2" t="n">
        <f aca="false">A50</f>
        <v>3</v>
      </c>
      <c r="B138" s="2" t="str">
        <f aca="false">B50</f>
        <v>Pilot</v>
      </c>
      <c r="C138" s="2" t="str">
        <f aca="false">C50</f>
        <v>Assured</v>
      </c>
      <c r="D138" s="2"/>
      <c r="E138" s="2"/>
      <c r="F138" s="2"/>
      <c r="G138" s="2"/>
      <c r="H138" s="24" t="n">
        <f aca="false">H50*($C$30+(INDEX(Assumptions!$F$44:$F$46,MATCH($C50,Assumptions!$A$44:$A$46,0))-$C$30)*MIN(1,H$45/$C$29))</f>
        <v>13.4108333333333</v>
      </c>
      <c r="I138" s="24" t="n">
        <f aca="false">I50*($C$30+(INDEX(Assumptions!$F$44:$F$46,MATCH($C50,Assumptions!$A$44:$A$46,0))-$C$30)*MIN(1,I$45/$C$29))</f>
        <v>14.5138888888889</v>
      </c>
      <c r="J138" s="24" t="n">
        <f aca="false">J50*($C$30+(INDEX(Assumptions!$F$44:$F$46,MATCH($C50,Assumptions!$A$44:$A$46,0))-$C$30)*MIN(1,J$45/$C$29))</f>
        <v>15.6591666666667</v>
      </c>
      <c r="K138" s="24" t="n">
        <f aca="false">K50*($C$30+(INDEX(Assumptions!$F$44:$F$46,MATCH($C50,Assumptions!$A$44:$A$46,0))-$C$30)*MIN(1,K$45/$C$29))</f>
        <v>16.8466666666667</v>
      </c>
      <c r="L138" s="24" t="n">
        <f aca="false">L50*($C$30+(INDEX(Assumptions!$F$44:$F$46,MATCH($C50,Assumptions!$A$44:$A$46,0))-$C$30)*MIN(1,L$45/$C$29))</f>
        <v>17.3533333333333</v>
      </c>
      <c r="M138" s="24" t="n">
        <f aca="false">M50*($C$30+(INDEX(Assumptions!$F$44:$F$46,MATCH($C50,Assumptions!$A$44:$A$46,0))-$C$30)*MIN(1,M$45/$C$29))</f>
        <v>17.86</v>
      </c>
      <c r="N138" s="24" t="n">
        <f aca="false">N50*($C$30+(INDEX(Assumptions!$F$44:$F$46,MATCH($C50,Assumptions!$A$44:$A$46,0))-$C$30)*MIN(1,N$45/$C$29))</f>
        <v>17.86</v>
      </c>
      <c r="O138" s="24" t="n">
        <f aca="false">O50*($C$30+(INDEX(Assumptions!$F$44:$F$46,MATCH($C50,Assumptions!$A$44:$A$46,0))-$C$30)*MIN(1,O$45/$C$29))</f>
        <v>17.86</v>
      </c>
      <c r="P138" s="24" t="n">
        <f aca="false">P50*($C$30+(INDEX(Assumptions!$F$44:$F$46,MATCH($C50,Assumptions!$A$44:$A$46,0))-$C$30)*MIN(1,P$45/$C$29))</f>
        <v>17.86</v>
      </c>
      <c r="Q138" s="24" t="n">
        <f aca="false">Q50*($C$30+(INDEX(Assumptions!$F$44:$F$46,MATCH($C50,Assumptions!$A$44:$A$46,0))-$C$30)*MIN(1,Q$45/$C$29))</f>
        <v>17.86</v>
      </c>
      <c r="R138" s="24" t="n">
        <f aca="false">R50*($C$30+(INDEX(Assumptions!$F$44:$F$46,MATCH($C50,Assumptions!$A$44:$A$46,0))-$C$30)*MIN(1,R$45/$C$29))</f>
        <v>17.86</v>
      </c>
      <c r="S138" s="24" t="n">
        <f aca="false">S50*($C$30+(INDEX(Assumptions!$F$44:$F$46,MATCH($C50,Assumptions!$A$44:$A$46,0))-$C$30)*MIN(1,S$45/$C$29))</f>
        <v>17.86</v>
      </c>
      <c r="T138" s="24" t="n">
        <f aca="false">T50*($C$30+(INDEX(Assumptions!$F$44:$F$46,MATCH($C50,Assumptions!$A$44:$A$46,0))-$C$30)*MIN(1,T$45/$C$29))</f>
        <v>17.86</v>
      </c>
      <c r="U138" s="24" t="n">
        <f aca="false">U50*($C$30+(INDEX(Assumptions!$F$44:$F$46,MATCH($C50,Assumptions!$A$44:$A$46,0))-$C$30)*MIN(1,U$45/$C$29))</f>
        <v>17.86</v>
      </c>
      <c r="V138" s="24" t="n">
        <f aca="false">V50*($C$30+(INDEX(Assumptions!$F$44:$F$46,MATCH($C50,Assumptions!$A$44:$A$46,0))-$C$30)*MIN(1,V$45/$C$29))</f>
        <v>17.86</v>
      </c>
      <c r="W138" s="24" t="n">
        <f aca="false">W50*($C$30+(INDEX(Assumptions!$F$44:$F$46,MATCH($C50,Assumptions!$A$44:$A$46,0))-$C$30)*MIN(1,W$45/$C$29))</f>
        <v>17.86</v>
      </c>
      <c r="X138" s="24" t="n">
        <f aca="false">X50*($C$30+(INDEX(Assumptions!$F$44:$F$46,MATCH($C50,Assumptions!$A$44:$A$46,0))-$C$30)*MIN(1,X$45/$C$29))</f>
        <v>17.86</v>
      </c>
      <c r="Y138" s="24" t="n">
        <f aca="false">Y50*($C$30+(INDEX(Assumptions!$F$44:$F$46,MATCH($C50,Assumptions!$A$44:$A$46,0))-$C$30)*MIN(1,Y$45/$C$29))</f>
        <v>17.86</v>
      </c>
    </row>
    <row r="139" customFormat="false" ht="15" hidden="false" customHeight="false" outlineLevel="0" collapsed="false">
      <c r="A139" s="2" t="n">
        <f aca="false">A51</f>
        <v>4</v>
      </c>
      <c r="B139" s="2" t="str">
        <f aca="false">B51</f>
        <v>Pilot</v>
      </c>
      <c r="C139" s="2" t="str">
        <f aca="false">C51</f>
        <v>Assured</v>
      </c>
      <c r="D139" s="2"/>
      <c r="E139" s="2"/>
      <c r="F139" s="2"/>
      <c r="G139" s="2"/>
      <c r="H139" s="24" t="n">
        <f aca="false">H51*($C$30+(INDEX(Assumptions!$F$44:$F$46,MATCH($C51,Assumptions!$A$44:$A$46,0))-$C$30)*MIN(1,H$45/$C$29))</f>
        <v>13.4108333333333</v>
      </c>
      <c r="I139" s="24" t="n">
        <f aca="false">I51*($C$30+(INDEX(Assumptions!$F$44:$F$46,MATCH($C51,Assumptions!$A$44:$A$46,0))-$C$30)*MIN(1,I$45/$C$29))</f>
        <v>14.5138888888889</v>
      </c>
      <c r="J139" s="24" t="n">
        <f aca="false">J51*($C$30+(INDEX(Assumptions!$F$44:$F$46,MATCH($C51,Assumptions!$A$44:$A$46,0))-$C$30)*MIN(1,J$45/$C$29))</f>
        <v>15.6591666666667</v>
      </c>
      <c r="K139" s="24" t="n">
        <f aca="false">K51*($C$30+(INDEX(Assumptions!$F$44:$F$46,MATCH($C51,Assumptions!$A$44:$A$46,0))-$C$30)*MIN(1,K$45/$C$29))</f>
        <v>16.8466666666667</v>
      </c>
      <c r="L139" s="24" t="n">
        <f aca="false">L51*($C$30+(INDEX(Assumptions!$F$44:$F$46,MATCH($C51,Assumptions!$A$44:$A$46,0))-$C$30)*MIN(1,L$45/$C$29))</f>
        <v>17.3533333333333</v>
      </c>
      <c r="M139" s="24" t="n">
        <f aca="false">M51*($C$30+(INDEX(Assumptions!$F$44:$F$46,MATCH($C51,Assumptions!$A$44:$A$46,0))-$C$30)*MIN(1,M$45/$C$29))</f>
        <v>17.86</v>
      </c>
      <c r="N139" s="24" t="n">
        <f aca="false">N51*($C$30+(INDEX(Assumptions!$F$44:$F$46,MATCH($C51,Assumptions!$A$44:$A$46,0))-$C$30)*MIN(1,N$45/$C$29))</f>
        <v>17.86</v>
      </c>
      <c r="O139" s="24" t="n">
        <f aca="false">O51*($C$30+(INDEX(Assumptions!$F$44:$F$46,MATCH($C51,Assumptions!$A$44:$A$46,0))-$C$30)*MIN(1,O$45/$C$29))</f>
        <v>17.86</v>
      </c>
      <c r="P139" s="24" t="n">
        <f aca="false">P51*($C$30+(INDEX(Assumptions!$F$44:$F$46,MATCH($C51,Assumptions!$A$44:$A$46,0))-$C$30)*MIN(1,P$45/$C$29))</f>
        <v>17.86</v>
      </c>
      <c r="Q139" s="24" t="n">
        <f aca="false">Q51*($C$30+(INDEX(Assumptions!$F$44:$F$46,MATCH($C51,Assumptions!$A$44:$A$46,0))-$C$30)*MIN(1,Q$45/$C$29))</f>
        <v>17.86</v>
      </c>
      <c r="R139" s="24" t="n">
        <f aca="false">R51*($C$30+(INDEX(Assumptions!$F$44:$F$46,MATCH($C51,Assumptions!$A$44:$A$46,0))-$C$30)*MIN(1,R$45/$C$29))</f>
        <v>17.86</v>
      </c>
      <c r="S139" s="24" t="n">
        <f aca="false">S51*($C$30+(INDEX(Assumptions!$F$44:$F$46,MATCH($C51,Assumptions!$A$44:$A$46,0))-$C$30)*MIN(1,S$45/$C$29))</f>
        <v>17.86</v>
      </c>
      <c r="T139" s="24" t="n">
        <f aca="false">T51*($C$30+(INDEX(Assumptions!$F$44:$F$46,MATCH($C51,Assumptions!$A$44:$A$46,0))-$C$30)*MIN(1,T$45/$C$29))</f>
        <v>17.86</v>
      </c>
      <c r="U139" s="24" t="n">
        <f aca="false">U51*($C$30+(INDEX(Assumptions!$F$44:$F$46,MATCH($C51,Assumptions!$A$44:$A$46,0))-$C$30)*MIN(1,U$45/$C$29))</f>
        <v>17.86</v>
      </c>
      <c r="V139" s="24" t="n">
        <f aca="false">V51*($C$30+(INDEX(Assumptions!$F$44:$F$46,MATCH($C51,Assumptions!$A$44:$A$46,0))-$C$30)*MIN(1,V$45/$C$29))</f>
        <v>17.86</v>
      </c>
      <c r="W139" s="24" t="n">
        <f aca="false">W51*($C$30+(INDEX(Assumptions!$F$44:$F$46,MATCH($C51,Assumptions!$A$44:$A$46,0))-$C$30)*MIN(1,W$45/$C$29))</f>
        <v>17.86</v>
      </c>
      <c r="X139" s="24" t="n">
        <f aca="false">X51*($C$30+(INDEX(Assumptions!$F$44:$F$46,MATCH($C51,Assumptions!$A$44:$A$46,0))-$C$30)*MIN(1,X$45/$C$29))</f>
        <v>17.86</v>
      </c>
      <c r="Y139" s="24" t="n">
        <f aca="false">Y51*($C$30+(INDEX(Assumptions!$F$44:$F$46,MATCH($C51,Assumptions!$A$44:$A$46,0))-$C$30)*MIN(1,Y$45/$C$29))</f>
        <v>17.86</v>
      </c>
    </row>
    <row r="140" customFormat="false" ht="15" hidden="false" customHeight="false" outlineLevel="0" collapsed="false">
      <c r="A140" s="2" t="n">
        <f aca="false">A52</f>
        <v>5</v>
      </c>
      <c r="B140" s="2" t="str">
        <f aca="false">B52</f>
        <v>A</v>
      </c>
      <c r="C140" s="2" t="str">
        <f aca="false">C52</f>
        <v>Assured</v>
      </c>
      <c r="D140" s="2"/>
      <c r="E140" s="2"/>
      <c r="F140" s="2"/>
      <c r="G140" s="2"/>
      <c r="H140" s="24" t="n">
        <f aca="false">H52*($C$30+(INDEX(Assumptions!$F$44:$F$46,MATCH($C52,Assumptions!$A$44:$A$46,0))-$C$30)*MIN(1,H$45/$C$29))</f>
        <v>0</v>
      </c>
      <c r="I140" s="24" t="n">
        <f aca="false">I52*($C$30+(INDEX(Assumptions!$F$44:$F$46,MATCH($C52,Assumptions!$A$44:$A$46,0))-$C$30)*MIN(1,I$45/$C$29))</f>
        <v>0</v>
      </c>
      <c r="J140" s="24" t="n">
        <f aca="false">J52*($C$30+(INDEX(Assumptions!$F$44:$F$46,MATCH($C52,Assumptions!$A$44:$A$46,0))-$C$30)*MIN(1,J$45/$C$29))</f>
        <v>0</v>
      </c>
      <c r="K140" s="24" t="n">
        <f aca="false">K52*($C$30+(INDEX(Assumptions!$F$44:$F$46,MATCH($C52,Assumptions!$A$44:$A$46,0))-$C$30)*MIN(1,K$45/$C$29))</f>
        <v>0</v>
      </c>
      <c r="L140" s="24" t="n">
        <f aca="false">L52*($C$30+(INDEX(Assumptions!$F$44:$F$46,MATCH($C52,Assumptions!$A$44:$A$46,0))-$C$30)*MIN(1,L$45/$C$29))</f>
        <v>4.06068</v>
      </c>
      <c r="M140" s="24" t="n">
        <f aca="false">M52*($C$30+(INDEX(Assumptions!$F$44:$F$46,MATCH($C52,Assumptions!$A$44:$A$46,0))-$C$30)*MIN(1,M$45/$C$29))</f>
        <v>8.35848</v>
      </c>
      <c r="N140" s="24" t="n">
        <f aca="false">N52*($C$30+(INDEX(Assumptions!$F$44:$F$46,MATCH($C52,Assumptions!$A$44:$A$46,0))-$C$30)*MIN(1,N$45/$C$29))</f>
        <v>11.84118</v>
      </c>
      <c r="O140" s="24" t="n">
        <f aca="false">O52*($C$30+(INDEX(Assumptions!$F$44:$F$46,MATCH($C52,Assumptions!$A$44:$A$46,0))-$C$30)*MIN(1,O$45/$C$29))</f>
        <v>13.9308</v>
      </c>
      <c r="P140" s="24" t="n">
        <f aca="false">P52*($C$30+(INDEX(Assumptions!$F$44:$F$46,MATCH($C52,Assumptions!$A$44:$A$46,0))-$C$30)*MIN(1,P$45/$C$29))</f>
        <v>13.9308</v>
      </c>
      <c r="Q140" s="24" t="n">
        <f aca="false">Q52*($C$30+(INDEX(Assumptions!$F$44:$F$46,MATCH($C52,Assumptions!$A$44:$A$46,0))-$C$30)*MIN(1,Q$45/$C$29))</f>
        <v>13.9308</v>
      </c>
      <c r="R140" s="24" t="n">
        <f aca="false">R52*($C$30+(INDEX(Assumptions!$F$44:$F$46,MATCH($C52,Assumptions!$A$44:$A$46,0))-$C$30)*MIN(1,R$45/$C$29))</f>
        <v>13.9308</v>
      </c>
      <c r="S140" s="24" t="n">
        <f aca="false">S52*($C$30+(INDEX(Assumptions!$F$44:$F$46,MATCH($C52,Assumptions!$A$44:$A$46,0))-$C$30)*MIN(1,S$45/$C$29))</f>
        <v>13.9308</v>
      </c>
      <c r="T140" s="24" t="n">
        <f aca="false">T52*($C$30+(INDEX(Assumptions!$F$44:$F$46,MATCH($C52,Assumptions!$A$44:$A$46,0))-$C$30)*MIN(1,T$45/$C$29))</f>
        <v>13.9308</v>
      </c>
      <c r="U140" s="24" t="n">
        <f aca="false">U52*($C$30+(INDEX(Assumptions!$F$44:$F$46,MATCH($C52,Assumptions!$A$44:$A$46,0))-$C$30)*MIN(1,U$45/$C$29))</f>
        <v>13.9308</v>
      </c>
      <c r="V140" s="24" t="n">
        <f aca="false">V52*($C$30+(INDEX(Assumptions!$F$44:$F$46,MATCH($C52,Assumptions!$A$44:$A$46,0))-$C$30)*MIN(1,V$45/$C$29))</f>
        <v>13.9308</v>
      </c>
      <c r="W140" s="24" t="n">
        <f aca="false">W52*($C$30+(INDEX(Assumptions!$F$44:$F$46,MATCH($C52,Assumptions!$A$44:$A$46,0))-$C$30)*MIN(1,W$45/$C$29))</f>
        <v>13.9308</v>
      </c>
      <c r="X140" s="24" t="n">
        <f aca="false">X52*($C$30+(INDEX(Assumptions!$F$44:$F$46,MATCH($C52,Assumptions!$A$44:$A$46,0))-$C$30)*MIN(1,X$45/$C$29))</f>
        <v>13.9308</v>
      </c>
      <c r="Y140" s="24" t="n">
        <f aca="false">Y52*($C$30+(INDEX(Assumptions!$F$44:$F$46,MATCH($C52,Assumptions!$A$44:$A$46,0))-$C$30)*MIN(1,Y$45/$C$29))</f>
        <v>13.9308</v>
      </c>
    </row>
    <row r="141" customFormat="false" ht="15" hidden="false" customHeight="false" outlineLevel="0" collapsed="false">
      <c r="A141" s="2" t="n">
        <f aca="false">A53</f>
        <v>6</v>
      </c>
      <c r="B141" s="2" t="str">
        <f aca="false">B53</f>
        <v>A</v>
      </c>
      <c r="C141" s="2" t="str">
        <f aca="false">C53</f>
        <v>Assured</v>
      </c>
      <c r="D141" s="2"/>
      <c r="E141" s="2"/>
      <c r="F141" s="2"/>
      <c r="G141" s="2"/>
      <c r="H141" s="24" t="n">
        <f aca="false">H53*($C$30+(INDEX(Assumptions!$F$44:$F$46,MATCH($C53,Assumptions!$A$44:$A$46,0))-$C$30)*MIN(1,H$45/$C$29))</f>
        <v>0</v>
      </c>
      <c r="I141" s="24" t="n">
        <f aca="false">I53*($C$30+(INDEX(Assumptions!$F$44:$F$46,MATCH($C53,Assumptions!$A$44:$A$46,0))-$C$30)*MIN(1,I$45/$C$29))</f>
        <v>0</v>
      </c>
      <c r="J141" s="24" t="n">
        <f aca="false">J53*($C$30+(INDEX(Assumptions!$F$44:$F$46,MATCH($C53,Assumptions!$A$44:$A$46,0))-$C$30)*MIN(1,J$45/$C$29))</f>
        <v>0</v>
      </c>
      <c r="K141" s="24" t="n">
        <f aca="false">K53*($C$30+(INDEX(Assumptions!$F$44:$F$46,MATCH($C53,Assumptions!$A$44:$A$46,0))-$C$30)*MIN(1,K$45/$C$29))</f>
        <v>0</v>
      </c>
      <c r="L141" s="24" t="n">
        <f aca="false">L53*($C$30+(INDEX(Assumptions!$F$44:$F$46,MATCH($C53,Assumptions!$A$44:$A$46,0))-$C$30)*MIN(1,L$45/$C$29))</f>
        <v>4.06068</v>
      </c>
      <c r="M141" s="24" t="n">
        <f aca="false">M53*($C$30+(INDEX(Assumptions!$F$44:$F$46,MATCH($C53,Assumptions!$A$44:$A$46,0))-$C$30)*MIN(1,M$45/$C$29))</f>
        <v>8.35848</v>
      </c>
      <c r="N141" s="24" t="n">
        <f aca="false">N53*($C$30+(INDEX(Assumptions!$F$44:$F$46,MATCH($C53,Assumptions!$A$44:$A$46,0))-$C$30)*MIN(1,N$45/$C$29))</f>
        <v>11.84118</v>
      </c>
      <c r="O141" s="24" t="n">
        <f aca="false">O53*($C$30+(INDEX(Assumptions!$F$44:$F$46,MATCH($C53,Assumptions!$A$44:$A$46,0))-$C$30)*MIN(1,O$45/$C$29))</f>
        <v>13.9308</v>
      </c>
      <c r="P141" s="24" t="n">
        <f aca="false">P53*($C$30+(INDEX(Assumptions!$F$44:$F$46,MATCH($C53,Assumptions!$A$44:$A$46,0))-$C$30)*MIN(1,P$45/$C$29))</f>
        <v>13.9308</v>
      </c>
      <c r="Q141" s="24" t="n">
        <f aca="false">Q53*($C$30+(INDEX(Assumptions!$F$44:$F$46,MATCH($C53,Assumptions!$A$44:$A$46,0))-$C$30)*MIN(1,Q$45/$C$29))</f>
        <v>13.9308</v>
      </c>
      <c r="R141" s="24" t="n">
        <f aca="false">R53*($C$30+(INDEX(Assumptions!$F$44:$F$46,MATCH($C53,Assumptions!$A$44:$A$46,0))-$C$30)*MIN(1,R$45/$C$29))</f>
        <v>13.9308</v>
      </c>
      <c r="S141" s="24" t="n">
        <f aca="false">S53*($C$30+(INDEX(Assumptions!$F$44:$F$46,MATCH($C53,Assumptions!$A$44:$A$46,0))-$C$30)*MIN(1,S$45/$C$29))</f>
        <v>13.9308</v>
      </c>
      <c r="T141" s="24" t="n">
        <f aca="false">T53*($C$30+(INDEX(Assumptions!$F$44:$F$46,MATCH($C53,Assumptions!$A$44:$A$46,0))-$C$30)*MIN(1,T$45/$C$29))</f>
        <v>13.9308</v>
      </c>
      <c r="U141" s="24" t="n">
        <f aca="false">U53*($C$30+(INDEX(Assumptions!$F$44:$F$46,MATCH($C53,Assumptions!$A$44:$A$46,0))-$C$30)*MIN(1,U$45/$C$29))</f>
        <v>13.9308</v>
      </c>
      <c r="V141" s="24" t="n">
        <f aca="false">V53*($C$30+(INDEX(Assumptions!$F$44:$F$46,MATCH($C53,Assumptions!$A$44:$A$46,0))-$C$30)*MIN(1,V$45/$C$29))</f>
        <v>13.9308</v>
      </c>
      <c r="W141" s="24" t="n">
        <f aca="false">W53*($C$30+(INDEX(Assumptions!$F$44:$F$46,MATCH($C53,Assumptions!$A$44:$A$46,0))-$C$30)*MIN(1,W$45/$C$29))</f>
        <v>13.9308</v>
      </c>
      <c r="X141" s="24" t="n">
        <f aca="false">X53*($C$30+(INDEX(Assumptions!$F$44:$F$46,MATCH($C53,Assumptions!$A$44:$A$46,0))-$C$30)*MIN(1,X$45/$C$29))</f>
        <v>13.9308</v>
      </c>
      <c r="Y141" s="24" t="n">
        <f aca="false">Y53*($C$30+(INDEX(Assumptions!$F$44:$F$46,MATCH($C53,Assumptions!$A$44:$A$46,0))-$C$30)*MIN(1,Y$45/$C$29))</f>
        <v>13.9308</v>
      </c>
    </row>
    <row r="142" customFormat="false" ht="15" hidden="false" customHeight="false" outlineLevel="0" collapsed="false">
      <c r="A142" s="2" t="n">
        <f aca="false">A54</f>
        <v>7</v>
      </c>
      <c r="B142" s="2" t="str">
        <f aca="false">B54</f>
        <v>A</v>
      </c>
      <c r="C142" s="2" t="str">
        <f aca="false">C54</f>
        <v>Assured</v>
      </c>
      <c r="D142" s="2"/>
      <c r="E142" s="2"/>
      <c r="F142" s="2"/>
      <c r="G142" s="2"/>
      <c r="H142" s="24" t="n">
        <f aca="false">H54*($C$30+(INDEX(Assumptions!$F$44:$F$46,MATCH($C54,Assumptions!$A$44:$A$46,0))-$C$30)*MIN(1,H$45/$C$29))</f>
        <v>0</v>
      </c>
      <c r="I142" s="24" t="n">
        <f aca="false">I54*($C$30+(INDEX(Assumptions!$F$44:$F$46,MATCH($C54,Assumptions!$A$44:$A$46,0))-$C$30)*MIN(1,I$45/$C$29))</f>
        <v>0</v>
      </c>
      <c r="J142" s="24" t="n">
        <f aca="false">J54*($C$30+(INDEX(Assumptions!$F$44:$F$46,MATCH($C54,Assumptions!$A$44:$A$46,0))-$C$30)*MIN(1,J$45/$C$29))</f>
        <v>0</v>
      </c>
      <c r="K142" s="24" t="n">
        <f aca="false">K54*($C$30+(INDEX(Assumptions!$F$44:$F$46,MATCH($C54,Assumptions!$A$44:$A$46,0))-$C$30)*MIN(1,K$45/$C$29))</f>
        <v>0</v>
      </c>
      <c r="L142" s="24" t="n">
        <f aca="false">L54*($C$30+(INDEX(Assumptions!$F$44:$F$46,MATCH($C54,Assumptions!$A$44:$A$46,0))-$C$30)*MIN(1,L$45/$C$29))</f>
        <v>0</v>
      </c>
      <c r="M142" s="24" t="n">
        <f aca="false">M54*($C$30+(INDEX(Assumptions!$F$44:$F$46,MATCH($C54,Assumptions!$A$44:$A$46,0))-$C$30)*MIN(1,M$45/$C$29))</f>
        <v>4.17924</v>
      </c>
      <c r="N142" s="24" t="n">
        <f aca="false">N54*($C$30+(INDEX(Assumptions!$F$44:$F$46,MATCH($C54,Assumptions!$A$44:$A$46,0))-$C$30)*MIN(1,N$45/$C$29))</f>
        <v>8.35848</v>
      </c>
      <c r="O142" s="24" t="n">
        <f aca="false">O54*($C$30+(INDEX(Assumptions!$F$44:$F$46,MATCH($C54,Assumptions!$A$44:$A$46,0))-$C$30)*MIN(1,O$45/$C$29))</f>
        <v>11.84118</v>
      </c>
      <c r="P142" s="24" t="n">
        <f aca="false">P54*($C$30+(INDEX(Assumptions!$F$44:$F$46,MATCH($C54,Assumptions!$A$44:$A$46,0))-$C$30)*MIN(1,P$45/$C$29))</f>
        <v>13.9308</v>
      </c>
      <c r="Q142" s="24" t="n">
        <f aca="false">Q54*($C$30+(INDEX(Assumptions!$F$44:$F$46,MATCH($C54,Assumptions!$A$44:$A$46,0))-$C$30)*MIN(1,Q$45/$C$29))</f>
        <v>13.9308</v>
      </c>
      <c r="R142" s="24" t="n">
        <f aca="false">R54*($C$30+(INDEX(Assumptions!$F$44:$F$46,MATCH($C54,Assumptions!$A$44:$A$46,0))-$C$30)*MIN(1,R$45/$C$29))</f>
        <v>13.9308</v>
      </c>
      <c r="S142" s="24" t="n">
        <f aca="false">S54*($C$30+(INDEX(Assumptions!$F$44:$F$46,MATCH($C54,Assumptions!$A$44:$A$46,0))-$C$30)*MIN(1,S$45/$C$29))</f>
        <v>13.9308</v>
      </c>
      <c r="T142" s="24" t="n">
        <f aca="false">T54*($C$30+(INDEX(Assumptions!$F$44:$F$46,MATCH($C54,Assumptions!$A$44:$A$46,0))-$C$30)*MIN(1,T$45/$C$29))</f>
        <v>13.9308</v>
      </c>
      <c r="U142" s="24" t="n">
        <f aca="false">U54*($C$30+(INDEX(Assumptions!$F$44:$F$46,MATCH($C54,Assumptions!$A$44:$A$46,0))-$C$30)*MIN(1,U$45/$C$29))</f>
        <v>13.9308</v>
      </c>
      <c r="V142" s="24" t="n">
        <f aca="false">V54*($C$30+(INDEX(Assumptions!$F$44:$F$46,MATCH($C54,Assumptions!$A$44:$A$46,0))-$C$30)*MIN(1,V$45/$C$29))</f>
        <v>13.9308</v>
      </c>
      <c r="W142" s="24" t="n">
        <f aca="false">W54*($C$30+(INDEX(Assumptions!$F$44:$F$46,MATCH($C54,Assumptions!$A$44:$A$46,0))-$C$30)*MIN(1,W$45/$C$29))</f>
        <v>13.9308</v>
      </c>
      <c r="X142" s="24" t="n">
        <f aca="false">X54*($C$30+(INDEX(Assumptions!$F$44:$F$46,MATCH($C54,Assumptions!$A$44:$A$46,0))-$C$30)*MIN(1,X$45/$C$29))</f>
        <v>13.9308</v>
      </c>
      <c r="Y142" s="24" t="n">
        <f aca="false">Y54*($C$30+(INDEX(Assumptions!$F$44:$F$46,MATCH($C54,Assumptions!$A$44:$A$46,0))-$C$30)*MIN(1,Y$45/$C$29))</f>
        <v>13.9308</v>
      </c>
    </row>
    <row r="143" customFormat="false" ht="15" hidden="false" customHeight="false" outlineLevel="0" collapsed="false">
      <c r="A143" s="2" t="n">
        <f aca="false">A55</f>
        <v>8</v>
      </c>
      <c r="B143" s="2" t="str">
        <f aca="false">B55</f>
        <v>A</v>
      </c>
      <c r="C143" s="2" t="str">
        <f aca="false">C55</f>
        <v>Assured</v>
      </c>
      <c r="D143" s="2"/>
      <c r="E143" s="2"/>
      <c r="F143" s="2"/>
      <c r="G143" s="2"/>
      <c r="H143" s="24" t="n">
        <f aca="false">H55*($C$30+(INDEX(Assumptions!$F$44:$F$46,MATCH($C55,Assumptions!$A$44:$A$46,0))-$C$30)*MIN(1,H$45/$C$29))</f>
        <v>0</v>
      </c>
      <c r="I143" s="24" t="n">
        <f aca="false">I55*($C$30+(INDEX(Assumptions!$F$44:$F$46,MATCH($C55,Assumptions!$A$44:$A$46,0))-$C$30)*MIN(1,I$45/$C$29))</f>
        <v>0</v>
      </c>
      <c r="J143" s="24" t="n">
        <f aca="false">J55*($C$30+(INDEX(Assumptions!$F$44:$F$46,MATCH($C55,Assumptions!$A$44:$A$46,0))-$C$30)*MIN(1,J$45/$C$29))</f>
        <v>0</v>
      </c>
      <c r="K143" s="24" t="n">
        <f aca="false">K55*($C$30+(INDEX(Assumptions!$F$44:$F$46,MATCH($C55,Assumptions!$A$44:$A$46,0))-$C$30)*MIN(1,K$45/$C$29))</f>
        <v>0</v>
      </c>
      <c r="L143" s="24" t="n">
        <f aca="false">L55*($C$30+(INDEX(Assumptions!$F$44:$F$46,MATCH($C55,Assumptions!$A$44:$A$46,0))-$C$30)*MIN(1,L$45/$C$29))</f>
        <v>0</v>
      </c>
      <c r="M143" s="24" t="n">
        <f aca="false">M55*($C$30+(INDEX(Assumptions!$F$44:$F$46,MATCH($C55,Assumptions!$A$44:$A$46,0))-$C$30)*MIN(1,M$45/$C$29))</f>
        <v>4.17924</v>
      </c>
      <c r="N143" s="24" t="n">
        <f aca="false">N55*($C$30+(INDEX(Assumptions!$F$44:$F$46,MATCH($C55,Assumptions!$A$44:$A$46,0))-$C$30)*MIN(1,N$45/$C$29))</f>
        <v>8.35848</v>
      </c>
      <c r="O143" s="24" t="n">
        <f aca="false">O55*($C$30+(INDEX(Assumptions!$F$44:$F$46,MATCH($C55,Assumptions!$A$44:$A$46,0))-$C$30)*MIN(1,O$45/$C$29))</f>
        <v>11.84118</v>
      </c>
      <c r="P143" s="24" t="n">
        <f aca="false">P55*($C$30+(INDEX(Assumptions!$F$44:$F$46,MATCH($C55,Assumptions!$A$44:$A$46,0))-$C$30)*MIN(1,P$45/$C$29))</f>
        <v>13.9308</v>
      </c>
      <c r="Q143" s="24" t="n">
        <f aca="false">Q55*($C$30+(INDEX(Assumptions!$F$44:$F$46,MATCH($C55,Assumptions!$A$44:$A$46,0))-$C$30)*MIN(1,Q$45/$C$29))</f>
        <v>13.9308</v>
      </c>
      <c r="R143" s="24" t="n">
        <f aca="false">R55*($C$30+(INDEX(Assumptions!$F$44:$F$46,MATCH($C55,Assumptions!$A$44:$A$46,0))-$C$30)*MIN(1,R$45/$C$29))</f>
        <v>13.9308</v>
      </c>
      <c r="S143" s="24" t="n">
        <f aca="false">S55*($C$30+(INDEX(Assumptions!$F$44:$F$46,MATCH($C55,Assumptions!$A$44:$A$46,0))-$C$30)*MIN(1,S$45/$C$29))</f>
        <v>13.9308</v>
      </c>
      <c r="T143" s="24" t="n">
        <f aca="false">T55*($C$30+(INDEX(Assumptions!$F$44:$F$46,MATCH($C55,Assumptions!$A$44:$A$46,0))-$C$30)*MIN(1,T$45/$C$29))</f>
        <v>13.9308</v>
      </c>
      <c r="U143" s="24" t="n">
        <f aca="false">U55*($C$30+(INDEX(Assumptions!$F$44:$F$46,MATCH($C55,Assumptions!$A$44:$A$46,0))-$C$30)*MIN(1,U$45/$C$29))</f>
        <v>13.9308</v>
      </c>
      <c r="V143" s="24" t="n">
        <f aca="false">V55*($C$30+(INDEX(Assumptions!$F$44:$F$46,MATCH($C55,Assumptions!$A$44:$A$46,0))-$C$30)*MIN(1,V$45/$C$29))</f>
        <v>13.9308</v>
      </c>
      <c r="W143" s="24" t="n">
        <f aca="false">W55*($C$30+(INDEX(Assumptions!$F$44:$F$46,MATCH($C55,Assumptions!$A$44:$A$46,0))-$C$30)*MIN(1,W$45/$C$29))</f>
        <v>13.9308</v>
      </c>
      <c r="X143" s="24" t="n">
        <f aca="false">X55*($C$30+(INDEX(Assumptions!$F$44:$F$46,MATCH($C55,Assumptions!$A$44:$A$46,0))-$C$30)*MIN(1,X$45/$C$29))</f>
        <v>13.9308</v>
      </c>
      <c r="Y143" s="24" t="n">
        <f aca="false">Y55*($C$30+(INDEX(Assumptions!$F$44:$F$46,MATCH($C55,Assumptions!$A$44:$A$46,0))-$C$30)*MIN(1,Y$45/$C$29))</f>
        <v>13.9308</v>
      </c>
    </row>
    <row r="144" customFormat="false" ht="15" hidden="false" customHeight="false" outlineLevel="0" collapsed="false">
      <c r="A144" s="2" t="n">
        <f aca="false">A56</f>
        <v>9</v>
      </c>
      <c r="B144" s="2" t="str">
        <f aca="false">B56</f>
        <v>A</v>
      </c>
      <c r="C144" s="2" t="str">
        <f aca="false">C56</f>
        <v>Assured</v>
      </c>
      <c r="D144" s="2"/>
      <c r="E144" s="2"/>
      <c r="F144" s="2"/>
      <c r="G144" s="2"/>
      <c r="H144" s="24" t="n">
        <f aca="false">H56*($C$30+(INDEX(Assumptions!$F$44:$F$46,MATCH($C56,Assumptions!$A$44:$A$46,0))-$C$30)*MIN(1,H$45/$C$29))</f>
        <v>0</v>
      </c>
      <c r="I144" s="24" t="n">
        <f aca="false">I56*($C$30+(INDEX(Assumptions!$F$44:$F$46,MATCH($C56,Assumptions!$A$44:$A$46,0))-$C$30)*MIN(1,I$45/$C$29))</f>
        <v>0</v>
      </c>
      <c r="J144" s="24" t="n">
        <f aca="false">J56*($C$30+(INDEX(Assumptions!$F$44:$F$46,MATCH($C56,Assumptions!$A$44:$A$46,0))-$C$30)*MIN(1,J$45/$C$29))</f>
        <v>0</v>
      </c>
      <c r="K144" s="24" t="n">
        <f aca="false">K56*($C$30+(INDEX(Assumptions!$F$44:$F$46,MATCH($C56,Assumptions!$A$44:$A$46,0))-$C$30)*MIN(1,K$45/$C$29))</f>
        <v>0</v>
      </c>
      <c r="L144" s="24" t="n">
        <f aca="false">L56*($C$30+(INDEX(Assumptions!$F$44:$F$46,MATCH($C56,Assumptions!$A$44:$A$46,0))-$C$30)*MIN(1,L$45/$C$29))</f>
        <v>0</v>
      </c>
      <c r="M144" s="24" t="n">
        <f aca="false">M56*($C$30+(INDEX(Assumptions!$F$44:$F$46,MATCH($C56,Assumptions!$A$44:$A$46,0))-$C$30)*MIN(1,M$45/$C$29))</f>
        <v>0</v>
      </c>
      <c r="N144" s="24" t="n">
        <f aca="false">N56*($C$30+(INDEX(Assumptions!$F$44:$F$46,MATCH($C56,Assumptions!$A$44:$A$46,0))-$C$30)*MIN(1,N$45/$C$29))</f>
        <v>4.17924</v>
      </c>
      <c r="O144" s="24" t="n">
        <f aca="false">O56*($C$30+(INDEX(Assumptions!$F$44:$F$46,MATCH($C56,Assumptions!$A$44:$A$46,0))-$C$30)*MIN(1,O$45/$C$29))</f>
        <v>8.35848</v>
      </c>
      <c r="P144" s="24" t="n">
        <f aca="false">P56*($C$30+(INDEX(Assumptions!$F$44:$F$46,MATCH($C56,Assumptions!$A$44:$A$46,0))-$C$30)*MIN(1,P$45/$C$29))</f>
        <v>11.84118</v>
      </c>
      <c r="Q144" s="24" t="n">
        <f aca="false">Q56*($C$30+(INDEX(Assumptions!$F$44:$F$46,MATCH($C56,Assumptions!$A$44:$A$46,0))-$C$30)*MIN(1,Q$45/$C$29))</f>
        <v>13.9308</v>
      </c>
      <c r="R144" s="24" t="n">
        <f aca="false">R56*($C$30+(INDEX(Assumptions!$F$44:$F$46,MATCH($C56,Assumptions!$A$44:$A$46,0))-$C$30)*MIN(1,R$45/$C$29))</f>
        <v>13.9308</v>
      </c>
      <c r="S144" s="24" t="n">
        <f aca="false">S56*($C$30+(INDEX(Assumptions!$F$44:$F$46,MATCH($C56,Assumptions!$A$44:$A$46,0))-$C$30)*MIN(1,S$45/$C$29))</f>
        <v>13.9308</v>
      </c>
      <c r="T144" s="24" t="n">
        <f aca="false">T56*($C$30+(INDEX(Assumptions!$F$44:$F$46,MATCH($C56,Assumptions!$A$44:$A$46,0))-$C$30)*MIN(1,T$45/$C$29))</f>
        <v>13.9308</v>
      </c>
      <c r="U144" s="24" t="n">
        <f aca="false">U56*($C$30+(INDEX(Assumptions!$F$44:$F$46,MATCH($C56,Assumptions!$A$44:$A$46,0))-$C$30)*MIN(1,U$45/$C$29))</f>
        <v>13.9308</v>
      </c>
      <c r="V144" s="24" t="n">
        <f aca="false">V56*($C$30+(INDEX(Assumptions!$F$44:$F$46,MATCH($C56,Assumptions!$A$44:$A$46,0))-$C$30)*MIN(1,V$45/$C$29))</f>
        <v>13.9308</v>
      </c>
      <c r="W144" s="24" t="n">
        <f aca="false">W56*($C$30+(INDEX(Assumptions!$F$44:$F$46,MATCH($C56,Assumptions!$A$44:$A$46,0))-$C$30)*MIN(1,W$45/$C$29))</f>
        <v>13.9308</v>
      </c>
      <c r="X144" s="24" t="n">
        <f aca="false">X56*($C$30+(INDEX(Assumptions!$F$44:$F$46,MATCH($C56,Assumptions!$A$44:$A$46,0))-$C$30)*MIN(1,X$45/$C$29))</f>
        <v>13.9308</v>
      </c>
      <c r="Y144" s="24" t="n">
        <f aca="false">Y56*($C$30+(INDEX(Assumptions!$F$44:$F$46,MATCH($C56,Assumptions!$A$44:$A$46,0))-$C$30)*MIN(1,Y$45/$C$29))</f>
        <v>13.9308</v>
      </c>
    </row>
    <row r="145" customFormat="false" ht="15" hidden="false" customHeight="false" outlineLevel="0" collapsed="false">
      <c r="A145" s="2" t="n">
        <f aca="false">A57</f>
        <v>10</v>
      </c>
      <c r="B145" s="2" t="str">
        <f aca="false">B57</f>
        <v>C</v>
      </c>
      <c r="C145" s="2" t="str">
        <f aca="false">C57</f>
        <v>Assured</v>
      </c>
      <c r="D145" s="2"/>
      <c r="E145" s="2"/>
      <c r="F145" s="2"/>
      <c r="G145" s="2"/>
      <c r="H145" s="24" t="n">
        <f aca="false">H57*($C$30+(INDEX(Assumptions!$F$44:$F$46,MATCH($C57,Assumptions!$A$44:$A$46,0))-$C$30)*MIN(1,H$45/$C$29))</f>
        <v>0</v>
      </c>
      <c r="I145" s="24" t="n">
        <f aca="false">I57*($C$30+(INDEX(Assumptions!$F$44:$F$46,MATCH($C57,Assumptions!$A$44:$A$46,0))-$C$30)*MIN(1,I$45/$C$29))</f>
        <v>0</v>
      </c>
      <c r="J145" s="24" t="n">
        <f aca="false">J57*($C$30+(INDEX(Assumptions!$F$44:$F$46,MATCH($C57,Assumptions!$A$44:$A$46,0))-$C$30)*MIN(1,J$45/$C$29))</f>
        <v>0</v>
      </c>
      <c r="K145" s="24" t="n">
        <f aca="false">K57*($C$30+(INDEX(Assumptions!$F$44:$F$46,MATCH($C57,Assumptions!$A$44:$A$46,0))-$C$30)*MIN(1,K$45/$C$29))</f>
        <v>0</v>
      </c>
      <c r="L145" s="24" t="n">
        <f aca="false">L57*($C$30+(INDEX(Assumptions!$F$44:$F$46,MATCH($C57,Assumptions!$A$44:$A$46,0))-$C$30)*MIN(1,L$45/$C$29))</f>
        <v>0</v>
      </c>
      <c r="M145" s="24" t="n">
        <f aca="false">M57*($C$30+(INDEX(Assumptions!$F$44:$F$46,MATCH($C57,Assumptions!$A$44:$A$46,0))-$C$30)*MIN(1,M$45/$C$29))</f>
        <v>0</v>
      </c>
      <c r="N145" s="24" t="n">
        <f aca="false">N57*($C$30+(INDEX(Assumptions!$F$44:$F$46,MATCH($C57,Assumptions!$A$44:$A$46,0))-$C$30)*MIN(1,N$45/$C$29))</f>
        <v>0</v>
      </c>
      <c r="O145" s="24" t="n">
        <f aca="false">O57*($C$30+(INDEX(Assumptions!$F$44:$F$46,MATCH($C57,Assumptions!$A$44:$A$46,0))-$C$30)*MIN(1,O$45/$C$29))</f>
        <v>4.52751</v>
      </c>
      <c r="P145" s="24" t="n">
        <f aca="false">P57*($C$30+(INDEX(Assumptions!$F$44:$F$46,MATCH($C57,Assumptions!$A$44:$A$46,0))-$C$30)*MIN(1,P$45/$C$29))</f>
        <v>9.05502</v>
      </c>
      <c r="Q145" s="24" t="n">
        <f aca="false">Q57*($C$30+(INDEX(Assumptions!$F$44:$F$46,MATCH($C57,Assumptions!$A$44:$A$46,0))-$C$30)*MIN(1,Q$45/$C$29))</f>
        <v>12.827945</v>
      </c>
      <c r="R145" s="24" t="n">
        <f aca="false">R57*($C$30+(INDEX(Assumptions!$F$44:$F$46,MATCH($C57,Assumptions!$A$44:$A$46,0))-$C$30)*MIN(1,R$45/$C$29))</f>
        <v>15.0917</v>
      </c>
      <c r="S145" s="24" t="n">
        <f aca="false">S57*($C$30+(INDEX(Assumptions!$F$44:$F$46,MATCH($C57,Assumptions!$A$44:$A$46,0))-$C$30)*MIN(1,S$45/$C$29))</f>
        <v>15.0917</v>
      </c>
      <c r="T145" s="24" t="n">
        <f aca="false">T57*($C$30+(INDEX(Assumptions!$F$44:$F$46,MATCH($C57,Assumptions!$A$44:$A$46,0))-$C$30)*MIN(1,T$45/$C$29))</f>
        <v>15.0917</v>
      </c>
      <c r="U145" s="24" t="n">
        <f aca="false">U57*($C$30+(INDEX(Assumptions!$F$44:$F$46,MATCH($C57,Assumptions!$A$44:$A$46,0))-$C$30)*MIN(1,U$45/$C$29))</f>
        <v>15.0917</v>
      </c>
      <c r="V145" s="24" t="n">
        <f aca="false">V57*($C$30+(INDEX(Assumptions!$F$44:$F$46,MATCH($C57,Assumptions!$A$44:$A$46,0))-$C$30)*MIN(1,V$45/$C$29))</f>
        <v>15.0917</v>
      </c>
      <c r="W145" s="24" t="n">
        <f aca="false">W57*($C$30+(INDEX(Assumptions!$F$44:$F$46,MATCH($C57,Assumptions!$A$44:$A$46,0))-$C$30)*MIN(1,W$45/$C$29))</f>
        <v>15.0917</v>
      </c>
      <c r="X145" s="24" t="n">
        <f aca="false">X57*($C$30+(INDEX(Assumptions!$F$44:$F$46,MATCH($C57,Assumptions!$A$44:$A$46,0))-$C$30)*MIN(1,X$45/$C$29))</f>
        <v>15.0917</v>
      </c>
      <c r="Y145" s="24" t="n">
        <f aca="false">Y57*($C$30+(INDEX(Assumptions!$F$44:$F$46,MATCH($C57,Assumptions!$A$44:$A$46,0))-$C$30)*MIN(1,Y$45/$C$29))</f>
        <v>15.0917</v>
      </c>
    </row>
    <row r="146" customFormat="false" ht="15" hidden="false" customHeight="false" outlineLevel="0" collapsed="false">
      <c r="A146" s="2" t="n">
        <f aca="false">A58</f>
        <v>11</v>
      </c>
      <c r="B146" s="2" t="str">
        <f aca="false">B58</f>
        <v>C</v>
      </c>
      <c r="C146" s="2" t="str">
        <f aca="false">C58</f>
        <v>Assured</v>
      </c>
      <c r="D146" s="2"/>
      <c r="E146" s="2"/>
      <c r="F146" s="2"/>
      <c r="G146" s="2"/>
      <c r="H146" s="24" t="n">
        <f aca="false">H58*($C$30+(INDEX(Assumptions!$F$44:$F$46,MATCH($C58,Assumptions!$A$44:$A$46,0))-$C$30)*MIN(1,H$45/$C$29))</f>
        <v>0</v>
      </c>
      <c r="I146" s="24" t="n">
        <f aca="false">I58*($C$30+(INDEX(Assumptions!$F$44:$F$46,MATCH($C58,Assumptions!$A$44:$A$46,0))-$C$30)*MIN(1,I$45/$C$29))</f>
        <v>0</v>
      </c>
      <c r="J146" s="24" t="n">
        <f aca="false">J58*($C$30+(INDEX(Assumptions!$F$44:$F$46,MATCH($C58,Assumptions!$A$44:$A$46,0))-$C$30)*MIN(1,J$45/$C$29))</f>
        <v>0</v>
      </c>
      <c r="K146" s="24" t="n">
        <f aca="false">K58*($C$30+(INDEX(Assumptions!$F$44:$F$46,MATCH($C58,Assumptions!$A$44:$A$46,0))-$C$30)*MIN(1,K$45/$C$29))</f>
        <v>0</v>
      </c>
      <c r="L146" s="24" t="n">
        <f aca="false">L58*($C$30+(INDEX(Assumptions!$F$44:$F$46,MATCH($C58,Assumptions!$A$44:$A$46,0))-$C$30)*MIN(1,L$45/$C$29))</f>
        <v>0</v>
      </c>
      <c r="M146" s="24" t="n">
        <f aca="false">M58*($C$30+(INDEX(Assumptions!$F$44:$F$46,MATCH($C58,Assumptions!$A$44:$A$46,0))-$C$30)*MIN(1,M$45/$C$29))</f>
        <v>0</v>
      </c>
      <c r="N146" s="24" t="n">
        <f aca="false">N58*($C$30+(INDEX(Assumptions!$F$44:$F$46,MATCH($C58,Assumptions!$A$44:$A$46,0))-$C$30)*MIN(1,N$45/$C$29))</f>
        <v>0</v>
      </c>
      <c r="O146" s="24" t="n">
        <f aca="false">O58*($C$30+(INDEX(Assumptions!$F$44:$F$46,MATCH($C58,Assumptions!$A$44:$A$46,0))-$C$30)*MIN(1,O$45/$C$29))</f>
        <v>0</v>
      </c>
      <c r="P146" s="24" t="n">
        <f aca="false">P58*($C$30+(INDEX(Assumptions!$F$44:$F$46,MATCH($C58,Assumptions!$A$44:$A$46,0))-$C$30)*MIN(1,P$45/$C$29))</f>
        <v>4.52751</v>
      </c>
      <c r="Q146" s="24" t="n">
        <f aca="false">Q58*($C$30+(INDEX(Assumptions!$F$44:$F$46,MATCH($C58,Assumptions!$A$44:$A$46,0))-$C$30)*MIN(1,Q$45/$C$29))</f>
        <v>9.05502</v>
      </c>
      <c r="R146" s="24" t="n">
        <f aca="false">R58*($C$30+(INDEX(Assumptions!$F$44:$F$46,MATCH($C58,Assumptions!$A$44:$A$46,0))-$C$30)*MIN(1,R$45/$C$29))</f>
        <v>12.827945</v>
      </c>
      <c r="S146" s="24" t="n">
        <f aca="false">S58*($C$30+(INDEX(Assumptions!$F$44:$F$46,MATCH($C58,Assumptions!$A$44:$A$46,0))-$C$30)*MIN(1,S$45/$C$29))</f>
        <v>15.0917</v>
      </c>
      <c r="T146" s="24" t="n">
        <f aca="false">T58*($C$30+(INDEX(Assumptions!$F$44:$F$46,MATCH($C58,Assumptions!$A$44:$A$46,0))-$C$30)*MIN(1,T$45/$C$29))</f>
        <v>15.0917</v>
      </c>
      <c r="U146" s="24" t="n">
        <f aca="false">U58*($C$30+(INDEX(Assumptions!$F$44:$F$46,MATCH($C58,Assumptions!$A$44:$A$46,0))-$C$30)*MIN(1,U$45/$C$29))</f>
        <v>15.0917</v>
      </c>
      <c r="V146" s="24" t="n">
        <f aca="false">V58*($C$30+(INDEX(Assumptions!$F$44:$F$46,MATCH($C58,Assumptions!$A$44:$A$46,0))-$C$30)*MIN(1,V$45/$C$29))</f>
        <v>15.0917</v>
      </c>
      <c r="W146" s="24" t="n">
        <f aca="false">W58*($C$30+(INDEX(Assumptions!$F$44:$F$46,MATCH($C58,Assumptions!$A$44:$A$46,0))-$C$30)*MIN(1,W$45/$C$29))</f>
        <v>15.0917</v>
      </c>
      <c r="X146" s="24" t="n">
        <f aca="false">X58*($C$30+(INDEX(Assumptions!$F$44:$F$46,MATCH($C58,Assumptions!$A$44:$A$46,0))-$C$30)*MIN(1,X$45/$C$29))</f>
        <v>15.0917</v>
      </c>
      <c r="Y146" s="24" t="n">
        <f aca="false">Y58*($C$30+(INDEX(Assumptions!$F$44:$F$46,MATCH($C58,Assumptions!$A$44:$A$46,0))-$C$30)*MIN(1,Y$45/$C$29))</f>
        <v>15.0917</v>
      </c>
    </row>
    <row r="147" customFormat="false" ht="15" hidden="false" customHeight="false" outlineLevel="0" collapsed="false">
      <c r="A147" s="2" t="n">
        <f aca="false">A59</f>
        <v>12</v>
      </c>
      <c r="B147" s="2" t="str">
        <f aca="false">B59</f>
        <v>C</v>
      </c>
      <c r="C147" s="2" t="str">
        <f aca="false">C59</f>
        <v>Assured</v>
      </c>
      <c r="D147" s="2"/>
      <c r="E147" s="2"/>
      <c r="F147" s="2"/>
      <c r="G147" s="2"/>
      <c r="H147" s="24" t="n">
        <f aca="false">H59*($C$30+(INDEX(Assumptions!$F$44:$F$46,MATCH($C59,Assumptions!$A$44:$A$46,0))-$C$30)*MIN(1,H$45/$C$29))</f>
        <v>0</v>
      </c>
      <c r="I147" s="24" t="n">
        <f aca="false">I59*($C$30+(INDEX(Assumptions!$F$44:$F$46,MATCH($C59,Assumptions!$A$44:$A$46,0))-$C$30)*MIN(1,I$45/$C$29))</f>
        <v>0</v>
      </c>
      <c r="J147" s="24" t="n">
        <f aca="false">J59*($C$30+(INDEX(Assumptions!$F$44:$F$46,MATCH($C59,Assumptions!$A$44:$A$46,0))-$C$30)*MIN(1,J$45/$C$29))</f>
        <v>0</v>
      </c>
      <c r="K147" s="24" t="n">
        <f aca="false">K59*($C$30+(INDEX(Assumptions!$F$44:$F$46,MATCH($C59,Assumptions!$A$44:$A$46,0))-$C$30)*MIN(1,K$45/$C$29))</f>
        <v>0</v>
      </c>
      <c r="L147" s="24" t="n">
        <f aca="false">L59*($C$30+(INDEX(Assumptions!$F$44:$F$46,MATCH($C59,Assumptions!$A$44:$A$46,0))-$C$30)*MIN(1,L$45/$C$29))</f>
        <v>0</v>
      </c>
      <c r="M147" s="24" t="n">
        <f aca="false">M59*($C$30+(INDEX(Assumptions!$F$44:$F$46,MATCH($C59,Assumptions!$A$44:$A$46,0))-$C$30)*MIN(1,M$45/$C$29))</f>
        <v>0</v>
      </c>
      <c r="N147" s="24" t="n">
        <f aca="false">N59*($C$30+(INDEX(Assumptions!$F$44:$F$46,MATCH($C59,Assumptions!$A$44:$A$46,0))-$C$30)*MIN(1,N$45/$C$29))</f>
        <v>0</v>
      </c>
      <c r="O147" s="24" t="n">
        <f aca="false">O59*($C$30+(INDEX(Assumptions!$F$44:$F$46,MATCH($C59,Assumptions!$A$44:$A$46,0))-$C$30)*MIN(1,O$45/$C$29))</f>
        <v>0</v>
      </c>
      <c r="P147" s="24" t="n">
        <f aca="false">P59*($C$30+(INDEX(Assumptions!$F$44:$F$46,MATCH($C59,Assumptions!$A$44:$A$46,0))-$C$30)*MIN(1,P$45/$C$29))</f>
        <v>4.52751</v>
      </c>
      <c r="Q147" s="24" t="n">
        <f aca="false">Q59*($C$30+(INDEX(Assumptions!$F$44:$F$46,MATCH($C59,Assumptions!$A$44:$A$46,0))-$C$30)*MIN(1,Q$45/$C$29))</f>
        <v>9.05502</v>
      </c>
      <c r="R147" s="24" t="n">
        <f aca="false">R59*($C$30+(INDEX(Assumptions!$F$44:$F$46,MATCH($C59,Assumptions!$A$44:$A$46,0))-$C$30)*MIN(1,R$45/$C$29))</f>
        <v>12.827945</v>
      </c>
      <c r="S147" s="24" t="n">
        <f aca="false">S59*($C$30+(INDEX(Assumptions!$F$44:$F$46,MATCH($C59,Assumptions!$A$44:$A$46,0))-$C$30)*MIN(1,S$45/$C$29))</f>
        <v>15.0917</v>
      </c>
      <c r="T147" s="24" t="n">
        <f aca="false">T59*($C$30+(INDEX(Assumptions!$F$44:$F$46,MATCH($C59,Assumptions!$A$44:$A$46,0))-$C$30)*MIN(1,T$45/$C$29))</f>
        <v>15.0917</v>
      </c>
      <c r="U147" s="24" t="n">
        <f aca="false">U59*($C$30+(INDEX(Assumptions!$F$44:$F$46,MATCH($C59,Assumptions!$A$44:$A$46,0))-$C$30)*MIN(1,U$45/$C$29))</f>
        <v>15.0917</v>
      </c>
      <c r="V147" s="24" t="n">
        <f aca="false">V59*($C$30+(INDEX(Assumptions!$F$44:$F$46,MATCH($C59,Assumptions!$A$44:$A$46,0))-$C$30)*MIN(1,V$45/$C$29))</f>
        <v>15.0917</v>
      </c>
      <c r="W147" s="24" t="n">
        <f aca="false">W59*($C$30+(INDEX(Assumptions!$F$44:$F$46,MATCH($C59,Assumptions!$A$44:$A$46,0))-$C$30)*MIN(1,W$45/$C$29))</f>
        <v>15.0917</v>
      </c>
      <c r="X147" s="24" t="n">
        <f aca="false">X59*($C$30+(INDEX(Assumptions!$F$44:$F$46,MATCH($C59,Assumptions!$A$44:$A$46,0))-$C$30)*MIN(1,X$45/$C$29))</f>
        <v>15.0917</v>
      </c>
      <c r="Y147" s="24" t="n">
        <f aca="false">Y59*($C$30+(INDEX(Assumptions!$F$44:$F$46,MATCH($C59,Assumptions!$A$44:$A$46,0))-$C$30)*MIN(1,Y$45/$C$29))</f>
        <v>15.0917</v>
      </c>
    </row>
    <row r="148" customFormat="false" ht="15" hidden="false" customHeight="false" outlineLevel="0" collapsed="false">
      <c r="A148" s="2" t="n">
        <f aca="false">A60</f>
        <v>13</v>
      </c>
      <c r="B148" s="2" t="str">
        <f aca="false">B60</f>
        <v>C</v>
      </c>
      <c r="C148" s="2" t="str">
        <f aca="false">C60</f>
        <v>Assured</v>
      </c>
      <c r="D148" s="2"/>
      <c r="E148" s="2"/>
      <c r="F148" s="2"/>
      <c r="G148" s="2"/>
      <c r="H148" s="24" t="n">
        <f aca="false">H60*($C$30+(INDEX(Assumptions!$F$44:$F$46,MATCH($C60,Assumptions!$A$44:$A$46,0))-$C$30)*MIN(1,H$45/$C$29))</f>
        <v>0</v>
      </c>
      <c r="I148" s="24" t="n">
        <f aca="false">I60*($C$30+(INDEX(Assumptions!$F$44:$F$46,MATCH($C60,Assumptions!$A$44:$A$46,0))-$C$30)*MIN(1,I$45/$C$29))</f>
        <v>0</v>
      </c>
      <c r="J148" s="24" t="n">
        <f aca="false">J60*($C$30+(INDEX(Assumptions!$F$44:$F$46,MATCH($C60,Assumptions!$A$44:$A$46,0))-$C$30)*MIN(1,J$45/$C$29))</f>
        <v>0</v>
      </c>
      <c r="K148" s="24" t="n">
        <f aca="false">K60*($C$30+(INDEX(Assumptions!$F$44:$F$46,MATCH($C60,Assumptions!$A$44:$A$46,0))-$C$30)*MIN(1,K$45/$C$29))</f>
        <v>0</v>
      </c>
      <c r="L148" s="24" t="n">
        <f aca="false">L60*($C$30+(INDEX(Assumptions!$F$44:$F$46,MATCH($C60,Assumptions!$A$44:$A$46,0))-$C$30)*MIN(1,L$45/$C$29))</f>
        <v>0</v>
      </c>
      <c r="M148" s="24" t="n">
        <f aca="false">M60*($C$30+(INDEX(Assumptions!$F$44:$F$46,MATCH($C60,Assumptions!$A$44:$A$46,0))-$C$30)*MIN(1,M$45/$C$29))</f>
        <v>0</v>
      </c>
      <c r="N148" s="24" t="n">
        <f aca="false">N60*($C$30+(INDEX(Assumptions!$F$44:$F$46,MATCH($C60,Assumptions!$A$44:$A$46,0))-$C$30)*MIN(1,N$45/$C$29))</f>
        <v>0</v>
      </c>
      <c r="O148" s="24" t="n">
        <f aca="false">O60*($C$30+(INDEX(Assumptions!$F$44:$F$46,MATCH($C60,Assumptions!$A$44:$A$46,0))-$C$30)*MIN(1,O$45/$C$29))</f>
        <v>0</v>
      </c>
      <c r="P148" s="24" t="n">
        <f aca="false">P60*($C$30+(INDEX(Assumptions!$F$44:$F$46,MATCH($C60,Assumptions!$A$44:$A$46,0))-$C$30)*MIN(1,P$45/$C$29))</f>
        <v>0</v>
      </c>
      <c r="Q148" s="24" t="n">
        <f aca="false">Q60*($C$30+(INDEX(Assumptions!$F$44:$F$46,MATCH($C60,Assumptions!$A$44:$A$46,0))-$C$30)*MIN(1,Q$45/$C$29))</f>
        <v>4.52751</v>
      </c>
      <c r="R148" s="24" t="n">
        <f aca="false">R60*($C$30+(INDEX(Assumptions!$F$44:$F$46,MATCH($C60,Assumptions!$A$44:$A$46,0))-$C$30)*MIN(1,R$45/$C$29))</f>
        <v>9.05502</v>
      </c>
      <c r="S148" s="24" t="n">
        <f aca="false">S60*($C$30+(INDEX(Assumptions!$F$44:$F$46,MATCH($C60,Assumptions!$A$44:$A$46,0))-$C$30)*MIN(1,S$45/$C$29))</f>
        <v>12.827945</v>
      </c>
      <c r="T148" s="24" t="n">
        <f aca="false">T60*($C$30+(INDEX(Assumptions!$F$44:$F$46,MATCH($C60,Assumptions!$A$44:$A$46,0))-$C$30)*MIN(1,T$45/$C$29))</f>
        <v>15.0917</v>
      </c>
      <c r="U148" s="24" t="n">
        <f aca="false">U60*($C$30+(INDEX(Assumptions!$F$44:$F$46,MATCH($C60,Assumptions!$A$44:$A$46,0))-$C$30)*MIN(1,U$45/$C$29))</f>
        <v>15.0917</v>
      </c>
      <c r="V148" s="24" t="n">
        <f aca="false">V60*($C$30+(INDEX(Assumptions!$F$44:$F$46,MATCH($C60,Assumptions!$A$44:$A$46,0))-$C$30)*MIN(1,V$45/$C$29))</f>
        <v>15.0917</v>
      </c>
      <c r="W148" s="24" t="n">
        <f aca="false">W60*($C$30+(INDEX(Assumptions!$F$44:$F$46,MATCH($C60,Assumptions!$A$44:$A$46,0))-$C$30)*MIN(1,W$45/$C$29))</f>
        <v>15.0917</v>
      </c>
      <c r="X148" s="24" t="n">
        <f aca="false">X60*($C$30+(INDEX(Assumptions!$F$44:$F$46,MATCH($C60,Assumptions!$A$44:$A$46,0))-$C$30)*MIN(1,X$45/$C$29))</f>
        <v>15.0917</v>
      </c>
      <c r="Y148" s="24" t="n">
        <f aca="false">Y60*($C$30+(INDEX(Assumptions!$F$44:$F$46,MATCH($C60,Assumptions!$A$44:$A$46,0))-$C$30)*MIN(1,Y$45/$C$29))</f>
        <v>15.0917</v>
      </c>
    </row>
    <row r="149" customFormat="false" ht="15" hidden="false" customHeight="false" outlineLevel="0" collapsed="false">
      <c r="A149" s="2" t="n">
        <f aca="false">A61</f>
        <v>14</v>
      </c>
      <c r="B149" s="2" t="str">
        <f aca="false">B61</f>
        <v>B</v>
      </c>
      <c r="C149" s="2" t="str">
        <f aca="false">C61</f>
        <v>Connect</v>
      </c>
      <c r="D149" s="2"/>
      <c r="E149" s="2"/>
      <c r="F149" s="2"/>
      <c r="G149" s="2"/>
      <c r="H149" s="24" t="n">
        <f aca="false">H61*($C$30+(INDEX(Assumptions!$F$44:$F$46,MATCH($C61,Assumptions!$A$44:$A$46,0))-$C$30)*MIN(1,H$45/$C$29))</f>
        <v>0</v>
      </c>
      <c r="I149" s="24" t="n">
        <f aca="false">I61*($C$30+(INDEX(Assumptions!$F$44:$F$46,MATCH($C61,Assumptions!$A$44:$A$46,0))-$C$30)*MIN(1,I$45/$C$29))</f>
        <v>0</v>
      </c>
      <c r="J149" s="24" t="n">
        <f aca="false">J61*($C$30+(INDEX(Assumptions!$F$44:$F$46,MATCH($C61,Assumptions!$A$44:$A$46,0))-$C$30)*MIN(1,J$45/$C$29))</f>
        <v>0</v>
      </c>
      <c r="K149" s="24" t="n">
        <f aca="false">K61*($C$30+(INDEX(Assumptions!$F$44:$F$46,MATCH($C61,Assumptions!$A$44:$A$46,0))-$C$30)*MIN(1,K$45/$C$29))</f>
        <v>0</v>
      </c>
      <c r="L149" s="24" t="n">
        <f aca="false">L61*($C$30+(INDEX(Assumptions!$F$44:$F$46,MATCH($C61,Assumptions!$A$44:$A$46,0))-$C$30)*MIN(1,L$45/$C$29))</f>
        <v>0</v>
      </c>
      <c r="M149" s="24" t="n">
        <f aca="false">M61*($C$30+(INDEX(Assumptions!$F$44:$F$46,MATCH($C61,Assumptions!$A$44:$A$46,0))-$C$30)*MIN(1,M$45/$C$29))</f>
        <v>0</v>
      </c>
      <c r="N149" s="24" t="n">
        <f aca="false">N61*($C$30+(INDEX(Assumptions!$F$44:$F$46,MATCH($C61,Assumptions!$A$44:$A$46,0))-$C$30)*MIN(1,N$45/$C$29))</f>
        <v>0</v>
      </c>
      <c r="O149" s="24" t="n">
        <f aca="false">O61*($C$30+(INDEX(Assumptions!$F$44:$F$46,MATCH($C61,Assumptions!$A$44:$A$46,0))-$C$30)*MIN(1,O$45/$C$29))</f>
        <v>0</v>
      </c>
      <c r="P149" s="24" t="n">
        <f aca="false">P61*($C$30+(INDEX(Assumptions!$F$44:$F$46,MATCH($C61,Assumptions!$A$44:$A$46,0))-$C$30)*MIN(1,P$45/$C$29))</f>
        <v>0</v>
      </c>
      <c r="Q149" s="24" t="n">
        <f aca="false">Q61*($C$30+(INDEX(Assumptions!$F$44:$F$46,MATCH($C61,Assumptions!$A$44:$A$46,0))-$C$30)*MIN(1,Q$45/$C$29))</f>
        <v>0</v>
      </c>
      <c r="R149" s="24" t="n">
        <f aca="false">R61*($C$30+(INDEX(Assumptions!$F$44:$F$46,MATCH($C61,Assumptions!$A$44:$A$46,0))-$C$30)*MIN(1,R$45/$C$29))</f>
        <v>4.77945</v>
      </c>
      <c r="S149" s="24" t="n">
        <f aca="false">S61*($C$30+(INDEX(Assumptions!$F$44:$F$46,MATCH($C61,Assumptions!$A$44:$A$46,0))-$C$30)*MIN(1,S$45/$C$29))</f>
        <v>9.5589</v>
      </c>
      <c r="T149" s="24" t="n">
        <f aca="false">T61*($C$30+(INDEX(Assumptions!$F$44:$F$46,MATCH($C61,Assumptions!$A$44:$A$46,0))-$C$30)*MIN(1,T$45/$C$29))</f>
        <v>13.541775</v>
      </c>
      <c r="U149" s="24" t="n">
        <f aca="false">U61*($C$30+(INDEX(Assumptions!$F$44:$F$46,MATCH($C61,Assumptions!$A$44:$A$46,0))-$C$30)*MIN(1,U$45/$C$29))</f>
        <v>15.9315</v>
      </c>
      <c r="V149" s="24" t="n">
        <f aca="false">V61*($C$30+(INDEX(Assumptions!$F$44:$F$46,MATCH($C61,Assumptions!$A$44:$A$46,0))-$C$30)*MIN(1,V$45/$C$29))</f>
        <v>15.9315</v>
      </c>
      <c r="W149" s="24" t="n">
        <f aca="false">W61*($C$30+(INDEX(Assumptions!$F$44:$F$46,MATCH($C61,Assumptions!$A$44:$A$46,0))-$C$30)*MIN(1,W$45/$C$29))</f>
        <v>15.9315</v>
      </c>
      <c r="X149" s="24" t="n">
        <f aca="false">X61*($C$30+(INDEX(Assumptions!$F$44:$F$46,MATCH($C61,Assumptions!$A$44:$A$46,0))-$C$30)*MIN(1,X$45/$C$29))</f>
        <v>15.9315</v>
      </c>
      <c r="Y149" s="24" t="n">
        <f aca="false">Y61*($C$30+(INDEX(Assumptions!$F$44:$F$46,MATCH($C61,Assumptions!$A$44:$A$46,0))-$C$30)*MIN(1,Y$45/$C$29))</f>
        <v>15.9315</v>
      </c>
    </row>
    <row r="150" customFormat="false" ht="15" hidden="false" customHeight="false" outlineLevel="0" collapsed="false">
      <c r="A150" s="2" t="n">
        <f aca="false">A62</f>
        <v>15</v>
      </c>
      <c r="B150" s="2" t="str">
        <f aca="false">B62</f>
        <v>B</v>
      </c>
      <c r="C150" s="2" t="str">
        <f aca="false">C62</f>
        <v>Connect</v>
      </c>
      <c r="D150" s="2"/>
      <c r="E150" s="2"/>
      <c r="F150" s="2"/>
      <c r="G150" s="2"/>
      <c r="H150" s="24" t="n">
        <f aca="false">H62*($C$30+(INDEX(Assumptions!$F$44:$F$46,MATCH($C62,Assumptions!$A$44:$A$46,0))-$C$30)*MIN(1,H$45/$C$29))</f>
        <v>0</v>
      </c>
      <c r="I150" s="24" t="n">
        <f aca="false">I62*($C$30+(INDEX(Assumptions!$F$44:$F$46,MATCH($C62,Assumptions!$A$44:$A$46,0))-$C$30)*MIN(1,I$45/$C$29))</f>
        <v>0</v>
      </c>
      <c r="J150" s="24" t="n">
        <f aca="false">J62*($C$30+(INDEX(Assumptions!$F$44:$F$46,MATCH($C62,Assumptions!$A$44:$A$46,0))-$C$30)*MIN(1,J$45/$C$29))</f>
        <v>0</v>
      </c>
      <c r="K150" s="24" t="n">
        <f aca="false">K62*($C$30+(INDEX(Assumptions!$F$44:$F$46,MATCH($C62,Assumptions!$A$44:$A$46,0))-$C$30)*MIN(1,K$45/$C$29))</f>
        <v>0</v>
      </c>
      <c r="L150" s="24" t="n">
        <f aca="false">L62*($C$30+(INDEX(Assumptions!$F$44:$F$46,MATCH($C62,Assumptions!$A$44:$A$46,0))-$C$30)*MIN(1,L$45/$C$29))</f>
        <v>0</v>
      </c>
      <c r="M150" s="24" t="n">
        <f aca="false">M62*($C$30+(INDEX(Assumptions!$F$44:$F$46,MATCH($C62,Assumptions!$A$44:$A$46,0))-$C$30)*MIN(1,M$45/$C$29))</f>
        <v>0</v>
      </c>
      <c r="N150" s="24" t="n">
        <f aca="false">N62*($C$30+(INDEX(Assumptions!$F$44:$F$46,MATCH($C62,Assumptions!$A$44:$A$46,0))-$C$30)*MIN(1,N$45/$C$29))</f>
        <v>0</v>
      </c>
      <c r="O150" s="24" t="n">
        <f aca="false">O62*($C$30+(INDEX(Assumptions!$F$44:$F$46,MATCH($C62,Assumptions!$A$44:$A$46,0))-$C$30)*MIN(1,O$45/$C$29))</f>
        <v>0</v>
      </c>
      <c r="P150" s="24" t="n">
        <f aca="false">P62*($C$30+(INDEX(Assumptions!$F$44:$F$46,MATCH($C62,Assumptions!$A$44:$A$46,0))-$C$30)*MIN(1,P$45/$C$29))</f>
        <v>0</v>
      </c>
      <c r="Q150" s="24" t="n">
        <f aca="false">Q62*($C$30+(INDEX(Assumptions!$F$44:$F$46,MATCH($C62,Assumptions!$A$44:$A$46,0))-$C$30)*MIN(1,Q$45/$C$29))</f>
        <v>0</v>
      </c>
      <c r="R150" s="24" t="n">
        <f aca="false">R62*($C$30+(INDEX(Assumptions!$F$44:$F$46,MATCH($C62,Assumptions!$A$44:$A$46,0))-$C$30)*MIN(1,R$45/$C$29))</f>
        <v>0</v>
      </c>
      <c r="S150" s="24" t="n">
        <f aca="false">S62*($C$30+(INDEX(Assumptions!$F$44:$F$46,MATCH($C62,Assumptions!$A$44:$A$46,0))-$C$30)*MIN(1,S$45/$C$29))</f>
        <v>4.77945</v>
      </c>
      <c r="T150" s="24" t="n">
        <f aca="false">T62*($C$30+(INDEX(Assumptions!$F$44:$F$46,MATCH($C62,Assumptions!$A$44:$A$46,0))-$C$30)*MIN(1,T$45/$C$29))</f>
        <v>9.5589</v>
      </c>
      <c r="U150" s="24" t="n">
        <f aca="false">U62*($C$30+(INDEX(Assumptions!$F$44:$F$46,MATCH($C62,Assumptions!$A$44:$A$46,0))-$C$30)*MIN(1,U$45/$C$29))</f>
        <v>13.541775</v>
      </c>
      <c r="V150" s="24" t="n">
        <f aca="false">V62*($C$30+(INDEX(Assumptions!$F$44:$F$46,MATCH($C62,Assumptions!$A$44:$A$46,0))-$C$30)*MIN(1,V$45/$C$29))</f>
        <v>15.9315</v>
      </c>
      <c r="W150" s="24" t="n">
        <f aca="false">W62*($C$30+(INDEX(Assumptions!$F$44:$F$46,MATCH($C62,Assumptions!$A$44:$A$46,0))-$C$30)*MIN(1,W$45/$C$29))</f>
        <v>15.9315</v>
      </c>
      <c r="X150" s="24" t="n">
        <f aca="false">X62*($C$30+(INDEX(Assumptions!$F$44:$F$46,MATCH($C62,Assumptions!$A$44:$A$46,0))-$C$30)*MIN(1,X$45/$C$29))</f>
        <v>15.9315</v>
      </c>
      <c r="Y150" s="24" t="n">
        <f aca="false">Y62*($C$30+(INDEX(Assumptions!$F$44:$F$46,MATCH($C62,Assumptions!$A$44:$A$46,0))-$C$30)*MIN(1,Y$45/$C$29))</f>
        <v>15.9315</v>
      </c>
    </row>
    <row r="151" customFormat="false" ht="15" hidden="false" customHeight="false" outlineLevel="0" collapsed="false">
      <c r="A151" s="2" t="n">
        <f aca="false">A63</f>
        <v>16</v>
      </c>
      <c r="B151" s="2" t="str">
        <f aca="false">B63</f>
        <v>B</v>
      </c>
      <c r="C151" s="2" t="str">
        <f aca="false">C63</f>
        <v>Connect</v>
      </c>
      <c r="D151" s="2"/>
      <c r="E151" s="2"/>
      <c r="F151" s="2"/>
      <c r="G151" s="2"/>
      <c r="H151" s="24" t="n">
        <f aca="false">H63*($C$30+(INDEX(Assumptions!$F$44:$F$46,MATCH($C63,Assumptions!$A$44:$A$46,0))-$C$30)*MIN(1,H$45/$C$29))</f>
        <v>0</v>
      </c>
      <c r="I151" s="24" t="n">
        <f aca="false">I63*($C$30+(INDEX(Assumptions!$F$44:$F$46,MATCH($C63,Assumptions!$A$44:$A$46,0))-$C$30)*MIN(1,I$45/$C$29))</f>
        <v>0</v>
      </c>
      <c r="J151" s="24" t="n">
        <f aca="false">J63*($C$30+(INDEX(Assumptions!$F$44:$F$46,MATCH($C63,Assumptions!$A$44:$A$46,0))-$C$30)*MIN(1,J$45/$C$29))</f>
        <v>0</v>
      </c>
      <c r="K151" s="24" t="n">
        <f aca="false">K63*($C$30+(INDEX(Assumptions!$F$44:$F$46,MATCH($C63,Assumptions!$A$44:$A$46,0))-$C$30)*MIN(1,K$45/$C$29))</f>
        <v>0</v>
      </c>
      <c r="L151" s="24" t="n">
        <f aca="false">L63*($C$30+(INDEX(Assumptions!$F$44:$F$46,MATCH($C63,Assumptions!$A$44:$A$46,0))-$C$30)*MIN(1,L$45/$C$29))</f>
        <v>0</v>
      </c>
      <c r="M151" s="24" t="n">
        <f aca="false">M63*($C$30+(INDEX(Assumptions!$F$44:$F$46,MATCH($C63,Assumptions!$A$44:$A$46,0))-$C$30)*MIN(1,M$45/$C$29))</f>
        <v>0</v>
      </c>
      <c r="N151" s="24" t="n">
        <f aca="false">N63*($C$30+(INDEX(Assumptions!$F$44:$F$46,MATCH($C63,Assumptions!$A$44:$A$46,0))-$C$30)*MIN(1,N$45/$C$29))</f>
        <v>0</v>
      </c>
      <c r="O151" s="24" t="n">
        <f aca="false">O63*($C$30+(INDEX(Assumptions!$F$44:$F$46,MATCH($C63,Assumptions!$A$44:$A$46,0))-$C$30)*MIN(1,O$45/$C$29))</f>
        <v>0</v>
      </c>
      <c r="P151" s="24" t="n">
        <f aca="false">P63*($C$30+(INDEX(Assumptions!$F$44:$F$46,MATCH($C63,Assumptions!$A$44:$A$46,0))-$C$30)*MIN(1,P$45/$C$29))</f>
        <v>0</v>
      </c>
      <c r="Q151" s="24" t="n">
        <f aca="false">Q63*($C$30+(INDEX(Assumptions!$F$44:$F$46,MATCH($C63,Assumptions!$A$44:$A$46,0))-$C$30)*MIN(1,Q$45/$C$29))</f>
        <v>0</v>
      </c>
      <c r="R151" s="24" t="n">
        <f aca="false">R63*($C$30+(INDEX(Assumptions!$F$44:$F$46,MATCH($C63,Assumptions!$A$44:$A$46,0))-$C$30)*MIN(1,R$45/$C$29))</f>
        <v>0</v>
      </c>
      <c r="S151" s="24" t="n">
        <f aca="false">S63*($C$30+(INDEX(Assumptions!$F$44:$F$46,MATCH($C63,Assumptions!$A$44:$A$46,0))-$C$30)*MIN(1,S$45/$C$29))</f>
        <v>0</v>
      </c>
      <c r="T151" s="24" t="n">
        <f aca="false">T63*($C$30+(INDEX(Assumptions!$F$44:$F$46,MATCH($C63,Assumptions!$A$44:$A$46,0))-$C$30)*MIN(1,T$45/$C$29))</f>
        <v>4.77945</v>
      </c>
      <c r="U151" s="24" t="n">
        <f aca="false">U63*($C$30+(INDEX(Assumptions!$F$44:$F$46,MATCH($C63,Assumptions!$A$44:$A$46,0))-$C$30)*MIN(1,U$45/$C$29))</f>
        <v>9.5589</v>
      </c>
      <c r="V151" s="24" t="n">
        <f aca="false">V63*($C$30+(INDEX(Assumptions!$F$44:$F$46,MATCH($C63,Assumptions!$A$44:$A$46,0))-$C$30)*MIN(1,V$45/$C$29))</f>
        <v>13.541775</v>
      </c>
      <c r="W151" s="24" t="n">
        <f aca="false">W63*($C$30+(INDEX(Assumptions!$F$44:$F$46,MATCH($C63,Assumptions!$A$44:$A$46,0))-$C$30)*MIN(1,W$45/$C$29))</f>
        <v>15.9315</v>
      </c>
      <c r="X151" s="24" t="n">
        <f aca="false">X63*($C$30+(INDEX(Assumptions!$F$44:$F$46,MATCH($C63,Assumptions!$A$44:$A$46,0))-$C$30)*MIN(1,X$45/$C$29))</f>
        <v>15.9315</v>
      </c>
      <c r="Y151" s="24" t="n">
        <f aca="false">Y63*($C$30+(INDEX(Assumptions!$F$44:$F$46,MATCH($C63,Assumptions!$A$44:$A$46,0))-$C$30)*MIN(1,Y$45/$C$29))</f>
        <v>15.9315</v>
      </c>
    </row>
    <row r="152" customFormat="false" ht="15" hidden="false" customHeight="false" outlineLevel="0" collapsed="false">
      <c r="A152" s="2" t="n">
        <f aca="false">A64</f>
        <v>17</v>
      </c>
      <c r="B152" s="2" t="str">
        <f aca="false">B64</f>
        <v>B</v>
      </c>
      <c r="C152" s="2" t="str">
        <f aca="false">C64</f>
        <v>Verified</v>
      </c>
      <c r="D152" s="2"/>
      <c r="E152" s="2"/>
      <c r="F152" s="2"/>
      <c r="G152" s="2"/>
      <c r="H152" s="24" t="n">
        <f aca="false">H64*($C$30+(INDEX(Assumptions!$F$44:$F$46,MATCH($C64,Assumptions!$A$44:$A$46,0))-$C$30)*MIN(1,H$45/$C$29))</f>
        <v>0</v>
      </c>
      <c r="I152" s="24" t="n">
        <f aca="false">I64*($C$30+(INDEX(Assumptions!$F$44:$F$46,MATCH($C64,Assumptions!$A$44:$A$46,0))-$C$30)*MIN(1,I$45/$C$29))</f>
        <v>0</v>
      </c>
      <c r="J152" s="24" t="n">
        <f aca="false">J64*($C$30+(INDEX(Assumptions!$F$44:$F$46,MATCH($C64,Assumptions!$A$44:$A$46,0))-$C$30)*MIN(1,J$45/$C$29))</f>
        <v>0</v>
      </c>
      <c r="K152" s="24" t="n">
        <f aca="false">K64*($C$30+(INDEX(Assumptions!$F$44:$F$46,MATCH($C64,Assumptions!$A$44:$A$46,0))-$C$30)*MIN(1,K$45/$C$29))</f>
        <v>0</v>
      </c>
      <c r="L152" s="24" t="n">
        <f aca="false">L64*($C$30+(INDEX(Assumptions!$F$44:$F$46,MATCH($C64,Assumptions!$A$44:$A$46,0))-$C$30)*MIN(1,L$45/$C$29))</f>
        <v>0</v>
      </c>
      <c r="M152" s="24" t="n">
        <f aca="false">M64*($C$30+(INDEX(Assumptions!$F$44:$F$46,MATCH($C64,Assumptions!$A$44:$A$46,0))-$C$30)*MIN(1,M$45/$C$29))</f>
        <v>0</v>
      </c>
      <c r="N152" s="24" t="n">
        <f aca="false">N64*($C$30+(INDEX(Assumptions!$F$44:$F$46,MATCH($C64,Assumptions!$A$44:$A$46,0))-$C$30)*MIN(1,N$45/$C$29))</f>
        <v>0</v>
      </c>
      <c r="O152" s="24" t="n">
        <f aca="false">O64*($C$30+(INDEX(Assumptions!$F$44:$F$46,MATCH($C64,Assumptions!$A$44:$A$46,0))-$C$30)*MIN(1,O$45/$C$29))</f>
        <v>0</v>
      </c>
      <c r="P152" s="24" t="n">
        <f aca="false">P64*($C$30+(INDEX(Assumptions!$F$44:$F$46,MATCH($C64,Assumptions!$A$44:$A$46,0))-$C$30)*MIN(1,P$45/$C$29))</f>
        <v>0</v>
      </c>
      <c r="Q152" s="24" t="n">
        <f aca="false">Q64*($C$30+(INDEX(Assumptions!$F$44:$F$46,MATCH($C64,Assumptions!$A$44:$A$46,0))-$C$30)*MIN(1,Q$45/$C$29))</f>
        <v>0</v>
      </c>
      <c r="R152" s="24" t="n">
        <f aca="false">R64*($C$30+(INDEX(Assumptions!$F$44:$F$46,MATCH($C64,Assumptions!$A$44:$A$46,0))-$C$30)*MIN(1,R$45/$C$29))</f>
        <v>0</v>
      </c>
      <c r="S152" s="24" t="n">
        <f aca="false">S64*($C$30+(INDEX(Assumptions!$F$44:$F$46,MATCH($C64,Assumptions!$A$44:$A$46,0))-$C$30)*MIN(1,S$45/$C$29))</f>
        <v>0</v>
      </c>
      <c r="T152" s="24" t="n">
        <f aca="false">T64*($C$30+(INDEX(Assumptions!$F$44:$F$46,MATCH($C64,Assumptions!$A$44:$A$46,0))-$C$30)*MIN(1,T$45/$C$29))</f>
        <v>0</v>
      </c>
      <c r="U152" s="24" t="n">
        <f aca="false">U64*($C$30+(INDEX(Assumptions!$F$44:$F$46,MATCH($C64,Assumptions!$A$44:$A$46,0))-$C$30)*MIN(1,U$45/$C$29))</f>
        <v>4.55715</v>
      </c>
      <c r="V152" s="24" t="n">
        <f aca="false">V64*($C$30+(INDEX(Assumptions!$F$44:$F$46,MATCH($C64,Assumptions!$A$44:$A$46,0))-$C$30)*MIN(1,V$45/$C$29))</f>
        <v>9.1143</v>
      </c>
      <c r="W152" s="24" t="n">
        <f aca="false">W64*($C$30+(INDEX(Assumptions!$F$44:$F$46,MATCH($C64,Assumptions!$A$44:$A$46,0))-$C$30)*MIN(1,W$45/$C$29))</f>
        <v>12.911925</v>
      </c>
      <c r="X152" s="24" t="n">
        <f aca="false">X64*($C$30+(INDEX(Assumptions!$F$44:$F$46,MATCH($C64,Assumptions!$A$44:$A$46,0))-$C$30)*MIN(1,X$45/$C$29))</f>
        <v>15.1905</v>
      </c>
      <c r="Y152" s="24" t="n">
        <f aca="false">Y64*($C$30+(INDEX(Assumptions!$F$44:$F$46,MATCH($C64,Assumptions!$A$44:$A$46,0))-$C$30)*MIN(1,Y$45/$C$29))</f>
        <v>15.1905</v>
      </c>
    </row>
    <row r="153" customFormat="false" ht="15" hidden="false" customHeight="false" outlineLevel="0" collapsed="false">
      <c r="A153" s="2" t="n">
        <f aca="false">A65</f>
        <v>18</v>
      </c>
      <c r="B153" s="2" t="str">
        <f aca="false">B65</f>
        <v>B</v>
      </c>
      <c r="C153" s="2" t="str">
        <f aca="false">C65</f>
        <v>Verified</v>
      </c>
      <c r="D153" s="2"/>
      <c r="E153" s="2"/>
      <c r="F153" s="2"/>
      <c r="G153" s="2"/>
      <c r="H153" s="24" t="n">
        <f aca="false">H65*($C$30+(INDEX(Assumptions!$F$44:$F$46,MATCH($C65,Assumptions!$A$44:$A$46,0))-$C$30)*MIN(1,H$45/$C$29))</f>
        <v>0</v>
      </c>
      <c r="I153" s="24" t="n">
        <f aca="false">I65*($C$30+(INDEX(Assumptions!$F$44:$F$46,MATCH($C65,Assumptions!$A$44:$A$46,0))-$C$30)*MIN(1,I$45/$C$29))</f>
        <v>0</v>
      </c>
      <c r="J153" s="24" t="n">
        <f aca="false">J65*($C$30+(INDEX(Assumptions!$F$44:$F$46,MATCH($C65,Assumptions!$A$44:$A$46,0))-$C$30)*MIN(1,J$45/$C$29))</f>
        <v>0</v>
      </c>
      <c r="K153" s="24" t="n">
        <f aca="false">K65*($C$30+(INDEX(Assumptions!$F$44:$F$46,MATCH($C65,Assumptions!$A$44:$A$46,0))-$C$30)*MIN(1,K$45/$C$29))</f>
        <v>0</v>
      </c>
      <c r="L153" s="24" t="n">
        <f aca="false">L65*($C$30+(INDEX(Assumptions!$F$44:$F$46,MATCH($C65,Assumptions!$A$44:$A$46,0))-$C$30)*MIN(1,L$45/$C$29))</f>
        <v>0</v>
      </c>
      <c r="M153" s="24" t="n">
        <f aca="false">M65*($C$30+(INDEX(Assumptions!$F$44:$F$46,MATCH($C65,Assumptions!$A$44:$A$46,0))-$C$30)*MIN(1,M$45/$C$29))</f>
        <v>0</v>
      </c>
      <c r="N153" s="24" t="n">
        <f aca="false">N65*($C$30+(INDEX(Assumptions!$F$44:$F$46,MATCH($C65,Assumptions!$A$44:$A$46,0))-$C$30)*MIN(1,N$45/$C$29))</f>
        <v>0</v>
      </c>
      <c r="O153" s="24" t="n">
        <f aca="false">O65*($C$30+(INDEX(Assumptions!$F$44:$F$46,MATCH($C65,Assumptions!$A$44:$A$46,0))-$C$30)*MIN(1,O$45/$C$29))</f>
        <v>0</v>
      </c>
      <c r="P153" s="24" t="n">
        <f aca="false">P65*($C$30+(INDEX(Assumptions!$F$44:$F$46,MATCH($C65,Assumptions!$A$44:$A$46,0))-$C$30)*MIN(1,P$45/$C$29))</f>
        <v>0</v>
      </c>
      <c r="Q153" s="24" t="n">
        <f aca="false">Q65*($C$30+(INDEX(Assumptions!$F$44:$F$46,MATCH($C65,Assumptions!$A$44:$A$46,0))-$C$30)*MIN(1,Q$45/$C$29))</f>
        <v>0</v>
      </c>
      <c r="R153" s="24" t="n">
        <f aca="false">R65*($C$30+(INDEX(Assumptions!$F$44:$F$46,MATCH($C65,Assumptions!$A$44:$A$46,0))-$C$30)*MIN(1,R$45/$C$29))</f>
        <v>0</v>
      </c>
      <c r="S153" s="24" t="n">
        <f aca="false">S65*($C$30+(INDEX(Assumptions!$F$44:$F$46,MATCH($C65,Assumptions!$A$44:$A$46,0))-$C$30)*MIN(1,S$45/$C$29))</f>
        <v>0</v>
      </c>
      <c r="T153" s="24" t="n">
        <f aca="false">T65*($C$30+(INDEX(Assumptions!$F$44:$F$46,MATCH($C65,Assumptions!$A$44:$A$46,0))-$C$30)*MIN(1,T$45/$C$29))</f>
        <v>0</v>
      </c>
      <c r="U153" s="24" t="n">
        <f aca="false">U65*($C$30+(INDEX(Assumptions!$F$44:$F$46,MATCH($C65,Assumptions!$A$44:$A$46,0))-$C$30)*MIN(1,U$45/$C$29))</f>
        <v>0</v>
      </c>
      <c r="V153" s="24" t="n">
        <f aca="false">V65*($C$30+(INDEX(Assumptions!$F$44:$F$46,MATCH($C65,Assumptions!$A$44:$A$46,0))-$C$30)*MIN(1,V$45/$C$29))</f>
        <v>4.55715</v>
      </c>
      <c r="W153" s="24" t="n">
        <f aca="false">W65*($C$30+(INDEX(Assumptions!$F$44:$F$46,MATCH($C65,Assumptions!$A$44:$A$46,0))-$C$30)*MIN(1,W$45/$C$29))</f>
        <v>9.1143</v>
      </c>
      <c r="X153" s="24" t="n">
        <f aca="false">X65*($C$30+(INDEX(Assumptions!$F$44:$F$46,MATCH($C65,Assumptions!$A$44:$A$46,0))-$C$30)*MIN(1,X$45/$C$29))</f>
        <v>12.911925</v>
      </c>
      <c r="Y153" s="24" t="n">
        <f aca="false">Y65*($C$30+(INDEX(Assumptions!$F$44:$F$46,MATCH($C65,Assumptions!$A$44:$A$46,0))-$C$30)*MIN(1,Y$45/$C$29))</f>
        <v>15.1905</v>
      </c>
    </row>
    <row r="154" customFormat="false" ht="15" hidden="false" customHeight="false" outlineLevel="0" collapsed="false">
      <c r="A154" s="2" t="n">
        <f aca="false">A66</f>
        <v>19</v>
      </c>
      <c r="B154" s="2" t="str">
        <f aca="false">B66</f>
        <v>B</v>
      </c>
      <c r="C154" s="2" t="str">
        <f aca="false">C66</f>
        <v>Verified</v>
      </c>
      <c r="D154" s="2"/>
      <c r="E154" s="2"/>
      <c r="F154" s="2"/>
      <c r="G154" s="2"/>
      <c r="H154" s="24" t="n">
        <f aca="false">H66*($C$30+(INDEX(Assumptions!$F$44:$F$46,MATCH($C66,Assumptions!$A$44:$A$46,0))-$C$30)*MIN(1,H$45/$C$29))</f>
        <v>0</v>
      </c>
      <c r="I154" s="24" t="n">
        <f aca="false">I66*($C$30+(INDEX(Assumptions!$F$44:$F$46,MATCH($C66,Assumptions!$A$44:$A$46,0))-$C$30)*MIN(1,I$45/$C$29))</f>
        <v>0</v>
      </c>
      <c r="J154" s="24" t="n">
        <f aca="false">J66*($C$30+(INDEX(Assumptions!$F$44:$F$46,MATCH($C66,Assumptions!$A$44:$A$46,0))-$C$30)*MIN(1,J$45/$C$29))</f>
        <v>0</v>
      </c>
      <c r="K154" s="24" t="n">
        <f aca="false">K66*($C$30+(INDEX(Assumptions!$F$44:$F$46,MATCH($C66,Assumptions!$A$44:$A$46,0))-$C$30)*MIN(1,K$45/$C$29))</f>
        <v>0</v>
      </c>
      <c r="L154" s="24" t="n">
        <f aca="false">L66*($C$30+(INDEX(Assumptions!$F$44:$F$46,MATCH($C66,Assumptions!$A$44:$A$46,0))-$C$30)*MIN(1,L$45/$C$29))</f>
        <v>0</v>
      </c>
      <c r="M154" s="24" t="n">
        <f aca="false">M66*($C$30+(INDEX(Assumptions!$F$44:$F$46,MATCH($C66,Assumptions!$A$44:$A$46,0))-$C$30)*MIN(1,M$45/$C$29))</f>
        <v>0</v>
      </c>
      <c r="N154" s="24" t="n">
        <f aca="false">N66*($C$30+(INDEX(Assumptions!$F$44:$F$46,MATCH($C66,Assumptions!$A$44:$A$46,0))-$C$30)*MIN(1,N$45/$C$29))</f>
        <v>0</v>
      </c>
      <c r="O154" s="24" t="n">
        <f aca="false">O66*($C$30+(INDEX(Assumptions!$F$44:$F$46,MATCH($C66,Assumptions!$A$44:$A$46,0))-$C$30)*MIN(1,O$45/$C$29))</f>
        <v>0</v>
      </c>
      <c r="P154" s="24" t="n">
        <f aca="false">P66*($C$30+(INDEX(Assumptions!$F$44:$F$46,MATCH($C66,Assumptions!$A$44:$A$46,0))-$C$30)*MIN(1,P$45/$C$29))</f>
        <v>0</v>
      </c>
      <c r="Q154" s="24" t="n">
        <f aca="false">Q66*($C$30+(INDEX(Assumptions!$F$44:$F$46,MATCH($C66,Assumptions!$A$44:$A$46,0))-$C$30)*MIN(1,Q$45/$C$29))</f>
        <v>0</v>
      </c>
      <c r="R154" s="24" t="n">
        <f aca="false">R66*($C$30+(INDEX(Assumptions!$F$44:$F$46,MATCH($C66,Assumptions!$A$44:$A$46,0))-$C$30)*MIN(1,R$45/$C$29))</f>
        <v>0</v>
      </c>
      <c r="S154" s="24" t="n">
        <f aca="false">S66*($C$30+(INDEX(Assumptions!$F$44:$F$46,MATCH($C66,Assumptions!$A$44:$A$46,0))-$C$30)*MIN(1,S$45/$C$29))</f>
        <v>0</v>
      </c>
      <c r="T154" s="24" t="n">
        <f aca="false">T66*($C$30+(INDEX(Assumptions!$F$44:$F$46,MATCH($C66,Assumptions!$A$44:$A$46,0))-$C$30)*MIN(1,T$45/$C$29))</f>
        <v>0</v>
      </c>
      <c r="U154" s="24" t="n">
        <f aca="false">U66*($C$30+(INDEX(Assumptions!$F$44:$F$46,MATCH($C66,Assumptions!$A$44:$A$46,0))-$C$30)*MIN(1,U$45/$C$29))</f>
        <v>0</v>
      </c>
      <c r="V154" s="24" t="n">
        <f aca="false">V66*($C$30+(INDEX(Assumptions!$F$44:$F$46,MATCH($C66,Assumptions!$A$44:$A$46,0))-$C$30)*MIN(1,V$45/$C$29))</f>
        <v>0</v>
      </c>
      <c r="W154" s="24" t="n">
        <f aca="false">W66*($C$30+(INDEX(Assumptions!$F$44:$F$46,MATCH($C66,Assumptions!$A$44:$A$46,0))-$C$30)*MIN(1,W$45/$C$29))</f>
        <v>4.55715</v>
      </c>
      <c r="X154" s="24" t="n">
        <f aca="false">X66*($C$30+(INDEX(Assumptions!$F$44:$F$46,MATCH($C66,Assumptions!$A$44:$A$46,0))-$C$30)*MIN(1,X$45/$C$29))</f>
        <v>9.1143</v>
      </c>
      <c r="Y154" s="24" t="n">
        <f aca="false">Y66*($C$30+(INDEX(Assumptions!$F$44:$F$46,MATCH($C66,Assumptions!$A$44:$A$46,0))-$C$30)*MIN(1,Y$45/$C$29))</f>
        <v>12.911925</v>
      </c>
    </row>
    <row r="155" customFormat="false" ht="15" hidden="false" customHeight="false" outlineLevel="0" collapsed="false">
      <c r="A155" s="2" t="n">
        <f aca="false">A67</f>
        <v>20</v>
      </c>
      <c r="B155" s="2" t="str">
        <f aca="false">B67</f>
        <v>B</v>
      </c>
      <c r="C155" s="2" t="str">
        <f aca="false">C67</f>
        <v>Verified</v>
      </c>
      <c r="D155" s="2"/>
      <c r="E155" s="2"/>
      <c r="F155" s="2"/>
      <c r="G155" s="2"/>
      <c r="H155" s="24" t="n">
        <f aca="false">H67*($C$30+(INDEX(Assumptions!$F$44:$F$46,MATCH($C67,Assumptions!$A$44:$A$46,0))-$C$30)*MIN(1,H$45/$C$29))</f>
        <v>0</v>
      </c>
      <c r="I155" s="24" t="n">
        <f aca="false">I67*($C$30+(INDEX(Assumptions!$F$44:$F$46,MATCH($C67,Assumptions!$A$44:$A$46,0))-$C$30)*MIN(1,I$45/$C$29))</f>
        <v>0</v>
      </c>
      <c r="J155" s="24" t="n">
        <f aca="false">J67*($C$30+(INDEX(Assumptions!$F$44:$F$46,MATCH($C67,Assumptions!$A$44:$A$46,0))-$C$30)*MIN(1,J$45/$C$29))</f>
        <v>0</v>
      </c>
      <c r="K155" s="24" t="n">
        <f aca="false">K67*($C$30+(INDEX(Assumptions!$F$44:$F$46,MATCH($C67,Assumptions!$A$44:$A$46,0))-$C$30)*MIN(1,K$45/$C$29))</f>
        <v>0</v>
      </c>
      <c r="L155" s="24" t="n">
        <f aca="false">L67*($C$30+(INDEX(Assumptions!$F$44:$F$46,MATCH($C67,Assumptions!$A$44:$A$46,0))-$C$30)*MIN(1,L$45/$C$29))</f>
        <v>0</v>
      </c>
      <c r="M155" s="24" t="n">
        <f aca="false">M67*($C$30+(INDEX(Assumptions!$F$44:$F$46,MATCH($C67,Assumptions!$A$44:$A$46,0))-$C$30)*MIN(1,M$45/$C$29))</f>
        <v>0</v>
      </c>
      <c r="N155" s="24" t="n">
        <f aca="false">N67*($C$30+(INDEX(Assumptions!$F$44:$F$46,MATCH($C67,Assumptions!$A$44:$A$46,0))-$C$30)*MIN(1,N$45/$C$29))</f>
        <v>0</v>
      </c>
      <c r="O155" s="24" t="n">
        <f aca="false">O67*($C$30+(INDEX(Assumptions!$F$44:$F$46,MATCH($C67,Assumptions!$A$44:$A$46,0))-$C$30)*MIN(1,O$45/$C$29))</f>
        <v>0</v>
      </c>
      <c r="P155" s="24" t="n">
        <f aca="false">P67*($C$30+(INDEX(Assumptions!$F$44:$F$46,MATCH($C67,Assumptions!$A$44:$A$46,0))-$C$30)*MIN(1,P$45/$C$29))</f>
        <v>0</v>
      </c>
      <c r="Q155" s="24" t="n">
        <f aca="false">Q67*($C$30+(INDEX(Assumptions!$F$44:$F$46,MATCH($C67,Assumptions!$A$44:$A$46,0))-$C$30)*MIN(1,Q$45/$C$29))</f>
        <v>0</v>
      </c>
      <c r="R155" s="24" t="n">
        <f aca="false">R67*($C$30+(INDEX(Assumptions!$F$44:$F$46,MATCH($C67,Assumptions!$A$44:$A$46,0))-$C$30)*MIN(1,R$45/$C$29))</f>
        <v>0</v>
      </c>
      <c r="S155" s="24" t="n">
        <f aca="false">S67*($C$30+(INDEX(Assumptions!$F$44:$F$46,MATCH($C67,Assumptions!$A$44:$A$46,0))-$C$30)*MIN(1,S$45/$C$29))</f>
        <v>0</v>
      </c>
      <c r="T155" s="24" t="n">
        <f aca="false">T67*($C$30+(INDEX(Assumptions!$F$44:$F$46,MATCH($C67,Assumptions!$A$44:$A$46,0))-$C$30)*MIN(1,T$45/$C$29))</f>
        <v>0</v>
      </c>
      <c r="U155" s="24" t="n">
        <f aca="false">U67*($C$30+(INDEX(Assumptions!$F$44:$F$46,MATCH($C67,Assumptions!$A$44:$A$46,0))-$C$30)*MIN(1,U$45/$C$29))</f>
        <v>0</v>
      </c>
      <c r="V155" s="24" t="n">
        <f aca="false">V67*($C$30+(INDEX(Assumptions!$F$44:$F$46,MATCH($C67,Assumptions!$A$44:$A$46,0))-$C$30)*MIN(1,V$45/$C$29))</f>
        <v>0</v>
      </c>
      <c r="W155" s="24" t="n">
        <f aca="false">W67*($C$30+(INDEX(Assumptions!$F$44:$F$46,MATCH($C67,Assumptions!$A$44:$A$46,0))-$C$30)*MIN(1,W$45/$C$29))</f>
        <v>4.55715</v>
      </c>
      <c r="X155" s="24" t="n">
        <f aca="false">X67*($C$30+(INDEX(Assumptions!$F$44:$F$46,MATCH($C67,Assumptions!$A$44:$A$46,0))-$C$30)*MIN(1,X$45/$C$29))</f>
        <v>9.1143</v>
      </c>
      <c r="Y155" s="24" t="n">
        <f aca="false">Y67*($C$30+(INDEX(Assumptions!$F$44:$F$46,MATCH($C67,Assumptions!$A$44:$A$46,0))-$C$30)*MIN(1,Y$45/$C$29))</f>
        <v>12.911925</v>
      </c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" hidden="false" customHeight="false" outlineLevel="0" collapsed="false">
      <c r="A157" s="37" t="s">
        <v>203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customFormat="false" ht="15" hidden="false" customHeight="false" outlineLevel="0" collapsed="false">
      <c r="A158" s="5" t="s">
        <v>204</v>
      </c>
      <c r="B158" s="2"/>
      <c r="C158" s="2"/>
      <c r="D158" s="2"/>
      <c r="E158" s="2"/>
      <c r="F158" s="2"/>
      <c r="G158" s="2"/>
      <c r="H158" s="26" t="n">
        <f aca="false">COUNTIF($G$48:$G$67,"&lt;="&amp;H$45)</f>
        <v>4</v>
      </c>
      <c r="I158" s="26" t="n">
        <f aca="false">COUNTIF($G$48:$G$67,"&lt;="&amp;I$45)</f>
        <v>4</v>
      </c>
      <c r="J158" s="26" t="n">
        <f aca="false">COUNTIF($G$48:$G$67,"&lt;="&amp;J$45)</f>
        <v>4</v>
      </c>
      <c r="K158" s="26" t="n">
        <f aca="false">COUNTIF($G$48:$G$67,"&lt;="&amp;K$45)</f>
        <v>4</v>
      </c>
      <c r="L158" s="26" t="n">
        <f aca="false">COUNTIF($G$48:$G$67,"&lt;="&amp;L$45)</f>
        <v>6</v>
      </c>
      <c r="M158" s="26" t="n">
        <f aca="false">COUNTIF($G$48:$G$67,"&lt;="&amp;M$45)</f>
        <v>8</v>
      </c>
      <c r="N158" s="26" t="n">
        <f aca="false">COUNTIF($G$48:$G$67,"&lt;="&amp;N$45)</f>
        <v>9</v>
      </c>
      <c r="O158" s="26" t="n">
        <f aca="false">COUNTIF($G$48:$G$67,"&lt;="&amp;O$45)</f>
        <v>10</v>
      </c>
      <c r="P158" s="26" t="n">
        <f aca="false">COUNTIF($G$48:$G$67,"&lt;="&amp;P$45)</f>
        <v>12</v>
      </c>
      <c r="Q158" s="26" t="n">
        <f aca="false">COUNTIF($G$48:$G$67,"&lt;="&amp;Q$45)</f>
        <v>13</v>
      </c>
      <c r="R158" s="26" t="n">
        <f aca="false">COUNTIF($G$48:$G$67,"&lt;="&amp;R$45)</f>
        <v>14</v>
      </c>
      <c r="S158" s="26" t="n">
        <f aca="false">COUNTIF($G$48:$G$67,"&lt;="&amp;S$45)</f>
        <v>15</v>
      </c>
      <c r="T158" s="26" t="n">
        <f aca="false">COUNTIF($G$48:$G$67,"&lt;="&amp;T$45)</f>
        <v>16</v>
      </c>
      <c r="U158" s="26" t="n">
        <f aca="false">COUNTIF($G$48:$G$67,"&lt;="&amp;U$45)</f>
        <v>17</v>
      </c>
      <c r="V158" s="26" t="n">
        <f aca="false">COUNTIF($G$48:$G$67,"&lt;="&amp;V$45)</f>
        <v>18</v>
      </c>
      <c r="W158" s="26" t="n">
        <f aca="false">COUNTIF($G$48:$G$67,"&lt;="&amp;W$45)</f>
        <v>20</v>
      </c>
      <c r="X158" s="26" t="n">
        <f aca="false">COUNTIF($G$48:$G$67,"&lt;="&amp;X$45)</f>
        <v>20</v>
      </c>
      <c r="Y158" s="26" t="n">
        <f aca="false">COUNTIF($G$48:$G$67,"&lt;="&amp;Y$45)</f>
        <v>20</v>
      </c>
    </row>
    <row r="159" customFormat="false" ht="15" hidden="false" customHeight="false" outlineLevel="0" collapsed="false">
      <c r="A159" s="5" t="s">
        <v>205</v>
      </c>
      <c r="B159" s="2"/>
      <c r="C159" s="2"/>
      <c r="D159" s="2"/>
      <c r="E159" s="2"/>
      <c r="F159" s="2"/>
      <c r="G159" s="2"/>
      <c r="H159" s="26" t="n">
        <f aca="false">SUM(H48:H67)</f>
        <v>66.5</v>
      </c>
      <c r="I159" s="26" t="n">
        <f aca="false">SUM(I48:I67)</f>
        <v>69.6666666666667</v>
      </c>
      <c r="J159" s="26" t="n">
        <f aca="false">SUM(J48:J67)</f>
        <v>72.8333333333333</v>
      </c>
      <c r="K159" s="26" t="n">
        <f aca="false">SUM(K48:K67)</f>
        <v>76</v>
      </c>
      <c r="L159" s="26" t="n">
        <f aca="false">SUM(L48:L67)</f>
        <v>84.892</v>
      </c>
      <c r="M159" s="26" t="n">
        <f aca="false">SUM(M48:M67)</f>
        <v>102.676</v>
      </c>
      <c r="N159" s="26" t="n">
        <f aca="false">SUM(N48:N67)</f>
        <v>123.424</v>
      </c>
      <c r="O159" s="26" t="n">
        <f aca="false">SUM(O48:O67)</f>
        <v>144.5425</v>
      </c>
      <c r="P159" s="26" t="n">
        <f aca="false">SUM(P48:P67)</f>
        <v>167.143</v>
      </c>
      <c r="Q159" s="26" t="n">
        <f aca="false">SUM(Q48:Q67)</f>
        <v>187.82925</v>
      </c>
      <c r="R159" s="26" t="n">
        <f aca="false">SUM(R48:R67)</f>
        <v>208.639</v>
      </c>
      <c r="S159" s="26" t="n">
        <f aca="false">SUM(S48:S67)</f>
        <v>228.58425</v>
      </c>
      <c r="T159" s="26" t="n">
        <f aca="false">SUM(T48:T67)</f>
        <v>246.73875</v>
      </c>
      <c r="U159" s="26" t="n">
        <f aca="false">SUM(U48:U67)</f>
        <v>265.26375</v>
      </c>
      <c r="V159" s="26" t="n">
        <f aca="false">SUM(V48:V67)</f>
        <v>283.78875</v>
      </c>
      <c r="W159" s="26" t="n">
        <f aca="false">SUM(W48:W67)</f>
        <v>307.87125</v>
      </c>
      <c r="X159" s="26" t="n">
        <f aca="false">SUM(X48:X67)</f>
        <v>326.39625</v>
      </c>
      <c r="Y159" s="26" t="n">
        <f aca="false">SUM(Y48:Y67)</f>
        <v>338.4375</v>
      </c>
    </row>
    <row r="160" customFormat="false" ht="15" hidden="false" customHeight="false" outlineLevel="0" collapsed="false">
      <c r="A160" s="5" t="s">
        <v>206</v>
      </c>
      <c r="B160" s="2"/>
      <c r="C160" s="2"/>
      <c r="D160" s="2"/>
      <c r="E160" s="2"/>
      <c r="F160" s="2"/>
      <c r="G160" s="2"/>
      <c r="H160" s="26" t="n">
        <f aca="false">H159</f>
        <v>66.5</v>
      </c>
      <c r="I160" s="26" t="n">
        <f aca="false">H160+I159</f>
        <v>136.166666666667</v>
      </c>
      <c r="J160" s="26" t="n">
        <f aca="false">I160+J159</f>
        <v>209</v>
      </c>
      <c r="K160" s="26" t="n">
        <f aca="false">J160+K159</f>
        <v>285</v>
      </c>
      <c r="L160" s="26" t="n">
        <f aca="false">K160+L159</f>
        <v>369.892</v>
      </c>
      <c r="M160" s="26" t="n">
        <f aca="false">L160+M159</f>
        <v>472.568</v>
      </c>
      <c r="N160" s="26" t="n">
        <f aca="false">M160+N159</f>
        <v>595.992</v>
      </c>
      <c r="O160" s="26" t="n">
        <f aca="false">N160+O159</f>
        <v>740.5345</v>
      </c>
      <c r="P160" s="26" t="n">
        <f aca="false">O160+P159</f>
        <v>907.6775</v>
      </c>
      <c r="Q160" s="26" t="n">
        <f aca="false">P160+Q159</f>
        <v>1095.50675</v>
      </c>
      <c r="R160" s="26" t="n">
        <f aca="false">Q160+R159</f>
        <v>1304.14575</v>
      </c>
      <c r="S160" s="26" t="n">
        <f aca="false">R160+S159</f>
        <v>1532.73</v>
      </c>
      <c r="T160" s="26" t="n">
        <f aca="false">S160+T159</f>
        <v>1779.46875</v>
      </c>
      <c r="U160" s="26" t="n">
        <f aca="false">T160+U159</f>
        <v>2044.7325</v>
      </c>
      <c r="V160" s="26" t="n">
        <f aca="false">U160+V159</f>
        <v>2328.52125</v>
      </c>
      <c r="W160" s="26" t="n">
        <f aca="false">V160+W159</f>
        <v>2636.3925</v>
      </c>
      <c r="X160" s="26" t="n">
        <f aca="false">W160+X159</f>
        <v>2962.78875</v>
      </c>
      <c r="Y160" s="26" t="n">
        <f aca="false">X160+Y159</f>
        <v>3301.22625</v>
      </c>
    </row>
    <row r="161" customFormat="false" ht="15" hidden="false" customHeight="false" outlineLevel="0" collapsed="false">
      <c r="A161" s="5" t="s">
        <v>207</v>
      </c>
      <c r="B161" s="2"/>
      <c r="C161" s="2"/>
      <c r="D161" s="2"/>
      <c r="E161" s="2"/>
      <c r="F161" s="2"/>
      <c r="G161" s="2"/>
      <c r="H161" s="23" t="n">
        <f aca="false">SUMPRODUCT(H48:H67,$D$48:$D$67)*$C$13</f>
        <v>508725</v>
      </c>
      <c r="I161" s="23" t="n">
        <f aca="false">SUMPRODUCT(I48:I67,$D$48:$D$67)*$C$13</f>
        <v>532950</v>
      </c>
      <c r="J161" s="23" t="n">
        <f aca="false">SUMPRODUCT(J48:J67,$D$48:$D$67)*$C$13</f>
        <v>557175</v>
      </c>
      <c r="K161" s="23" t="n">
        <f aca="false">SUMPRODUCT(K48:K67,$D$48:$D$67)*$C$13</f>
        <v>581400</v>
      </c>
      <c r="L161" s="23" t="n">
        <f aca="false">SUMPRODUCT(L48:L67,$D$48:$D$67)*$C$13</f>
        <v>677433.6</v>
      </c>
      <c r="M161" s="23" t="n">
        <f aca="false">SUMPRODUCT(M48:M67,$D$48:$D$67)*$C$13</f>
        <v>869500.8</v>
      </c>
      <c r="N161" s="23" t="n">
        <f aca="false">SUMPRODUCT(N48:N67,$D$48:$D$67)*$C$13</f>
        <v>1093579.2</v>
      </c>
      <c r="O161" s="23" t="n">
        <f aca="false">SUMPRODUCT(O48:O67,$D$48:$D$67)*$C$13</f>
        <v>1304319.6</v>
      </c>
      <c r="P161" s="23" t="n">
        <f aca="false">SUMPRODUCT(P48:P67,$D$48:$D$67)*$C$13</f>
        <v>1496386.8</v>
      </c>
      <c r="Q161" s="23" t="n">
        <f aca="false">SUMPRODUCT(Q48:Q67,$D$48:$D$67)*$C$13</f>
        <v>1653330.6</v>
      </c>
      <c r="R161" s="23" t="n">
        <f aca="false">SUMPRODUCT(R48:R67,$D$48:$D$67)*$C$13</f>
        <v>1795658.175</v>
      </c>
      <c r="S161" s="23" t="n">
        <f aca="false">SUMPRODUCT(S48:S67,$D$48:$D$67)*$C$13</f>
        <v>1924258.725</v>
      </c>
      <c r="T161" s="23" t="n">
        <f aca="false">SUMPRODUCT(T48:T67,$D$48:$D$67)*$C$13</f>
        <v>2033713.6875</v>
      </c>
      <c r="U161" s="23" t="n">
        <f aca="false">SUMPRODUCT(U48:U67,$D$48:$D$67)*$C$13</f>
        <v>2142084.9375</v>
      </c>
      <c r="V161" s="23" t="n">
        <f aca="false">SUMPRODUCT(V48:V67,$D$48:$D$67)*$C$13</f>
        <v>2250456.1875</v>
      </c>
      <c r="W161" s="23" t="n">
        <f aca="false">SUMPRODUCT(W48:W67,$D$48:$D$67)*$C$13</f>
        <v>2391338.8125</v>
      </c>
      <c r="X161" s="23" t="n">
        <f aca="false">SUMPRODUCT(X48:X67,$D$48:$D$67)*$C$13</f>
        <v>2499710.0625</v>
      </c>
      <c r="Y161" s="23" t="n">
        <f aca="false">SUMPRODUCT(Y48:Y67,$D$48:$D$67)*$C$13</f>
        <v>2570151.375</v>
      </c>
    </row>
    <row r="162" customFormat="false" ht="15" hidden="false" customHeight="false" outlineLevel="0" collapsed="false">
      <c r="A162" s="5" t="s">
        <v>208</v>
      </c>
      <c r="B162" s="2"/>
      <c r="C162" s="2"/>
      <c r="D162" s="2"/>
      <c r="E162" s="2"/>
      <c r="F162" s="2"/>
      <c r="G162" s="2"/>
      <c r="H162" s="23" t="n">
        <f aca="false">SUM(H70:H89)</f>
        <v>161520.1875</v>
      </c>
      <c r="I162" s="23" t="n">
        <f aca="false">SUM(I70:I89)</f>
        <v>169211.625</v>
      </c>
      <c r="J162" s="23" t="n">
        <f aca="false">SUM(J70:J89)</f>
        <v>176903.0625</v>
      </c>
      <c r="K162" s="23" t="n">
        <f aca="false">SUM(K70:K89)</f>
        <v>184594.5</v>
      </c>
      <c r="L162" s="23" t="n">
        <f aca="false">SUM(L70:L89)</f>
        <v>215085.168</v>
      </c>
      <c r="M162" s="23" t="n">
        <f aca="false">SUM(M70:M89)</f>
        <v>276066.504</v>
      </c>
      <c r="N162" s="23" t="n">
        <f aca="false">SUM(N70:N89)</f>
        <v>347211.396</v>
      </c>
      <c r="O162" s="23" t="n">
        <f aca="false">SUM(O70:O89)</f>
        <v>414121.473</v>
      </c>
      <c r="P162" s="23" t="n">
        <f aca="false">SUM(P70:P89)</f>
        <v>475102.809</v>
      </c>
      <c r="Q162" s="23" t="n">
        <f aca="false">SUM(Q70:Q89)</f>
        <v>524932.4655</v>
      </c>
      <c r="R162" s="23" t="n">
        <f aca="false">SUM(R70:R89)</f>
        <v>574400.019</v>
      </c>
      <c r="S162" s="23" t="n">
        <f aca="false">SUM(S70:S89)</f>
        <v>611787.7905</v>
      </c>
      <c r="T162" s="23" t="n">
        <f aca="false">SUM(T70:T89)</f>
        <v>636662.295</v>
      </c>
      <c r="U162" s="23" t="n">
        <f aca="false">SUM(U70:U89)</f>
        <v>648583.1325</v>
      </c>
      <c r="V162" s="23" t="n">
        <f aca="false">SUM(V70:V89)</f>
        <v>663755.1075</v>
      </c>
      <c r="W162" s="23" t="n">
        <f aca="false">SUM(W70:W89)</f>
        <v>687488.41125</v>
      </c>
      <c r="X162" s="23" t="n">
        <f aca="false">SUM(X70:X89)</f>
        <v>706995.23625</v>
      </c>
      <c r="Y162" s="23" t="n">
        <f aca="false">SUM(Y70:Y89)</f>
        <v>719674.6725</v>
      </c>
    </row>
    <row r="163" customFormat="false" ht="15" hidden="false" customHeight="false" outlineLevel="0" collapsed="false">
      <c r="A163" s="5" t="s">
        <v>209</v>
      </c>
      <c r="B163" s="2"/>
      <c r="C163" s="2"/>
      <c r="D163" s="2"/>
      <c r="E163" s="2"/>
      <c r="F163" s="2"/>
      <c r="G163" s="2"/>
      <c r="H163" s="28" t="n">
        <f aca="false">IF(H161=0,0,H162/H161)</f>
        <v>0.3175</v>
      </c>
      <c r="I163" s="28" t="n">
        <f aca="false">IF(I161=0,0,I162/I161)</f>
        <v>0.3175</v>
      </c>
      <c r="J163" s="28" t="n">
        <f aca="false">IF(J161=0,0,J162/J161)</f>
        <v>0.3175</v>
      </c>
      <c r="K163" s="28" t="n">
        <f aca="false">IF(K161=0,0,K162/K161)</f>
        <v>0.3175</v>
      </c>
      <c r="L163" s="28" t="n">
        <f aca="false">IF(L161=0,0,L162/L161)</f>
        <v>0.3175</v>
      </c>
      <c r="M163" s="28" t="n">
        <f aca="false">IF(M161=0,0,M162/M161)</f>
        <v>0.3175</v>
      </c>
      <c r="N163" s="28" t="n">
        <f aca="false">IF(N161=0,0,N162/N161)</f>
        <v>0.3175</v>
      </c>
      <c r="O163" s="28" t="n">
        <f aca="false">IF(O161=0,0,O162/O161)</f>
        <v>0.3175</v>
      </c>
      <c r="P163" s="28" t="n">
        <f aca="false">IF(P161=0,0,P162/P161)</f>
        <v>0.3175</v>
      </c>
      <c r="Q163" s="28" t="n">
        <f aca="false">IF(Q161=0,0,Q162/Q161)</f>
        <v>0.3175</v>
      </c>
      <c r="R163" s="28" t="n">
        <f aca="false">IF(R161=0,0,R162/R161)</f>
        <v>0.319882718769679</v>
      </c>
      <c r="S163" s="28" t="n">
        <f aca="false">IF(S161=0,0,S162/S161)</f>
        <v>0.317934268688323</v>
      </c>
      <c r="T163" s="28" t="n">
        <f aca="false">IF(T161=0,0,T162/T161)</f>
        <v>0.313054044388439</v>
      </c>
      <c r="U163" s="28" t="n">
        <f aca="false">IF(U161=0,0,U162/U161)</f>
        <v>0.302781239504421</v>
      </c>
      <c r="V163" s="28" t="n">
        <f aca="false">IF(V161=0,0,V162/V161)</f>
        <v>0.294942470414124</v>
      </c>
      <c r="W163" s="28" t="n">
        <f aca="false">IF(W161=0,0,W162/W161)</f>
        <v>0.287491010331268</v>
      </c>
      <c r="X163" s="28" t="n">
        <f aca="false">IF(X161=0,0,X162/X161)</f>
        <v>0.282830895813142</v>
      </c>
      <c r="Y163" s="28" t="n">
        <f aca="false">IF(Y161=0,0,Y162/Y161)</f>
        <v>0.280012562489632</v>
      </c>
    </row>
    <row r="164" customFormat="false" ht="15" hidden="false" customHeight="false" outlineLevel="0" collapsed="false">
      <c r="A164" s="5" t="s">
        <v>210</v>
      </c>
      <c r="B164" s="2"/>
      <c r="C164" s="2"/>
      <c r="D164" s="2"/>
      <c r="E164" s="2"/>
      <c r="F164" s="2"/>
      <c r="G164" s="2"/>
      <c r="H164" s="23" t="n">
        <f aca="false">SUM(H92:H111)</f>
        <v>89775</v>
      </c>
      <c r="I164" s="23" t="n">
        <f aca="false">SUM(I92:I111)</f>
        <v>94050</v>
      </c>
      <c r="J164" s="23" t="n">
        <f aca="false">SUM(J92:J111)</f>
        <v>98325</v>
      </c>
      <c r="K164" s="23" t="n">
        <f aca="false">SUM(K92:K111)</f>
        <v>102600</v>
      </c>
      <c r="L164" s="23" t="n">
        <f aca="false">SUM(L92:L111)</f>
        <v>114604.2</v>
      </c>
      <c r="M164" s="23" t="n">
        <f aca="false">SUM(M92:M111)</f>
        <v>138612.6</v>
      </c>
      <c r="N164" s="23" t="n">
        <f aca="false">SUM(N92:N111)</f>
        <v>166622.4</v>
      </c>
      <c r="O164" s="23" t="n">
        <f aca="false">SUM(O92:O111)</f>
        <v>195132.375</v>
      </c>
      <c r="P164" s="23" t="n">
        <f aca="false">SUM(P92:P111)</f>
        <v>225643.05</v>
      </c>
      <c r="Q164" s="23" t="n">
        <f aca="false">SUM(Q92:Q111)</f>
        <v>225395.1</v>
      </c>
      <c r="R164" s="23" t="n">
        <f aca="false">SUM(R92:R111)</f>
        <v>245920.8</v>
      </c>
      <c r="S164" s="23" t="n">
        <f aca="false">SUM(S92:S111)</f>
        <v>260963.1</v>
      </c>
      <c r="T164" s="23" t="n">
        <f aca="false">SUM(T92:T111)</f>
        <v>270151.5</v>
      </c>
      <c r="U164" s="23" t="n">
        <f aca="false">SUM(U92:U111)</f>
        <v>278673</v>
      </c>
      <c r="V164" s="23" t="n">
        <f aca="false">SUM(V92:V111)</f>
        <v>288306</v>
      </c>
      <c r="W164" s="23" t="n">
        <f aca="false">SUM(W92:W111)</f>
        <v>302199.75</v>
      </c>
      <c r="X164" s="23" t="n">
        <f aca="false">SUM(X92:X111)</f>
        <v>313314.75</v>
      </c>
      <c r="Y164" s="23" t="n">
        <f aca="false">SUM(Y92:Y111)</f>
        <v>320539.5</v>
      </c>
    </row>
    <row r="165" customFormat="false" ht="15" hidden="false" customHeight="false" outlineLevel="0" collapsed="false">
      <c r="A165" s="5" t="s">
        <v>211</v>
      </c>
      <c r="B165" s="2"/>
      <c r="C165" s="2"/>
      <c r="D165" s="2"/>
      <c r="E165" s="2"/>
      <c r="F165" s="2"/>
      <c r="G165" s="2"/>
      <c r="H165" s="23" t="n">
        <f aca="false">H162-H164</f>
        <v>71745.1875</v>
      </c>
      <c r="I165" s="23" t="n">
        <f aca="false">I162-I164</f>
        <v>75161.625</v>
      </c>
      <c r="J165" s="23" t="n">
        <f aca="false">J162-J164</f>
        <v>78578.0625</v>
      </c>
      <c r="K165" s="23" t="n">
        <f aca="false">K162-K164</f>
        <v>81994.5</v>
      </c>
      <c r="L165" s="23" t="n">
        <f aca="false">L162-L164</f>
        <v>100480.968</v>
      </c>
      <c r="M165" s="23" t="n">
        <f aca="false">M162-M164</f>
        <v>137453.904</v>
      </c>
      <c r="N165" s="23" t="n">
        <f aca="false">N162-N164</f>
        <v>180588.996</v>
      </c>
      <c r="O165" s="23" t="n">
        <f aca="false">O162-O164</f>
        <v>218989.098</v>
      </c>
      <c r="P165" s="23" t="n">
        <f aca="false">P162-P164</f>
        <v>249459.759</v>
      </c>
      <c r="Q165" s="23" t="n">
        <f aca="false">Q162-Q164</f>
        <v>299537.3655</v>
      </c>
      <c r="R165" s="23" t="n">
        <f aca="false">R162-R164</f>
        <v>328479.219</v>
      </c>
      <c r="S165" s="23" t="n">
        <f aca="false">S162-S164</f>
        <v>350824.6905</v>
      </c>
      <c r="T165" s="23" t="n">
        <f aca="false">T162-T164</f>
        <v>366510.795</v>
      </c>
      <c r="U165" s="23" t="n">
        <f aca="false">U162-U164</f>
        <v>369910.1325</v>
      </c>
      <c r="V165" s="23" t="n">
        <f aca="false">V162-V164</f>
        <v>375449.1075</v>
      </c>
      <c r="W165" s="23" t="n">
        <f aca="false">W162-W164</f>
        <v>385288.66125</v>
      </c>
      <c r="X165" s="23" t="n">
        <f aca="false">X162-X164</f>
        <v>393680.48625</v>
      </c>
      <c r="Y165" s="23" t="n">
        <f aca="false">Y162-Y164</f>
        <v>399135.1725</v>
      </c>
    </row>
    <row r="166" customFormat="false" ht="15" hidden="false" customHeight="false" outlineLevel="0" collapsed="false">
      <c r="A166" s="5" t="s">
        <v>212</v>
      </c>
      <c r="B166" s="2"/>
      <c r="C166" s="2"/>
      <c r="D166" s="2"/>
      <c r="E166" s="2"/>
      <c r="F166" s="2"/>
      <c r="G166" s="2"/>
      <c r="H166" s="23" t="n">
        <f aca="false">IF(H159=0,0,H165/H159)</f>
        <v>1078.875</v>
      </c>
      <c r="I166" s="23" t="n">
        <f aca="false">IF(I159=0,0,I165/I159)</f>
        <v>1078.875</v>
      </c>
      <c r="J166" s="23" t="n">
        <f aca="false">IF(J159=0,0,J165/J159)</f>
        <v>1078.875</v>
      </c>
      <c r="K166" s="23" t="n">
        <f aca="false">IF(K159=0,0,K165/K159)</f>
        <v>1078.875</v>
      </c>
      <c r="L166" s="23" t="n">
        <f aca="false">IF(L159=0,0,L165/L159)</f>
        <v>1183.63294538944</v>
      </c>
      <c r="M166" s="23" t="n">
        <f aca="false">IF(M159=0,0,M165/M159)</f>
        <v>1338.71502590674</v>
      </c>
      <c r="N166" s="23" t="n">
        <f aca="false">IF(N159=0,0,N165/N159)</f>
        <v>1463.15948275862</v>
      </c>
      <c r="O166" s="23" t="n">
        <f aca="false">IF(O159=0,0,O165/O159)</f>
        <v>1515.04988498193</v>
      </c>
      <c r="P166" s="23" t="n">
        <f aca="false">IF(P159=0,0,P165/P159)</f>
        <v>1492.49300898034</v>
      </c>
      <c r="Q166" s="23" t="n">
        <f aca="false">IF(Q159=0,0,Q165/Q159)</f>
        <v>1594.73226614066</v>
      </c>
      <c r="R166" s="23" t="n">
        <f aca="false">IF(R159=0,0,R165/R159)</f>
        <v>1574.39030574341</v>
      </c>
      <c r="S166" s="23" t="n">
        <f aca="false">IF(S159=0,0,S165/S159)</f>
        <v>1534.77192982456</v>
      </c>
      <c r="T166" s="23" t="n">
        <f aca="false">IF(T159=0,0,T165/T159)</f>
        <v>1485.42049029591</v>
      </c>
      <c r="U166" s="23" t="n">
        <f aca="false">IF(U159=0,0,U165/U159)</f>
        <v>1394.49937090914</v>
      </c>
      <c r="V166" s="23" t="n">
        <f aca="false">IF(V159=0,0,V165/V159)</f>
        <v>1322.98798842449</v>
      </c>
      <c r="W166" s="23" t="n">
        <f aca="false">IF(W159=0,0,W165/W159)</f>
        <v>1251.46034665465</v>
      </c>
      <c r="X166" s="23" t="n">
        <f aca="false">IF(X159=0,0,X165/X159)</f>
        <v>1206.14279805604</v>
      </c>
      <c r="Y166" s="23" t="n">
        <f aca="false">IF(Y159=0,0,Y165/Y159)</f>
        <v>1179.3467700831</v>
      </c>
    </row>
    <row r="167" customFormat="false" ht="15" hidden="false" customHeight="false" outlineLevel="0" collapsed="false">
      <c r="A167" s="5" t="s">
        <v>213</v>
      </c>
      <c r="B167" s="2"/>
      <c r="C167" s="2"/>
      <c r="D167" s="2"/>
      <c r="E167" s="2"/>
      <c r="F167" s="2"/>
      <c r="G167" s="2"/>
      <c r="H167" s="23" t="n">
        <f aca="false">($C$17+IF(H$45&gt;=$C$19,$C$18,0)+$C$20*((H$45&gt;=$C$21+$C$15)+(H$45&gt;=$C$22+$C$15)+(H$45&gt;=$C$23+$C$15)*(H$45&lt;$C$40)))*$C$16</f>
        <v>414000</v>
      </c>
      <c r="I167" s="23" t="n">
        <f aca="false">($C$17+IF(I$45&gt;=$C$19,$C$18,0)+$C$20*((I$45&gt;=$C$21+$C$15)+(I$45&gt;=$C$22+$C$15)+(I$45&gt;=$C$23+$C$15)*(I$45&lt;$C$40)))*$C$16</f>
        <v>460000</v>
      </c>
      <c r="J167" s="23" t="n">
        <f aca="false">($C$17+IF(J$45&gt;=$C$19,$C$18,0)+$C$20*((J$45&gt;=$C$21+$C$15)+(J$45&gt;=$C$22+$C$15)+(J$45&gt;=$C$23+$C$15)*(J$45&lt;$C$40)))*$C$16</f>
        <v>460000</v>
      </c>
      <c r="K167" s="23" t="n">
        <f aca="false">($C$17+IF(K$45&gt;=$C$19,$C$18,0)+$C$20*((K$45&gt;=$C$21+$C$15)+(K$45&gt;=$C$22+$C$15)+(K$45&gt;=$C$23+$C$15)*(K$45&lt;$C$40)))*$C$16</f>
        <v>517500</v>
      </c>
      <c r="L167" s="23" t="n">
        <f aca="false">($C$17+IF(L$45&gt;=$C$19,$C$18,0)+$C$20*((L$45&gt;=$C$21+$C$15)+(L$45&gt;=$C$22+$C$15)+(L$45&gt;=$C$23+$C$15)*(L$45&lt;$C$40)))*$C$16</f>
        <v>517500</v>
      </c>
      <c r="M167" s="23" t="n">
        <f aca="false">($C$17+IF(M$45&gt;=$C$19,$C$18,0)+$C$20*((M$45&gt;=$C$21+$C$15)+(M$45&gt;=$C$22+$C$15)+(M$45&gt;=$C$23+$C$15)*(M$45&lt;$C$40)))*$C$16</f>
        <v>517500</v>
      </c>
      <c r="N167" s="23" t="n">
        <f aca="false">($C$17+IF(N$45&gt;=$C$19,$C$18,0)+$C$20*((N$45&gt;=$C$21+$C$15)+(N$45&gt;=$C$22+$C$15)+(N$45&gt;=$C$23+$C$15)*(N$45&lt;$C$40)))*$C$16</f>
        <v>575000</v>
      </c>
      <c r="O167" s="23" t="n">
        <f aca="false">($C$17+IF(O$45&gt;=$C$19,$C$18,0)+$C$20*((O$45&gt;=$C$21+$C$15)+(O$45&gt;=$C$22+$C$15)+(O$45&gt;=$C$23+$C$15)*(O$45&lt;$C$40)))*$C$16</f>
        <v>575000</v>
      </c>
      <c r="P167" s="23" t="n">
        <f aca="false">($C$17+IF(P$45&gt;=$C$19,$C$18,0)+$C$20*((P$45&gt;=$C$21+$C$15)+(P$45&gt;=$C$22+$C$15)+(P$45&gt;=$C$23+$C$15)*(P$45&lt;$C$40)))*$C$16</f>
        <v>575000</v>
      </c>
      <c r="Q167" s="23" t="n">
        <f aca="false">($C$17+IF(Q$45&gt;=$C$19,$C$18,0)+$C$20*((Q$45&gt;=$C$21+$C$15)+(Q$45&gt;=$C$22+$C$15)+(Q$45&gt;=$C$23+$C$15)*(Q$45&lt;$C$40)))*$C$16</f>
        <v>632500</v>
      </c>
      <c r="R167" s="23" t="n">
        <f aca="false">($C$17+IF(R$45&gt;=$C$19,$C$18,0)+$C$20*((R$45&gt;=$C$21+$C$15)+(R$45&gt;=$C$22+$C$15)+(R$45&gt;=$C$23+$C$15)*(R$45&lt;$C$40)))*$C$16</f>
        <v>632500</v>
      </c>
      <c r="S167" s="23" t="n">
        <f aca="false">($C$17+IF(S$45&gt;=$C$19,$C$18,0)+$C$20*((S$45&gt;=$C$21+$C$15)+(S$45&gt;=$C$22+$C$15)+(S$45&gt;=$C$23+$C$15)*(S$45&lt;$C$40)))*$C$16</f>
        <v>632500</v>
      </c>
      <c r="T167" s="23" t="n">
        <f aca="false">($C$17+IF(T$45&gt;=$C$19,$C$18,0)+$C$20*((T$45&gt;=$C$21+$C$15)+(T$45&gt;=$C$22+$C$15)+(T$45&gt;=$C$23+$C$15)*(T$45&lt;$C$40)))*$C$16</f>
        <v>632500</v>
      </c>
      <c r="U167" s="23" t="n">
        <f aca="false">($C$17+IF(U$45&gt;=$C$19,$C$18,0)+$C$20*((U$45&gt;=$C$21+$C$15)+(U$45&gt;=$C$22+$C$15)+(U$45&gt;=$C$23+$C$15)*(U$45&lt;$C$40)))*$C$16</f>
        <v>632500</v>
      </c>
      <c r="V167" s="23" t="n">
        <f aca="false">($C$17+IF(V$45&gt;=$C$19,$C$18,0)+$C$20*((V$45&gt;=$C$21+$C$15)+(V$45&gt;=$C$22+$C$15)+(V$45&gt;=$C$23+$C$15)*(V$45&lt;$C$40)))*$C$16</f>
        <v>632500</v>
      </c>
      <c r="W167" s="23" t="n">
        <f aca="false">($C$17+IF(W$45&gt;=$C$19,$C$18,0)+$C$20*((W$45&gt;=$C$21+$C$15)+(W$45&gt;=$C$22+$C$15)+(W$45&gt;=$C$23+$C$15)*(W$45&lt;$C$40)))*$C$16</f>
        <v>632500</v>
      </c>
      <c r="X167" s="23" t="n">
        <f aca="false">($C$17+IF(X$45&gt;=$C$19,$C$18,0)+$C$20*((X$45&gt;=$C$21+$C$15)+(X$45&gt;=$C$22+$C$15)+(X$45&gt;=$C$23+$C$15)*(X$45&lt;$C$40)))*$C$16</f>
        <v>632500</v>
      </c>
      <c r="Y167" s="23" t="n">
        <f aca="false">($C$17+IF(Y$45&gt;=$C$19,$C$18,0)+$C$20*((Y$45&gt;=$C$21+$C$15)+(Y$45&gt;=$C$22+$C$15)+(Y$45&gt;=$C$23+$C$15)*(Y$45&lt;$C$40)))*$C$16</f>
        <v>632500</v>
      </c>
    </row>
    <row r="168" customFormat="false" ht="15" hidden="false" customHeight="false" outlineLevel="0" collapsed="false">
      <c r="A168" s="5" t="s">
        <v>214</v>
      </c>
      <c r="B168" s="2"/>
      <c r="C168" s="2"/>
      <c r="D168" s="2"/>
      <c r="E168" s="2"/>
      <c r="F168" s="2"/>
      <c r="G168" s="2"/>
      <c r="H168" s="24" t="n">
        <f aca="false">H159*$C$36*(1-H175)/(1-$C$32)</f>
        <v>26.9325</v>
      </c>
      <c r="I168" s="24" t="n">
        <f aca="false">I159*$C$36*(1-I175)/(1-$C$32)</f>
        <v>28.215</v>
      </c>
      <c r="J168" s="24" t="n">
        <f aca="false">J159*$C$36*(1-J175)/(1-$C$32)</f>
        <v>29.4975</v>
      </c>
      <c r="K168" s="24" t="n">
        <f aca="false">K159*$C$36*(1-K175)/(1-$C$32)</f>
        <v>29.3648275862069</v>
      </c>
      <c r="L168" s="24" t="n">
        <f aca="false">L159*$C$36*(1-L175)/(1-$C$32)</f>
        <v>31.2197648275862</v>
      </c>
      <c r="M168" s="24" t="n">
        <f aca="false">M159*$C$36*(1-M175)/(1-$C$32)</f>
        <v>35.8480862068966</v>
      </c>
      <c r="N168" s="24" t="n">
        <f aca="false">N159*$C$36*(1-N175)/(1-$C$32)</f>
        <v>40.79376</v>
      </c>
      <c r="O168" s="24" t="n">
        <f aca="false">O159*$C$36*(1-O175)/(1-$C$32)</f>
        <v>45.0823073275862</v>
      </c>
      <c r="P168" s="24" t="n">
        <f aca="false">P159*$C$36*(1-P175)/(1-$C$32)</f>
        <v>49.0190074137931</v>
      </c>
      <c r="Q168" s="24" t="n">
        <f aca="false">Q159*$C$36*(1-Q175)/(1-$C$32)</f>
        <v>55.0857852155172</v>
      </c>
      <c r="R168" s="24" t="n">
        <f aca="false">R159*$C$36*(1-R175)/(1-$C$32)</f>
        <v>61.1887825862069</v>
      </c>
      <c r="S168" s="24" t="n">
        <f aca="false">S159*$C$36*(1-S175)/(1-$C$32)</f>
        <v>67.0382429741379</v>
      </c>
      <c r="T168" s="24" t="n">
        <f aca="false">T159*$C$36*(1-T175)/(1-$C$32)</f>
        <v>72.362519612069</v>
      </c>
      <c r="U168" s="24" t="n">
        <f aca="false">U159*$C$36*(1-U175)/(1-$C$32)</f>
        <v>78.1901656576289</v>
      </c>
      <c r="V168" s="24" t="n">
        <f aca="false">V159*$C$36*(1-V175)/(1-$C$32)</f>
        <v>84.3846798888597</v>
      </c>
      <c r="W168" s="24" t="n">
        <f aca="false">W159*$C$36*(1-W175)/(1-$C$32)</f>
        <v>92.55087644203</v>
      </c>
      <c r="X168" s="24" t="n">
        <f aca="false">X159*$C$36*(1-X175)/(1-$C$32)</f>
        <v>99.4168114981314</v>
      </c>
      <c r="Y168" s="24" t="n">
        <f aca="false">Y159*$C$36*(1-Y175)/(1-$C$32)</f>
        <v>104.438867246682</v>
      </c>
    </row>
    <row r="169" customFormat="false" ht="15" hidden="false" customHeight="false" outlineLevel="0" collapsed="false">
      <c r="A169" s="5" t="s">
        <v>215</v>
      </c>
      <c r="B169" s="2"/>
      <c r="C169" s="2"/>
      <c r="D169" s="2"/>
      <c r="E169" s="2"/>
      <c r="F169" s="2"/>
      <c r="G169" s="2"/>
      <c r="H169" s="23" t="n">
        <f aca="false">H168*$C$35*(1-$C$37)</f>
        <v>8079.75</v>
      </c>
      <c r="I169" s="23" t="n">
        <f aca="false">I168*$C$35*(1-$C$37)</f>
        <v>8464.5</v>
      </c>
      <c r="J169" s="23" t="n">
        <f aca="false">J168*$C$35*(1-$C$37)</f>
        <v>8849.25</v>
      </c>
      <c r="K169" s="23" t="n">
        <f aca="false">K168*$C$35*(1-$C$37)</f>
        <v>8809.44827586207</v>
      </c>
      <c r="L169" s="23" t="n">
        <f aca="false">L168*$C$35*(1-$C$37)</f>
        <v>9365.92944827586</v>
      </c>
      <c r="M169" s="23" t="n">
        <f aca="false">M168*$C$35*(1-$C$37)</f>
        <v>10754.425862069</v>
      </c>
      <c r="N169" s="23" t="n">
        <f aca="false">N168*$C$35*(1-$C$37)</f>
        <v>12238.128</v>
      </c>
      <c r="O169" s="23" t="n">
        <f aca="false">O168*$C$35*(1-$C$37)</f>
        <v>13524.6921982759</v>
      </c>
      <c r="P169" s="23" t="n">
        <f aca="false">P168*$C$35*(1-$C$37)</f>
        <v>14705.7022241379</v>
      </c>
      <c r="Q169" s="23" t="n">
        <f aca="false">Q168*$C$35*(1-$C$37)</f>
        <v>16525.7355646552</v>
      </c>
      <c r="R169" s="23" t="n">
        <f aca="false">R168*$C$35*(1-$C$37)</f>
        <v>18356.6347758621</v>
      </c>
      <c r="S169" s="23" t="n">
        <f aca="false">S168*$C$35*(1-$C$37)</f>
        <v>20111.4728922414</v>
      </c>
      <c r="T169" s="23" t="n">
        <f aca="false">T168*$C$35*(1-$C$37)</f>
        <v>21708.7558836207</v>
      </c>
      <c r="U169" s="23" t="n">
        <f aca="false">U168*$C$35*(1-$C$37)</f>
        <v>23457.0496972887</v>
      </c>
      <c r="V169" s="23" t="n">
        <f aca="false">V168*$C$35*(1-$C$37)</f>
        <v>25315.4039666579</v>
      </c>
      <c r="W169" s="23" t="n">
        <f aca="false">W168*$C$35*(1-$C$37)</f>
        <v>27765.262932609</v>
      </c>
      <c r="X169" s="23" t="n">
        <f aca="false">X168*$C$35*(1-$C$37)</f>
        <v>29825.0434494394</v>
      </c>
      <c r="Y169" s="23" t="n">
        <f aca="false">Y168*$C$35*(1-$C$37)</f>
        <v>31331.6601740046</v>
      </c>
    </row>
    <row r="170" customFormat="false" ht="15" hidden="false" customHeight="false" outlineLevel="0" collapsed="false">
      <c r="A170" s="5" t="s">
        <v>216</v>
      </c>
      <c r="B170" s="2"/>
      <c r="C170" s="2"/>
      <c r="D170" s="2"/>
      <c r="E170" s="2"/>
      <c r="F170" s="2"/>
      <c r="G170" s="2"/>
      <c r="H170" s="23" t="n">
        <f aca="false">H165-H167-H169</f>
        <v>-350334.5625</v>
      </c>
      <c r="I170" s="23" t="n">
        <f aca="false">I165-I167-I169</f>
        <v>-393302.875</v>
      </c>
      <c r="J170" s="23" t="n">
        <f aca="false">J165-J167-J169</f>
        <v>-390271.1875</v>
      </c>
      <c r="K170" s="23" t="n">
        <f aca="false">K165-K167-K169</f>
        <v>-444314.948275862</v>
      </c>
      <c r="L170" s="23" t="n">
        <f aca="false">L165-L167-L169</f>
        <v>-426384.961448276</v>
      </c>
      <c r="M170" s="23" t="n">
        <f aca="false">M165-M167-M169</f>
        <v>-390800.521862069</v>
      </c>
      <c r="N170" s="23" t="n">
        <f aca="false">N165-N167-N169</f>
        <v>-406649.132</v>
      </c>
      <c r="O170" s="23" t="n">
        <f aca="false">O165-O167-O169</f>
        <v>-369535.594198276</v>
      </c>
      <c r="P170" s="23" t="n">
        <f aca="false">P165-P167-P169</f>
        <v>-340245.943224138</v>
      </c>
      <c r="Q170" s="23" t="n">
        <f aca="false">Q165-Q167-Q169</f>
        <v>-349488.370064655</v>
      </c>
      <c r="R170" s="23" t="n">
        <f aca="false">R165-R167-R169</f>
        <v>-322377.415775862</v>
      </c>
      <c r="S170" s="23" t="n">
        <f aca="false">S165-S167-S169</f>
        <v>-301786.782392241</v>
      </c>
      <c r="T170" s="23" t="n">
        <f aca="false">T165-T167-T169</f>
        <v>-287697.960883621</v>
      </c>
      <c r="U170" s="23" t="n">
        <f aca="false">U165-U167-U169</f>
        <v>-286046.917197289</v>
      </c>
      <c r="V170" s="23" t="n">
        <f aca="false">V165-V167-V169</f>
        <v>-282366.296466658</v>
      </c>
      <c r="W170" s="23" t="n">
        <f aca="false">W165-W167-W169</f>
        <v>-274976.601682609</v>
      </c>
      <c r="X170" s="23" t="n">
        <f aca="false">X165-X167-X169</f>
        <v>-268644.557199439</v>
      </c>
      <c r="Y170" s="23" t="n">
        <f aca="false">Y165-Y167-Y169</f>
        <v>-264696.487674005</v>
      </c>
    </row>
    <row r="171" customFormat="false" ht="15" hidden="false" customHeight="false" outlineLevel="0" collapsed="false">
      <c r="A171" s="5" t="s">
        <v>217</v>
      </c>
      <c r="B171" s="2"/>
      <c r="C171" s="2"/>
      <c r="D171" s="2"/>
      <c r="E171" s="2"/>
      <c r="F171" s="2"/>
      <c r="G171" s="2"/>
      <c r="H171" s="23" t="n">
        <f aca="false">SUM(H114:H133)</f>
        <v>240000</v>
      </c>
      <c r="I171" s="23" t="n">
        <f aca="false">SUM(I114:I133)</f>
        <v>0</v>
      </c>
      <c r="J171" s="23" t="n">
        <f aca="false">SUM(J114:J133)</f>
        <v>0</v>
      </c>
      <c r="K171" s="23" t="n">
        <f aca="false">SUM(K114:K133)</f>
        <v>240000</v>
      </c>
      <c r="L171" s="23" t="n">
        <f aca="false">SUM(L114:L133)</f>
        <v>240000</v>
      </c>
      <c r="M171" s="23" t="n">
        <f aca="false">SUM(M114:M133)</f>
        <v>120000</v>
      </c>
      <c r="N171" s="23" t="n">
        <f aca="false">SUM(N114:N133)</f>
        <v>120000</v>
      </c>
      <c r="O171" s="23" t="n">
        <f aca="false">SUM(O114:O133)</f>
        <v>240000</v>
      </c>
      <c r="P171" s="23" t="n">
        <f aca="false">SUM(P114:P133)</f>
        <v>120000</v>
      </c>
      <c r="Q171" s="23" t="n">
        <f aca="false">SUM(Q114:Q133)</f>
        <v>70000</v>
      </c>
      <c r="R171" s="23" t="n">
        <f aca="false">SUM(R114:R133)</f>
        <v>70000</v>
      </c>
      <c r="S171" s="23" t="n">
        <f aca="false">SUM(S114:S133)</f>
        <v>70000</v>
      </c>
      <c r="T171" s="23" t="n">
        <f aca="false">SUM(T114:T133)</f>
        <v>45000</v>
      </c>
      <c r="U171" s="23" t="n">
        <f aca="false">SUM(U114:U133)</f>
        <v>45000</v>
      </c>
      <c r="V171" s="23" t="n">
        <f aca="false">SUM(V114:V133)</f>
        <v>90000</v>
      </c>
      <c r="W171" s="23" t="n">
        <f aca="false">SUM(W114:W133)</f>
        <v>0</v>
      </c>
      <c r="X171" s="23" t="n">
        <f aca="false">SUM(X114:X133)</f>
        <v>0</v>
      </c>
      <c r="Y171" s="23" t="n">
        <f aca="false">SUM(Y114:Y133)</f>
        <v>0</v>
      </c>
    </row>
    <row r="172" customFormat="false" ht="15" hidden="false" customHeight="false" outlineLevel="0" collapsed="false">
      <c r="A172" s="5" t="s">
        <v>218</v>
      </c>
      <c r="B172" s="2"/>
      <c r="C172" s="2"/>
      <c r="D172" s="2"/>
      <c r="E172" s="2"/>
      <c r="F172" s="2"/>
      <c r="G172" s="2"/>
      <c r="H172" s="23" t="n">
        <f aca="false">H170-H171</f>
        <v>-590334.5625</v>
      </c>
      <c r="I172" s="23" t="n">
        <f aca="false">I170-I171</f>
        <v>-393302.875</v>
      </c>
      <c r="J172" s="23" t="n">
        <f aca="false">J170-J171</f>
        <v>-390271.1875</v>
      </c>
      <c r="K172" s="23" t="n">
        <f aca="false">K170-K171</f>
        <v>-684314.948275862</v>
      </c>
      <c r="L172" s="23" t="n">
        <f aca="false">L170-L171</f>
        <v>-666384.961448276</v>
      </c>
      <c r="M172" s="23" t="n">
        <f aca="false">M170-M171</f>
        <v>-510800.521862069</v>
      </c>
      <c r="N172" s="23" t="n">
        <f aca="false">N170-N171</f>
        <v>-526649.132</v>
      </c>
      <c r="O172" s="23" t="n">
        <f aca="false">O170-O171</f>
        <v>-609535.594198276</v>
      </c>
      <c r="P172" s="23" t="n">
        <f aca="false">P170-P171</f>
        <v>-460245.943224138</v>
      </c>
      <c r="Q172" s="23" t="n">
        <f aca="false">Q170-Q171</f>
        <v>-419488.370064655</v>
      </c>
      <c r="R172" s="23" t="n">
        <f aca="false">R170-R171</f>
        <v>-392377.415775862</v>
      </c>
      <c r="S172" s="23" t="n">
        <f aca="false">S170-S171</f>
        <v>-371786.782392241</v>
      </c>
      <c r="T172" s="23" t="n">
        <f aca="false">T170-T171</f>
        <v>-332697.960883621</v>
      </c>
      <c r="U172" s="23" t="n">
        <f aca="false">U170-U171</f>
        <v>-331046.917197289</v>
      </c>
      <c r="V172" s="23" t="n">
        <f aca="false">V170-V171</f>
        <v>-372366.296466658</v>
      </c>
      <c r="W172" s="23" t="n">
        <f aca="false">W170-W171</f>
        <v>-274976.601682609</v>
      </c>
      <c r="X172" s="23" t="n">
        <f aca="false">X170-X171</f>
        <v>-268644.557199439</v>
      </c>
      <c r="Y172" s="23" t="n">
        <f aca="false">Y170-Y171</f>
        <v>-264696.487674005</v>
      </c>
    </row>
    <row r="173" customFormat="false" ht="15" hidden="false" customHeight="false" outlineLevel="0" collapsed="false">
      <c r="A173" s="5" t="s">
        <v>219</v>
      </c>
      <c r="B173" s="2"/>
      <c r="C173" s="2"/>
      <c r="D173" s="2"/>
      <c r="E173" s="2"/>
      <c r="F173" s="2"/>
      <c r="G173" s="2"/>
      <c r="H173" s="23" t="n">
        <f aca="false">$C$33+H172</f>
        <v>11409665.4375</v>
      </c>
      <c r="I173" s="23" t="n">
        <f aca="false">H173+I172</f>
        <v>11016362.5625</v>
      </c>
      <c r="J173" s="23" t="n">
        <f aca="false">I173+J172</f>
        <v>10626091.375</v>
      </c>
      <c r="K173" s="23" t="n">
        <f aca="false">J173+K172</f>
        <v>9941776.42672414</v>
      </c>
      <c r="L173" s="23" t="n">
        <f aca="false">K173+L172</f>
        <v>9275391.46527586</v>
      </c>
      <c r="M173" s="23" t="n">
        <f aca="false">L173+M172</f>
        <v>8764590.94341379</v>
      </c>
      <c r="N173" s="23" t="n">
        <f aca="false">M173+N172</f>
        <v>8237941.81141379</v>
      </c>
      <c r="O173" s="23" t="n">
        <f aca="false">N173+O172</f>
        <v>7628406.21721552</v>
      </c>
      <c r="P173" s="23" t="n">
        <f aca="false">O173+P172</f>
        <v>7168160.27399138</v>
      </c>
      <c r="Q173" s="23" t="n">
        <f aca="false">P173+Q172</f>
        <v>6748671.90392672</v>
      </c>
      <c r="R173" s="23" t="n">
        <f aca="false">Q173+R172</f>
        <v>6356294.48815086</v>
      </c>
      <c r="S173" s="23" t="n">
        <f aca="false">R173+S172</f>
        <v>5984507.70575862</v>
      </c>
      <c r="T173" s="23" t="n">
        <f aca="false">S173+T172</f>
        <v>5651809.744875</v>
      </c>
      <c r="U173" s="23" t="n">
        <f aca="false">T173+U172</f>
        <v>5320762.82767771</v>
      </c>
      <c r="V173" s="23" t="n">
        <f aca="false">U173+V172</f>
        <v>4948396.53121105</v>
      </c>
      <c r="W173" s="23" t="n">
        <f aca="false">V173+W172</f>
        <v>4673419.92952844</v>
      </c>
      <c r="X173" s="23" t="n">
        <f aca="false">W173+X172</f>
        <v>4404775.37232901</v>
      </c>
      <c r="Y173" s="23" t="n">
        <f aca="false">X173+Y172</f>
        <v>4140078.884655</v>
      </c>
    </row>
    <row r="174" customFormat="false" ht="15" hidden="false" customHeight="false" outlineLevel="0" collapsed="false">
      <c r="A174" s="5" t="s">
        <v>220</v>
      </c>
      <c r="B174" s="2"/>
      <c r="C174" s="2"/>
      <c r="D174" s="2"/>
      <c r="E174" s="2"/>
      <c r="F174" s="2"/>
      <c r="G174" s="2"/>
      <c r="H174" s="28" t="n">
        <f aca="false">IF(H159=0,0,SUM(H136:H155)/H159)</f>
        <v>0.806666666666667</v>
      </c>
      <c r="I174" s="28" t="n">
        <f aca="false">IF(I159=0,0,SUM(I136:I155)/I159)</f>
        <v>0.833333333333333</v>
      </c>
      <c r="J174" s="28" t="n">
        <f aca="false">IF(J159=0,0,SUM(J136:J155)/J159)</f>
        <v>0.86</v>
      </c>
      <c r="K174" s="28" t="n">
        <f aca="false">IF(K159=0,0,SUM(K136:K155)/K159)</f>
        <v>0.886666666666667</v>
      </c>
      <c r="L174" s="28" t="n">
        <f aca="false">IF(L159=0,0,SUM(L136:L155)/L159)</f>
        <v>0.913333333333333</v>
      </c>
      <c r="M174" s="28" t="n">
        <f aca="false">IF(M159=0,0,SUM(M136:M155)/M159)</f>
        <v>0.94</v>
      </c>
      <c r="N174" s="28" t="n">
        <f aca="false">IF(N159=0,0,SUM(N136:N155)/N159)</f>
        <v>0.94</v>
      </c>
      <c r="O174" s="28" t="n">
        <f aca="false">IF(O159=0,0,SUM(O136:O155)/O159)</f>
        <v>0.94</v>
      </c>
      <c r="P174" s="28" t="n">
        <f aca="false">IF(P159=0,0,SUM(P136:P155)/P159)</f>
        <v>0.94</v>
      </c>
      <c r="Q174" s="28" t="n">
        <f aca="false">IF(Q159=0,0,SUM(Q136:Q155)/Q159)</f>
        <v>0.94</v>
      </c>
      <c r="R174" s="28" t="n">
        <f aca="false">IF(R159=0,0,SUM(R136:R155)/R159)</f>
        <v>0.937869046534924</v>
      </c>
      <c r="S174" s="28" t="n">
        <f aca="false">IF(S159=0,0,SUM(S136:S155)/S159)</f>
        <v>0.934164952309706</v>
      </c>
      <c r="T174" s="28" t="n">
        <f aca="false">IF(T159=0,0,SUM(T136:T155)/T159)</f>
        <v>0.929488882471845</v>
      </c>
      <c r="U174" s="28" t="n">
        <f aca="false">IF(U159=0,0,SUM(U136:U155)/U159)</f>
        <v>0.923798012355627</v>
      </c>
      <c r="V174" s="28" t="n">
        <f aca="false">IF(V159=0,0,SUM(V136:V155)/V159)</f>
        <v>0.918066783831283</v>
      </c>
      <c r="W174" s="28" t="n">
        <f aca="false">IF(W159=0,0,SUM(W136:W155)/W159)</f>
        <v>0.910756769266373</v>
      </c>
      <c r="X174" s="28" t="n">
        <f aca="false">IF(X159=0,0,SUM(X136:X155)/X159)</f>
        <v>0.905605762933857</v>
      </c>
      <c r="Y174" s="28" t="n">
        <f aca="false">IF(Y159=0,0,SUM(Y136:Y155)/Y159)</f>
        <v>0.90256</v>
      </c>
    </row>
    <row r="175" customFormat="false" ht="15" hidden="false" customHeight="false" outlineLevel="0" collapsed="false">
      <c r="A175" s="5" t="s">
        <v>221</v>
      </c>
      <c r="B175" s="2"/>
      <c r="C175" s="2"/>
      <c r="D175" s="2"/>
      <c r="E175" s="2"/>
      <c r="F175" s="2"/>
      <c r="G175" s="2"/>
      <c r="H175" s="28" t="n">
        <f aca="false">$C$32</f>
        <v>0.42</v>
      </c>
      <c r="I175" s="28" t="n">
        <f aca="false">$C$32</f>
        <v>0.42</v>
      </c>
      <c r="J175" s="28" t="n">
        <f aca="false">$C$32</f>
        <v>0.42</v>
      </c>
      <c r="K175" s="28" t="n">
        <f aca="false">$C$32+$C$31*(H174-$C$30)</f>
        <v>0.446666666666667</v>
      </c>
      <c r="L175" s="28" t="n">
        <f aca="false">$C$32+$C$31*(I174-$C$30)</f>
        <v>0.473333333333333</v>
      </c>
      <c r="M175" s="28" t="n">
        <f aca="false">$C$32+$C$31*(J174-$C$30)</f>
        <v>0.5</v>
      </c>
      <c r="N175" s="28" t="n">
        <f aca="false">$C$32+$C$31*(K174-$C$30)</f>
        <v>0.526666666666666</v>
      </c>
      <c r="O175" s="28" t="n">
        <f aca="false">$C$32+$C$31*(L174-$C$30)</f>
        <v>0.553333333333334</v>
      </c>
      <c r="P175" s="28" t="n">
        <f aca="false">$C$32+$C$31*(M174-$C$30)</f>
        <v>0.58</v>
      </c>
      <c r="Q175" s="28" t="n">
        <f aca="false">$C$32+$C$31*(N174-$C$30)</f>
        <v>0.58</v>
      </c>
      <c r="R175" s="28" t="n">
        <f aca="false">$C$32+$C$31*(O174-$C$30)</f>
        <v>0.58</v>
      </c>
      <c r="S175" s="28" t="n">
        <f aca="false">$C$32+$C$31*(P174-$C$30)</f>
        <v>0.58</v>
      </c>
      <c r="T175" s="28" t="n">
        <f aca="false">$C$32+$C$31*(Q174-$C$30)</f>
        <v>0.58</v>
      </c>
      <c r="U175" s="28" t="n">
        <f aca="false">$C$32+$C$31*(R174-$C$30)</f>
        <v>0.577869046534924</v>
      </c>
      <c r="V175" s="28" t="n">
        <f aca="false">$C$32+$C$31*(S174-$C$30)</f>
        <v>0.574164952309706</v>
      </c>
      <c r="W175" s="28" t="n">
        <f aca="false">$C$32+$C$31*(T174-$C$30)</f>
        <v>0.569488882471845</v>
      </c>
      <c r="X175" s="28" t="n">
        <f aca="false">$C$32+$C$31*(U174-$C$30)</f>
        <v>0.563798012355627</v>
      </c>
      <c r="Y175" s="28" t="n">
        <f aca="false">$C$32+$C$31*(V174-$C$30)</f>
        <v>0.558066783831283</v>
      </c>
    </row>
    <row r="176" customFormat="false" ht="15" hidden="false" customHeight="false" outlineLevel="0" collapsed="false">
      <c r="A176" s="5" t="s">
        <v>222</v>
      </c>
      <c r="B176" s="2"/>
      <c r="C176" s="2"/>
      <c r="D176" s="2"/>
      <c r="E176" s="2"/>
      <c r="F176" s="2"/>
      <c r="G176" s="2"/>
      <c r="H176" s="26" t="n">
        <f aca="false">IF(H170&gt;=0,H$45,99)</f>
        <v>99</v>
      </c>
      <c r="I176" s="26" t="n">
        <f aca="false">IF(I170&gt;=0,I$45,99)</f>
        <v>99</v>
      </c>
      <c r="J176" s="26" t="n">
        <f aca="false">IF(J170&gt;=0,J$45,99)</f>
        <v>99</v>
      </c>
      <c r="K176" s="26" t="n">
        <f aca="false">IF(K170&gt;=0,K$45,99)</f>
        <v>99</v>
      </c>
      <c r="L176" s="26" t="n">
        <f aca="false">IF(L170&gt;=0,L$45,99)</f>
        <v>99</v>
      </c>
      <c r="M176" s="26" t="n">
        <f aca="false">IF(M170&gt;=0,M$45,99)</f>
        <v>99</v>
      </c>
      <c r="N176" s="26" t="n">
        <f aca="false">IF(N170&gt;=0,N$45,99)</f>
        <v>99</v>
      </c>
      <c r="O176" s="26" t="n">
        <f aca="false">IF(O170&gt;=0,O$45,99)</f>
        <v>99</v>
      </c>
      <c r="P176" s="26" t="n">
        <f aca="false">IF(P170&gt;=0,P$45,99)</f>
        <v>99</v>
      </c>
      <c r="Q176" s="26" t="n">
        <f aca="false">IF(Q170&gt;=0,Q$45,99)</f>
        <v>99</v>
      </c>
      <c r="R176" s="26" t="n">
        <f aca="false">IF(R170&gt;=0,R$45,99)</f>
        <v>99</v>
      </c>
      <c r="S176" s="26" t="n">
        <f aca="false">IF(S170&gt;=0,S$45,99)</f>
        <v>99</v>
      </c>
      <c r="T176" s="26" t="n">
        <f aca="false">IF(T170&gt;=0,T$45,99)</f>
        <v>99</v>
      </c>
      <c r="U176" s="26" t="n">
        <f aca="false">IF(U170&gt;=0,U$45,99)</f>
        <v>99</v>
      </c>
      <c r="V176" s="26" t="n">
        <f aca="false">IF(V170&gt;=0,V$45,99)</f>
        <v>99</v>
      </c>
      <c r="W176" s="26" t="n">
        <f aca="false">IF(W170&gt;=0,W$45,99)</f>
        <v>99</v>
      </c>
      <c r="X176" s="26" t="n">
        <f aca="false">IF(X170&gt;=0,X$45,99)</f>
        <v>99</v>
      </c>
      <c r="Y176" s="26" t="n">
        <f aca="false">IF(Y170&gt;=0,Y$45,99)</f>
        <v>99</v>
      </c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" hidden="false" customHeight="false" outlineLevel="0" collapsed="false">
      <c r="A178" s="37" t="s">
        <v>223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customFormat="false" ht="15" hidden="false" customHeight="false" outlineLevel="0" collapsed="false">
      <c r="A179" s="5" t="s">
        <v>224</v>
      </c>
      <c r="B179" s="2"/>
      <c r="C179" s="5" t="str">
        <f aca="false">IF(MIN(H176:Y176)=99,"Not by M18",MIN(H176:Y176))</f>
        <v>Not by M18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" hidden="false" customHeight="false" outlineLevel="0" collapsed="false">
      <c r="A180" s="5" t="s">
        <v>225</v>
      </c>
      <c r="B180" s="2"/>
      <c r="C180" s="38" t="n">
        <f aca="false">S158</f>
        <v>15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" hidden="false" customHeight="false" outlineLevel="0" collapsed="false">
      <c r="A181" s="5" t="s">
        <v>226</v>
      </c>
      <c r="B181" s="2"/>
      <c r="C181" s="38" t="n">
        <f aca="false">S160</f>
        <v>1532.73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" hidden="false" customHeight="false" outlineLevel="0" collapsed="false">
      <c r="A182" s="5" t="s">
        <v>227</v>
      </c>
      <c r="B182" s="2"/>
      <c r="C182" s="39" t="n">
        <f aca="false">S174</f>
        <v>0.934164952309706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" hidden="false" customHeight="false" outlineLevel="0" collapsed="false">
      <c r="A183" s="5" t="s">
        <v>228</v>
      </c>
      <c r="B183" s="2"/>
      <c r="C183" s="39" t="n">
        <f aca="false">S175</f>
        <v>0.58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" hidden="false" customHeight="false" outlineLevel="0" collapsed="false">
      <c r="A184" s="5" t="s">
        <v>229</v>
      </c>
      <c r="B184" s="2"/>
      <c r="C184" s="40" t="n">
        <f aca="false">S170</f>
        <v>-301786.782392241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" hidden="false" customHeight="false" outlineLevel="0" collapsed="false">
      <c r="A185" s="5" t="s">
        <v>230</v>
      </c>
      <c r="B185" s="2"/>
      <c r="C185" s="40" t="n">
        <f aca="false">Y170</f>
        <v>-264696.487674005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" hidden="false" customHeight="false" outlineLevel="0" collapsed="false">
      <c r="A186" s="5" t="s">
        <v>231</v>
      </c>
      <c r="B186" s="2"/>
      <c r="C186" s="38" t="n">
        <f aca="false">Y159</f>
        <v>338.4375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" hidden="false" customHeight="false" outlineLevel="0" collapsed="false">
      <c r="A187" s="5" t="s">
        <v>232</v>
      </c>
      <c r="B187" s="2"/>
      <c r="C187" s="38" t="n">
        <f aca="false">Y160</f>
        <v>3301.22625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" hidden="false" customHeight="false" outlineLevel="0" collapsed="false">
      <c r="A188" s="5" t="s">
        <v>233</v>
      </c>
      <c r="B188" s="2"/>
      <c r="C188" s="40" t="n">
        <f aca="false">Y166</f>
        <v>1179.3467700831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" hidden="false" customHeight="false" outlineLevel="0" collapsed="false">
      <c r="A189" s="5" t="s">
        <v>234</v>
      </c>
      <c r="B189" s="2"/>
      <c r="C189" s="40" t="n">
        <f aca="false">SUM(H169:Y169)</f>
        <v>309188.845345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" hidden="false" customHeight="false" outlineLevel="0" collapsed="false">
      <c r="A190" s="5" t="s">
        <v>235</v>
      </c>
      <c r="B190" s="2"/>
      <c r="C190" s="40" t="n">
        <f aca="false">S169</f>
        <v>20111.4728922414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" hidden="false" customHeight="false" outlineLevel="0" collapsed="false">
      <c r="A191" s="5" t="s">
        <v>236</v>
      </c>
      <c r="B191" s="2"/>
      <c r="C191" s="38" t="n">
        <f aca="false">S168</f>
        <v>67.0382429741379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" hidden="false" customHeight="false" outlineLevel="0" collapsed="false">
      <c r="A192" s="5" t="s">
        <v>237</v>
      </c>
      <c r="B192" s="2"/>
      <c r="C192" s="40" t="n">
        <f aca="false">$C$33-Y173</f>
        <v>7859921.115345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" hidden="false" customHeight="false" outlineLevel="0" collapsed="false">
      <c r="A193" s="5" t="s">
        <v>238</v>
      </c>
      <c r="B193" s="2"/>
      <c r="C193" s="40" t="n">
        <f aca="false">MIN(H173:Y173)</f>
        <v>4140078.884655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" hidden="false" customHeight="false" outlineLevel="0" collapsed="false">
      <c r="A194" s="5" t="s">
        <v>239</v>
      </c>
      <c r="B194" s="2"/>
      <c r="C194" s="40" t="n">
        <f aca="false">SUM(H171:Y171)</f>
        <v>1710000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" hidden="false" customHeight="false" outlineLevel="0" collapsed="false">
      <c r="A195" s="5" t="s">
        <v>240</v>
      </c>
      <c r="B195" s="2"/>
      <c r="C195" s="40" t="n">
        <f aca="false">MIN(H170:Y170)</f>
        <v>-444314.948275862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" hidden="false" customHeight="false" outlineLevel="0" collapsed="false">
      <c r="A196" s="5" t="s">
        <v>241</v>
      </c>
      <c r="B196" s="2"/>
      <c r="C196" s="40" t="n">
        <f aca="false">$C$33-N173</f>
        <v>3762058.18858621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" hidden="false" customHeight="false" outlineLevel="0" collapsed="false">
      <c r="A197" s="5" t="s">
        <v>242</v>
      </c>
      <c r="B197" s="2"/>
      <c r="C197" s="38" t="n">
        <f aca="false">J158</f>
        <v>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" hidden="false" customHeight="false" outlineLevel="0" collapsed="false">
      <c r="A198" s="5" t="s">
        <v>243</v>
      </c>
      <c r="B198" s="2"/>
      <c r="C198" s="38" t="n">
        <f aca="false">J160</f>
        <v>209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" hidden="false" customHeight="false" outlineLevel="0" collapsed="false">
      <c r="A199" s="5" t="s">
        <v>244</v>
      </c>
      <c r="B199" s="2"/>
      <c r="C199" s="39" t="n">
        <f aca="false">J174</f>
        <v>0.86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" hidden="false" customHeight="false" outlineLevel="0" collapsed="false">
      <c r="A200" s="5" t="s">
        <v>245</v>
      </c>
      <c r="B200" s="2"/>
      <c r="C200" s="38" t="n">
        <f aca="false">M158</f>
        <v>8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" hidden="false" customHeight="false" outlineLevel="0" collapsed="false">
      <c r="A201" s="5" t="s">
        <v>246</v>
      </c>
      <c r="B201" s="2"/>
      <c r="C201" s="38" t="n">
        <f aca="false">M160</f>
        <v>472.568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" hidden="false" customHeight="false" outlineLevel="0" collapsed="false">
      <c r="A202" s="5" t="s">
        <v>247</v>
      </c>
      <c r="B202" s="2"/>
      <c r="C202" s="39" t="n">
        <f aca="false">M174</f>
        <v>0.94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" hidden="false" customHeight="false" outlineLevel="0" collapsed="false">
      <c r="A203" s="5" t="s">
        <v>248</v>
      </c>
      <c r="B203" s="2"/>
      <c r="C203" s="39" t="n">
        <f aca="false">M175</f>
        <v>0.5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" hidden="false" customHeight="false" outlineLevel="0" collapsed="false">
      <c r="A204" s="5" t="s">
        <v>249</v>
      </c>
      <c r="B204" s="2"/>
      <c r="C204" s="38" t="n">
        <f aca="false">Y158</f>
        <v>20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" hidden="false" customHeight="false" outlineLevel="0" collapsed="false">
      <c r="A205" s="5" t="s">
        <v>250</v>
      </c>
      <c r="B205" s="2"/>
      <c r="C205" s="39" t="n">
        <f aca="false">Y174</f>
        <v>0.90256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" hidden="false" customHeight="false" outlineLevel="0" collapsed="false">
      <c r="A206" s="5" t="s">
        <v>251</v>
      </c>
      <c r="B206" s="2"/>
      <c r="C206" s="39" t="n">
        <f aca="false">Y175</f>
        <v>0.558066783831283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" hidden="false" customHeight="false" outlineLevel="0" collapsed="false">
      <c r="A207" s="5" t="s">
        <v>252</v>
      </c>
      <c r="B207" s="2"/>
      <c r="C207" s="40" t="n">
        <f aca="false">M170</f>
        <v>-390800.521862069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5" topLeftCell="H46" activePane="bottomRight" state="frozen"/>
      <selection pane="topLeft" activeCell="A1" activeCellId="0" sqref="A1"/>
      <selection pane="topRight" activeCell="H1" activeCellId="0" sqref="H1"/>
      <selection pane="bottomLeft" activeCell="A46" activeCellId="0" sqref="A4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25" min="3" style="0" width="12"/>
  </cols>
  <sheetData>
    <row r="1" customFormat="false" ht="17.35" hidden="false" customHeight="false" outlineLevel="0" collapsed="false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192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" hidden="false" customHeight="false" outlineLevel="0" collapsed="false">
      <c r="A5" s="5" t="s">
        <v>10</v>
      </c>
      <c r="B5" s="29" t="str">
        <f aca="false">Assumptions!B5</f>
        <v>Capture of Exhibit 2 mature volume</v>
      </c>
      <c r="C5" s="30" t="n">
        <f aca="false">Assumptions!E5</f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" hidden="false" customHeight="false" outlineLevel="0" collapsed="false">
      <c r="A6" s="5" t="s">
        <v>14</v>
      </c>
      <c r="B6" s="29" t="str">
        <f aca="false">Assumptions!B6</f>
        <v>Ramp: share of mature volume, live month 1</v>
      </c>
      <c r="C6" s="30" t="n">
        <f aca="false">Assumptions!E6</f>
        <v>0.3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" hidden="false" customHeight="false" outlineLevel="0" collapsed="false">
      <c r="A7" s="5" t="s">
        <v>17</v>
      </c>
      <c r="B7" s="29" t="str">
        <f aca="false">Assumptions!B7</f>
        <v>Ramp: live month 2</v>
      </c>
      <c r="C7" s="30" t="n">
        <f aca="false">Assumptions!E7</f>
        <v>0.6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" hidden="false" customHeight="false" outlineLevel="0" collapsed="false">
      <c r="A8" s="5" t="s">
        <v>20</v>
      </c>
      <c r="B8" s="29" t="str">
        <f aca="false">Assumptions!B8</f>
        <v>Ramp: live month 3</v>
      </c>
      <c r="C8" s="30" t="n">
        <f aca="false">Assumptions!E8</f>
        <v>0.85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5" hidden="false" customHeight="false" outlineLevel="0" collapsed="false">
      <c r="A9" s="5" t="s">
        <v>22</v>
      </c>
      <c r="B9" s="29" t="str">
        <f aca="false">Assumptions!B9</f>
        <v>Ramp: live month 4+</v>
      </c>
      <c r="C9" s="30" t="n">
        <f aca="false">Assumptions!E9</f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15" hidden="false" customHeight="false" outlineLevel="0" collapsed="false">
      <c r="A10" s="5" t="s">
        <v>24</v>
      </c>
      <c r="B10" s="29" t="str">
        <f aca="false">Assumptions!B10</f>
        <v>Pilot host bookings/month today</v>
      </c>
      <c r="C10" s="31" t="n">
        <f aca="false">Assumptions!E10</f>
        <v>17.5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" hidden="false" customHeight="false" outlineLevel="0" collapsed="false">
      <c r="A11" s="5" t="s">
        <v>28</v>
      </c>
      <c r="B11" s="29" t="str">
        <f aca="false">Assumptions!B11</f>
        <v>Pilot host bookings/month after Assured conversion</v>
      </c>
      <c r="C11" s="31" t="n">
        <f aca="false">Assumptions!E11</f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" hidden="false" customHeight="false" outlineLevel="0" collapsed="false">
      <c r="A12" s="5" t="s">
        <v>31</v>
      </c>
      <c r="B12" s="29" t="str">
        <f aca="false">Assumptions!B12</f>
        <v>Months for pilot hosts to reach target</v>
      </c>
      <c r="C12" s="32" t="n">
        <f aca="false">Assumptions!E12</f>
        <v>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" hidden="false" customHeight="false" outlineLevel="0" collapsed="false">
      <c r="A13" s="5" t="s">
        <v>34</v>
      </c>
      <c r="B13" s="29" t="str">
        <f aca="false">Assumptions!B13</f>
        <v>Average booking value multiplier</v>
      </c>
      <c r="C13" s="33" t="n">
        <f aca="false">Assumptions!E13</f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5" hidden="false" customHeight="false" outlineLevel="0" collapsed="false">
      <c r="A14" s="5" t="s">
        <v>38</v>
      </c>
      <c r="B14" s="29" t="str">
        <f aca="false">Assumptions!B14</f>
        <v>Bookings lost to cancellation (beyond tier on-time)</v>
      </c>
      <c r="C14" s="30" t="n">
        <f aca="false">Assumptions!E14</f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" hidden="false" customHeight="false" outlineLevel="0" collapsed="false">
      <c r="A15" s="5" t="s">
        <v>41</v>
      </c>
      <c r="B15" s="29" t="str">
        <f aca="false">Assumptions!B15</f>
        <v>Onboarding delay for new hosts</v>
      </c>
      <c r="C15" s="32" t="n">
        <f aca="false">Assumptions!E15</f>
        <v>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5" hidden="false" customHeight="false" outlineLevel="0" collapsed="false">
      <c r="A16" s="5" t="s">
        <v>44</v>
      </c>
      <c r="B16" s="29" t="str">
        <f aca="false">Assumptions!B16</f>
        <v>Fixed cost multiplier</v>
      </c>
      <c r="C16" s="33" t="n">
        <f aca="false">Assumptions!E16</f>
        <v>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5" hidden="false" customHeight="false" outlineLevel="0" collapsed="false">
      <c r="A17" s="5" t="s">
        <v>47</v>
      </c>
      <c r="B17" s="29" t="str">
        <f aca="false">Assumptions!B17</f>
        <v>Current fixed operating cost / month</v>
      </c>
      <c r="C17" s="34" t="n">
        <f aca="false">Assumptions!E17</f>
        <v>360000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5" hidden="false" customHeight="false" outlineLevel="0" collapsed="false">
      <c r="A18" s="5" t="s">
        <v>51</v>
      </c>
      <c r="B18" s="29" t="str">
        <f aca="false">Assumptions!B18</f>
        <v>Central trust &amp; quality lead (from month below)</v>
      </c>
      <c r="C18" s="34" t="n">
        <f aca="false">Assumptions!E18</f>
        <v>40000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5" hidden="false" customHeight="false" outlineLevel="0" collapsed="false">
      <c r="A19" s="5" t="s">
        <v>55</v>
      </c>
      <c r="B19" s="29" t="str">
        <f aca="false">Assumptions!B19</f>
        <v>Month central hire starts</v>
      </c>
      <c r="C19" s="32" t="n">
        <f aca="false">Assumptions!E19</f>
        <v>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5" hidden="false" customHeight="false" outlineLevel="0" collapsed="false">
      <c r="A20" s="5" t="s">
        <v>58</v>
      </c>
      <c r="B20" s="29" t="str">
        <f aca="false">Assumptions!B20</f>
        <v>Fixed cost per new city (city partner manager + local ops)</v>
      </c>
      <c r="C20" s="34" t="n">
        <f aca="false">Assumptions!E20</f>
        <v>50000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5" hidden="false" customHeight="false" outlineLevel="0" collapsed="false">
      <c r="A21" s="5" t="s">
        <v>61</v>
      </c>
      <c r="B21" s="29" t="str">
        <f aca="false">Assumptions!B21</f>
        <v>City 2 (Cluster A) cost starts</v>
      </c>
      <c r="C21" s="32" t="n">
        <f aca="false">Assumptions!E21</f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5" hidden="false" customHeight="false" outlineLevel="0" collapsed="false">
      <c r="A22" s="5" t="s">
        <v>64</v>
      </c>
      <c r="B22" s="29" t="str">
        <f aca="false">Assumptions!B22</f>
        <v>City 3 (Cluster C) cost starts</v>
      </c>
      <c r="C22" s="32" t="n">
        <f aca="false">Assumptions!E22</f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5" hidden="false" customHeight="false" outlineLevel="0" collapsed="false">
      <c r="A23" s="5" t="s">
        <v>66</v>
      </c>
      <c r="B23" s="29" t="str">
        <f aca="false">Assumptions!B23</f>
        <v>City 4 (Cluster B) cost starts</v>
      </c>
      <c r="C23" s="32" t="n">
        <f aca="false">Assumptions!E23</f>
        <v>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5" hidden="false" customHeight="false" outlineLevel="0" collapsed="false">
      <c r="A24" s="5" t="s">
        <v>68</v>
      </c>
      <c r="B24" s="29" t="str">
        <f aca="false">Assumptions!B24</f>
        <v>Assured variable cost after learning</v>
      </c>
      <c r="C24" s="34" t="n">
        <f aca="false">Assumptions!E24</f>
        <v>1200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15" hidden="false" customHeight="false" outlineLevel="0" collapsed="false">
      <c r="A25" s="5" t="s">
        <v>72</v>
      </c>
      <c r="B25" s="29" t="str">
        <f aca="false">Assumptions!B25</f>
        <v>Month learning applies from</v>
      </c>
      <c r="C25" s="32" t="n">
        <f aca="false">Assumptions!E25</f>
        <v>10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5" hidden="false" customHeight="false" outlineLevel="0" collapsed="false">
      <c r="A26" s="5" t="s">
        <v>74</v>
      </c>
      <c r="B26" s="29" t="str">
        <f aca="false">Assumptions!B26</f>
        <v>Priority SLA: share of Assured bookings</v>
      </c>
      <c r="C26" s="30" t="n">
        <f aca="false">Assumptions!E26</f>
        <v>0.15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5" hidden="false" customHeight="false" outlineLevel="0" collapsed="false">
      <c r="A27" s="5" t="s">
        <v>77</v>
      </c>
      <c r="B27" s="29" t="str">
        <f aca="false">Assumptions!B27</f>
        <v>Priority SLA: price uplift</v>
      </c>
      <c r="C27" s="30" t="n">
        <f aca="false">Assumptions!E27</f>
        <v>0.5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5" hidden="false" customHeight="false" outlineLevel="0" collapsed="false">
      <c r="A28" s="5" t="s">
        <v>80</v>
      </c>
      <c r="B28" s="29" t="str">
        <f aca="false">Assumptions!B28</f>
        <v>Priority SLA: share of uplift OpenBench keeps</v>
      </c>
      <c r="C28" s="30" t="n">
        <f aca="false">Assumptions!E28</f>
        <v>0.5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5" hidden="false" customHeight="false" outlineLevel="0" collapsed="false">
      <c r="A29" s="5" t="s">
        <v>83</v>
      </c>
      <c r="B29" s="29" t="str">
        <f aca="false">Assumptions!B29</f>
        <v>Months to roll out trust layer (on-time reaches tier level)</v>
      </c>
      <c r="C29" s="32" t="n">
        <f aca="false">Assumptions!E29</f>
        <v>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5" hidden="false" customHeight="false" outlineLevel="0" collapsed="false">
      <c r="A30" s="5" t="s">
        <v>85</v>
      </c>
      <c r="B30" s="29" t="str">
        <f aca="false">Assumptions!B30</f>
        <v>Starting on-time rate</v>
      </c>
      <c r="C30" s="30" t="n">
        <f aca="false">Assumptions!E30</f>
        <v>0.78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" hidden="false" customHeight="false" outlineLevel="0" collapsed="false">
      <c r="A31" s="5" t="s">
        <v>87</v>
      </c>
      <c r="B31" s="29" t="str">
        <f aca="false">Assumptions!B31</f>
        <v>Repeat-rate elasticity to on-time (1-quarter lag)</v>
      </c>
      <c r="C31" s="33" t="n">
        <f aca="false">Assumptions!E31</f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" hidden="false" customHeight="false" outlineLevel="0" collapsed="false">
      <c r="A32" s="5" t="s">
        <v>90</v>
      </c>
      <c r="B32" s="29" t="str">
        <f aca="false">Assumptions!B32</f>
        <v>Starting 90-day repeat rate</v>
      </c>
      <c r="C32" s="30" t="n">
        <f aca="false">Assumptions!E32</f>
        <v>0.42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" hidden="false" customHeight="false" outlineLevel="0" collapsed="false">
      <c r="A33" s="5" t="s">
        <v>92</v>
      </c>
      <c r="B33" s="29" t="str">
        <f aca="false">Assumptions!B33</f>
        <v>Investor capital</v>
      </c>
      <c r="C33" s="34" t="n">
        <f aca="false">Assumptions!E33</f>
        <v>12000000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" hidden="false" customHeight="false" outlineLevel="0" collapsed="false">
      <c r="A34" s="5" t="s">
        <v>95</v>
      </c>
      <c r="B34" s="29" t="str">
        <f aca="false">Assumptions!B34</f>
        <v>Pilot conversion cost (share of Assured onboarding)</v>
      </c>
      <c r="C34" s="30" t="n">
        <f aca="false">Assumptions!E34</f>
        <v>0.5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5" hidden="false" customHeight="false" outlineLevel="0" collapsed="false">
      <c r="A35" s="5" t="s">
        <v>98</v>
      </c>
      <c r="B35" s="29" t="str">
        <f aca="false">Assumptions!B35</f>
        <v>Customer-acquisition cost per paid-acquired customer organisation</v>
      </c>
      <c r="C35" s="34" t="n">
        <f aca="false">Assumptions!E35</f>
        <v>1500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5" hidden="false" customHeight="false" outlineLevel="0" collapsed="false">
      <c r="A36" s="5" t="s">
        <v>101</v>
      </c>
      <c r="B36" s="29" t="str">
        <f aca="false">Assumptions!B36</f>
        <v>New customer organisations per booking at pilot repeat</v>
      </c>
      <c r="C36" s="31" t="n">
        <f aca="false">Assumptions!E36</f>
        <v>0.405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5" hidden="false" customHeight="false" outlineLevel="0" collapsed="false">
      <c r="A37" s="5" t="s">
        <v>104</v>
      </c>
      <c r="B37" s="29" t="str">
        <f aca="false">Assumptions!B37</f>
        <v>Share of new customers won through free channels</v>
      </c>
      <c r="C37" s="30" t="n">
        <f aca="false">Assumptions!E37</f>
        <v>0.8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5" hidden="false" customHeight="false" outlineLevel="0" collapsed="false">
      <c r="A38" s="5" t="s">
        <v>107</v>
      </c>
      <c r="B38" s="29" t="str">
        <f aca="false">Assumptions!B38</f>
        <v>Onboarding funnel: contact → meeting</v>
      </c>
      <c r="C38" s="30" t="n">
        <f aca="false">Assumptions!E38</f>
        <v>0.3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5" hidden="false" customHeight="false" outlineLevel="0" collapsed="false">
      <c r="A39" s="5" t="s">
        <v>109</v>
      </c>
      <c r="B39" s="29" t="str">
        <f aca="false">Assumptions!B39</f>
        <v>Skip Cluster B Verified labs (1 = yes)</v>
      </c>
      <c r="C39" s="32" t="n">
        <f aca="false">Assumptions!E39</f>
        <v>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5" hidden="false" customHeight="false" outlineLevel="0" collapsed="false">
      <c r="A40" s="5" t="s">
        <v>113</v>
      </c>
      <c r="B40" s="29" t="str">
        <f aca="false">Assumptions!B40</f>
        <v>City-4 (Cluster B) cost removed from month</v>
      </c>
      <c r="C40" s="32" t="n">
        <f aca="false">Assumptions!E40</f>
        <v>99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5" hidden="false" customHeight="false" outlineLevel="0" collapsed="false">
      <c r="A45" s="5" t="s">
        <v>193</v>
      </c>
      <c r="B45" s="2"/>
      <c r="C45" s="2"/>
      <c r="D45" s="2"/>
      <c r="E45" s="2"/>
      <c r="F45" s="2"/>
      <c r="G45" s="2"/>
      <c r="H45" s="35" t="n">
        <v>1</v>
      </c>
      <c r="I45" s="35" t="n">
        <v>2</v>
      </c>
      <c r="J45" s="35" t="n">
        <v>3</v>
      </c>
      <c r="K45" s="35" t="n">
        <v>4</v>
      </c>
      <c r="L45" s="35" t="n">
        <v>5</v>
      </c>
      <c r="M45" s="35" t="n">
        <v>6</v>
      </c>
      <c r="N45" s="35" t="n">
        <v>7</v>
      </c>
      <c r="O45" s="35" t="n">
        <v>8</v>
      </c>
      <c r="P45" s="35" t="n">
        <v>9</v>
      </c>
      <c r="Q45" s="35" t="n">
        <v>10</v>
      </c>
      <c r="R45" s="35" t="n">
        <v>11</v>
      </c>
      <c r="S45" s="35" t="n">
        <v>12</v>
      </c>
      <c r="T45" s="35" t="n">
        <v>13</v>
      </c>
      <c r="U45" s="35" t="n">
        <v>14</v>
      </c>
      <c r="V45" s="35" t="n">
        <v>15</v>
      </c>
      <c r="W45" s="35" t="n">
        <v>16</v>
      </c>
      <c r="X45" s="35" t="n">
        <v>17</v>
      </c>
      <c r="Y45" s="35" t="n">
        <v>18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3.85" hidden="false" customHeight="false" outlineLevel="0" collapsed="false">
      <c r="A47" s="4" t="s">
        <v>194</v>
      </c>
      <c r="B47" s="4" t="s">
        <v>131</v>
      </c>
      <c r="C47" s="4" t="s">
        <v>117</v>
      </c>
      <c r="D47" s="4" t="s">
        <v>195</v>
      </c>
      <c r="E47" s="4" t="s">
        <v>196</v>
      </c>
      <c r="F47" s="4" t="s">
        <v>197</v>
      </c>
      <c r="G47" s="4" t="s">
        <v>198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customFormat="false" ht="15" hidden="false" customHeight="false" outlineLevel="0" collapsed="false">
      <c r="A48" s="29" t="n">
        <f aca="false">Assumptions!A57</f>
        <v>1</v>
      </c>
      <c r="B48" s="29" t="str">
        <f aca="false">Assumptions!B57</f>
        <v>Pilot</v>
      </c>
      <c r="C48" s="29" t="str">
        <f aca="false">Assumptions!C57</f>
        <v>Assured</v>
      </c>
      <c r="D48" s="34" t="n">
        <f aca="false">Assumptions!D57</f>
        <v>8500</v>
      </c>
      <c r="E48" s="31" t="n">
        <f aca="false">Assumptions!E57</f>
        <v>20</v>
      </c>
      <c r="F48" s="29" t="n">
        <f aca="false">Assumptions!G57</f>
        <v>1</v>
      </c>
      <c r="G48" s="2" t="n">
        <f aca="false">Assumptions!F57+IF(F48=1,0,$C$15)</f>
        <v>1</v>
      </c>
      <c r="H48" s="24" t="n">
        <f aca="false">IF(H$45&lt;$G48,0,IF($F48=1,$C$10+($C$11-$C$10)*MIN(H$45-$G48,$C$12)/$C$12,$E48*$C$5*INDEX($C$6:$C$9,MIN(H$45-$G48,3)+1)))*(1-$C$14)*IF(AND($C48="Verified",$C$39=1),0,1)</f>
        <v>17.5</v>
      </c>
      <c r="I48" s="24" t="n">
        <f aca="false">IF(I$45&lt;$G48,0,IF($F48=1,$C$10+($C$11-$C$10)*MIN(I$45-$G48,$C$12)/$C$12,$E48*$C$5*INDEX($C$6:$C$9,MIN(I$45-$G48,3)+1)))*(1-$C$14)*IF(AND($C48="Verified",$C$39=1),0,1)</f>
        <v>18.3333333333333</v>
      </c>
      <c r="J48" s="24" t="n">
        <f aca="false">IF(J$45&lt;$G48,0,IF($F48=1,$C$10+($C$11-$C$10)*MIN(J$45-$G48,$C$12)/$C$12,$E48*$C$5*INDEX($C$6:$C$9,MIN(J$45-$G48,3)+1)))*(1-$C$14)*IF(AND($C48="Verified",$C$39=1),0,1)</f>
        <v>19.1666666666667</v>
      </c>
      <c r="K48" s="24" t="n">
        <f aca="false">IF(K$45&lt;$G48,0,IF($F48=1,$C$10+($C$11-$C$10)*MIN(K$45-$G48,$C$12)/$C$12,$E48*$C$5*INDEX($C$6:$C$9,MIN(K$45-$G48,3)+1)))*(1-$C$14)*IF(AND($C48="Verified",$C$39=1),0,1)</f>
        <v>20</v>
      </c>
      <c r="L48" s="24" t="n">
        <f aca="false">IF(L$45&lt;$G48,0,IF($F48=1,$C$10+($C$11-$C$10)*MIN(L$45-$G48,$C$12)/$C$12,$E48*$C$5*INDEX($C$6:$C$9,MIN(L$45-$G48,3)+1)))*(1-$C$14)*IF(AND($C48="Verified",$C$39=1),0,1)</f>
        <v>20</v>
      </c>
      <c r="M48" s="24" t="n">
        <f aca="false">IF(M$45&lt;$G48,0,IF($F48=1,$C$10+($C$11-$C$10)*MIN(M$45-$G48,$C$12)/$C$12,$E48*$C$5*INDEX($C$6:$C$9,MIN(M$45-$G48,3)+1)))*(1-$C$14)*IF(AND($C48="Verified",$C$39=1),0,1)</f>
        <v>20</v>
      </c>
      <c r="N48" s="24" t="n">
        <f aca="false">IF(N$45&lt;$G48,0,IF($F48=1,$C$10+($C$11-$C$10)*MIN(N$45-$G48,$C$12)/$C$12,$E48*$C$5*INDEX($C$6:$C$9,MIN(N$45-$G48,3)+1)))*(1-$C$14)*IF(AND($C48="Verified",$C$39=1),0,1)</f>
        <v>20</v>
      </c>
      <c r="O48" s="24" t="n">
        <f aca="false">IF(O$45&lt;$G48,0,IF($F48=1,$C$10+($C$11-$C$10)*MIN(O$45-$G48,$C$12)/$C$12,$E48*$C$5*INDEX($C$6:$C$9,MIN(O$45-$G48,3)+1)))*(1-$C$14)*IF(AND($C48="Verified",$C$39=1),0,1)</f>
        <v>20</v>
      </c>
      <c r="P48" s="24" t="n">
        <f aca="false">IF(P$45&lt;$G48,0,IF($F48=1,$C$10+($C$11-$C$10)*MIN(P$45-$G48,$C$12)/$C$12,$E48*$C$5*INDEX($C$6:$C$9,MIN(P$45-$G48,3)+1)))*(1-$C$14)*IF(AND($C48="Verified",$C$39=1),0,1)</f>
        <v>20</v>
      </c>
      <c r="Q48" s="24" t="n">
        <f aca="false">IF(Q$45&lt;$G48,0,IF($F48=1,$C$10+($C$11-$C$10)*MIN(Q$45-$G48,$C$12)/$C$12,$E48*$C$5*INDEX($C$6:$C$9,MIN(Q$45-$G48,3)+1)))*(1-$C$14)*IF(AND($C48="Verified",$C$39=1),0,1)</f>
        <v>20</v>
      </c>
      <c r="R48" s="24" t="n">
        <f aca="false">IF(R$45&lt;$G48,0,IF($F48=1,$C$10+($C$11-$C$10)*MIN(R$45-$G48,$C$12)/$C$12,$E48*$C$5*INDEX($C$6:$C$9,MIN(R$45-$G48,3)+1)))*(1-$C$14)*IF(AND($C48="Verified",$C$39=1),0,1)</f>
        <v>20</v>
      </c>
      <c r="S48" s="24" t="n">
        <f aca="false">IF(S$45&lt;$G48,0,IF($F48=1,$C$10+($C$11-$C$10)*MIN(S$45-$G48,$C$12)/$C$12,$E48*$C$5*INDEX($C$6:$C$9,MIN(S$45-$G48,3)+1)))*(1-$C$14)*IF(AND($C48="Verified",$C$39=1),0,1)</f>
        <v>20</v>
      </c>
      <c r="T48" s="24" t="n">
        <f aca="false">IF(T$45&lt;$G48,0,IF($F48=1,$C$10+($C$11-$C$10)*MIN(T$45-$G48,$C$12)/$C$12,$E48*$C$5*INDEX($C$6:$C$9,MIN(T$45-$G48,3)+1)))*(1-$C$14)*IF(AND($C48="Verified",$C$39=1),0,1)</f>
        <v>20</v>
      </c>
      <c r="U48" s="24" t="n">
        <f aca="false">IF(U$45&lt;$G48,0,IF($F48=1,$C$10+($C$11-$C$10)*MIN(U$45-$G48,$C$12)/$C$12,$E48*$C$5*INDEX($C$6:$C$9,MIN(U$45-$G48,3)+1)))*(1-$C$14)*IF(AND($C48="Verified",$C$39=1),0,1)</f>
        <v>20</v>
      </c>
      <c r="V48" s="24" t="n">
        <f aca="false">IF(V$45&lt;$G48,0,IF($F48=1,$C$10+($C$11-$C$10)*MIN(V$45-$G48,$C$12)/$C$12,$E48*$C$5*INDEX($C$6:$C$9,MIN(V$45-$G48,3)+1)))*(1-$C$14)*IF(AND($C48="Verified",$C$39=1),0,1)</f>
        <v>20</v>
      </c>
      <c r="W48" s="24" t="n">
        <f aca="false">IF(W$45&lt;$G48,0,IF($F48=1,$C$10+($C$11-$C$10)*MIN(W$45-$G48,$C$12)/$C$12,$E48*$C$5*INDEX($C$6:$C$9,MIN(W$45-$G48,3)+1)))*(1-$C$14)*IF(AND($C48="Verified",$C$39=1),0,1)</f>
        <v>20</v>
      </c>
      <c r="X48" s="24" t="n">
        <f aca="false">IF(X$45&lt;$G48,0,IF($F48=1,$C$10+($C$11-$C$10)*MIN(X$45-$G48,$C$12)/$C$12,$E48*$C$5*INDEX($C$6:$C$9,MIN(X$45-$G48,3)+1)))*(1-$C$14)*IF(AND($C48="Verified",$C$39=1),0,1)</f>
        <v>20</v>
      </c>
      <c r="Y48" s="24" t="n">
        <f aca="false">IF(Y$45&lt;$G48,0,IF($F48=1,$C$10+($C$11-$C$10)*MIN(Y$45-$G48,$C$12)/$C$12,$E48*$C$5*INDEX($C$6:$C$9,MIN(Y$45-$G48,3)+1)))*(1-$C$14)*IF(AND($C48="Verified",$C$39=1),0,1)</f>
        <v>20</v>
      </c>
    </row>
    <row r="49" customFormat="false" ht="15" hidden="false" customHeight="false" outlineLevel="0" collapsed="false">
      <c r="A49" s="29" t="n">
        <f aca="false">Assumptions!A58</f>
        <v>2</v>
      </c>
      <c r="B49" s="29" t="str">
        <f aca="false">Assumptions!B58</f>
        <v>Pilot</v>
      </c>
      <c r="C49" s="29" t="str">
        <f aca="false">Assumptions!C58</f>
        <v>Assured</v>
      </c>
      <c r="D49" s="34" t="n">
        <f aca="false">Assumptions!D58</f>
        <v>8500</v>
      </c>
      <c r="E49" s="31" t="n">
        <f aca="false">Assumptions!E58</f>
        <v>20</v>
      </c>
      <c r="F49" s="29" t="n">
        <f aca="false">Assumptions!G58</f>
        <v>1</v>
      </c>
      <c r="G49" s="2" t="n">
        <f aca="false">Assumptions!F58+IF(F49=1,0,$C$15)</f>
        <v>1</v>
      </c>
      <c r="H49" s="24" t="n">
        <f aca="false">IF(H$45&lt;$G49,0,IF($F49=1,$C$10+($C$11-$C$10)*MIN(H$45-$G49,$C$12)/$C$12,$E49*$C$5*INDEX($C$6:$C$9,MIN(H$45-$G49,3)+1)))*(1-$C$14)*IF(AND($C49="Verified",$C$39=1),0,1)</f>
        <v>17.5</v>
      </c>
      <c r="I49" s="24" t="n">
        <f aca="false">IF(I$45&lt;$G49,0,IF($F49=1,$C$10+($C$11-$C$10)*MIN(I$45-$G49,$C$12)/$C$12,$E49*$C$5*INDEX($C$6:$C$9,MIN(I$45-$G49,3)+1)))*(1-$C$14)*IF(AND($C49="Verified",$C$39=1),0,1)</f>
        <v>18.3333333333333</v>
      </c>
      <c r="J49" s="24" t="n">
        <f aca="false">IF(J$45&lt;$G49,0,IF($F49=1,$C$10+($C$11-$C$10)*MIN(J$45-$G49,$C$12)/$C$12,$E49*$C$5*INDEX($C$6:$C$9,MIN(J$45-$G49,3)+1)))*(1-$C$14)*IF(AND($C49="Verified",$C$39=1),0,1)</f>
        <v>19.1666666666667</v>
      </c>
      <c r="K49" s="24" t="n">
        <f aca="false">IF(K$45&lt;$G49,0,IF($F49=1,$C$10+($C$11-$C$10)*MIN(K$45-$G49,$C$12)/$C$12,$E49*$C$5*INDEX($C$6:$C$9,MIN(K$45-$G49,3)+1)))*(1-$C$14)*IF(AND($C49="Verified",$C$39=1),0,1)</f>
        <v>20</v>
      </c>
      <c r="L49" s="24" t="n">
        <f aca="false">IF(L$45&lt;$G49,0,IF($F49=1,$C$10+($C$11-$C$10)*MIN(L$45-$G49,$C$12)/$C$12,$E49*$C$5*INDEX($C$6:$C$9,MIN(L$45-$G49,3)+1)))*(1-$C$14)*IF(AND($C49="Verified",$C$39=1),0,1)</f>
        <v>20</v>
      </c>
      <c r="M49" s="24" t="n">
        <f aca="false">IF(M$45&lt;$G49,0,IF($F49=1,$C$10+($C$11-$C$10)*MIN(M$45-$G49,$C$12)/$C$12,$E49*$C$5*INDEX($C$6:$C$9,MIN(M$45-$G49,3)+1)))*(1-$C$14)*IF(AND($C49="Verified",$C$39=1),0,1)</f>
        <v>20</v>
      </c>
      <c r="N49" s="24" t="n">
        <f aca="false">IF(N$45&lt;$G49,0,IF($F49=1,$C$10+($C$11-$C$10)*MIN(N$45-$G49,$C$12)/$C$12,$E49*$C$5*INDEX($C$6:$C$9,MIN(N$45-$G49,3)+1)))*(1-$C$14)*IF(AND($C49="Verified",$C$39=1),0,1)</f>
        <v>20</v>
      </c>
      <c r="O49" s="24" t="n">
        <f aca="false">IF(O$45&lt;$G49,0,IF($F49=1,$C$10+($C$11-$C$10)*MIN(O$45-$G49,$C$12)/$C$12,$E49*$C$5*INDEX($C$6:$C$9,MIN(O$45-$G49,3)+1)))*(1-$C$14)*IF(AND($C49="Verified",$C$39=1),0,1)</f>
        <v>20</v>
      </c>
      <c r="P49" s="24" t="n">
        <f aca="false">IF(P$45&lt;$G49,0,IF($F49=1,$C$10+($C$11-$C$10)*MIN(P$45-$G49,$C$12)/$C$12,$E49*$C$5*INDEX($C$6:$C$9,MIN(P$45-$G49,3)+1)))*(1-$C$14)*IF(AND($C49="Verified",$C$39=1),0,1)</f>
        <v>20</v>
      </c>
      <c r="Q49" s="24" t="n">
        <f aca="false">IF(Q$45&lt;$G49,0,IF($F49=1,$C$10+($C$11-$C$10)*MIN(Q$45-$G49,$C$12)/$C$12,$E49*$C$5*INDEX($C$6:$C$9,MIN(Q$45-$G49,3)+1)))*(1-$C$14)*IF(AND($C49="Verified",$C$39=1),0,1)</f>
        <v>20</v>
      </c>
      <c r="R49" s="24" t="n">
        <f aca="false">IF(R$45&lt;$G49,0,IF($F49=1,$C$10+($C$11-$C$10)*MIN(R$45-$G49,$C$12)/$C$12,$E49*$C$5*INDEX($C$6:$C$9,MIN(R$45-$G49,3)+1)))*(1-$C$14)*IF(AND($C49="Verified",$C$39=1),0,1)</f>
        <v>20</v>
      </c>
      <c r="S49" s="24" t="n">
        <f aca="false">IF(S$45&lt;$G49,0,IF($F49=1,$C$10+($C$11-$C$10)*MIN(S$45-$G49,$C$12)/$C$12,$E49*$C$5*INDEX($C$6:$C$9,MIN(S$45-$G49,3)+1)))*(1-$C$14)*IF(AND($C49="Verified",$C$39=1),0,1)</f>
        <v>20</v>
      </c>
      <c r="T49" s="24" t="n">
        <f aca="false">IF(T$45&lt;$G49,0,IF($F49=1,$C$10+($C$11-$C$10)*MIN(T$45-$G49,$C$12)/$C$12,$E49*$C$5*INDEX($C$6:$C$9,MIN(T$45-$G49,3)+1)))*(1-$C$14)*IF(AND($C49="Verified",$C$39=1),0,1)</f>
        <v>20</v>
      </c>
      <c r="U49" s="24" t="n">
        <f aca="false">IF(U$45&lt;$G49,0,IF($F49=1,$C$10+($C$11-$C$10)*MIN(U$45-$G49,$C$12)/$C$12,$E49*$C$5*INDEX($C$6:$C$9,MIN(U$45-$G49,3)+1)))*(1-$C$14)*IF(AND($C49="Verified",$C$39=1),0,1)</f>
        <v>20</v>
      </c>
      <c r="V49" s="24" t="n">
        <f aca="false">IF(V$45&lt;$G49,0,IF($F49=1,$C$10+($C$11-$C$10)*MIN(V$45-$G49,$C$12)/$C$12,$E49*$C$5*INDEX($C$6:$C$9,MIN(V$45-$G49,3)+1)))*(1-$C$14)*IF(AND($C49="Verified",$C$39=1),0,1)</f>
        <v>20</v>
      </c>
      <c r="W49" s="24" t="n">
        <f aca="false">IF(W$45&lt;$G49,0,IF($F49=1,$C$10+($C$11-$C$10)*MIN(W$45-$G49,$C$12)/$C$12,$E49*$C$5*INDEX($C$6:$C$9,MIN(W$45-$G49,3)+1)))*(1-$C$14)*IF(AND($C49="Verified",$C$39=1),0,1)</f>
        <v>20</v>
      </c>
      <c r="X49" s="24" t="n">
        <f aca="false">IF(X$45&lt;$G49,0,IF($F49=1,$C$10+($C$11-$C$10)*MIN(X$45-$G49,$C$12)/$C$12,$E49*$C$5*INDEX($C$6:$C$9,MIN(X$45-$G49,3)+1)))*(1-$C$14)*IF(AND($C49="Verified",$C$39=1),0,1)</f>
        <v>20</v>
      </c>
      <c r="Y49" s="24" t="n">
        <f aca="false">IF(Y$45&lt;$G49,0,IF($F49=1,$C$10+($C$11-$C$10)*MIN(Y$45-$G49,$C$12)/$C$12,$E49*$C$5*INDEX($C$6:$C$9,MIN(Y$45-$G49,3)+1)))*(1-$C$14)*IF(AND($C49="Verified",$C$39=1),0,1)</f>
        <v>20</v>
      </c>
    </row>
    <row r="50" customFormat="false" ht="15" hidden="false" customHeight="false" outlineLevel="0" collapsed="false">
      <c r="A50" s="29" t="n">
        <f aca="false">Assumptions!A59</f>
        <v>3</v>
      </c>
      <c r="B50" s="29" t="str">
        <f aca="false">Assumptions!B59</f>
        <v>Pilot</v>
      </c>
      <c r="C50" s="29" t="str">
        <f aca="false">Assumptions!C59</f>
        <v>Assured</v>
      </c>
      <c r="D50" s="34" t="n">
        <f aca="false">Assumptions!D59</f>
        <v>8500</v>
      </c>
      <c r="E50" s="31" t="n">
        <f aca="false">Assumptions!E59</f>
        <v>20</v>
      </c>
      <c r="F50" s="29" t="n">
        <f aca="false">Assumptions!G59</f>
        <v>1</v>
      </c>
      <c r="G50" s="2" t="n">
        <f aca="false">Assumptions!F59+IF(F50=1,0,$C$15)</f>
        <v>1</v>
      </c>
      <c r="H50" s="24" t="n">
        <f aca="false">IF(H$45&lt;$G50,0,IF($F50=1,$C$10+($C$11-$C$10)*MIN(H$45-$G50,$C$12)/$C$12,$E50*$C$5*INDEX($C$6:$C$9,MIN(H$45-$G50,3)+1)))*(1-$C$14)*IF(AND($C50="Verified",$C$39=1),0,1)</f>
        <v>17.5</v>
      </c>
      <c r="I50" s="24" t="n">
        <f aca="false">IF(I$45&lt;$G50,0,IF($F50=1,$C$10+($C$11-$C$10)*MIN(I$45-$G50,$C$12)/$C$12,$E50*$C$5*INDEX($C$6:$C$9,MIN(I$45-$G50,3)+1)))*(1-$C$14)*IF(AND($C50="Verified",$C$39=1),0,1)</f>
        <v>18.3333333333333</v>
      </c>
      <c r="J50" s="24" t="n">
        <f aca="false">IF(J$45&lt;$G50,0,IF($F50=1,$C$10+($C$11-$C$10)*MIN(J$45-$G50,$C$12)/$C$12,$E50*$C$5*INDEX($C$6:$C$9,MIN(J$45-$G50,3)+1)))*(1-$C$14)*IF(AND($C50="Verified",$C$39=1),0,1)</f>
        <v>19.1666666666667</v>
      </c>
      <c r="K50" s="24" t="n">
        <f aca="false">IF(K$45&lt;$G50,0,IF($F50=1,$C$10+($C$11-$C$10)*MIN(K$45-$G50,$C$12)/$C$12,$E50*$C$5*INDEX($C$6:$C$9,MIN(K$45-$G50,3)+1)))*(1-$C$14)*IF(AND($C50="Verified",$C$39=1),0,1)</f>
        <v>20</v>
      </c>
      <c r="L50" s="24" t="n">
        <f aca="false">IF(L$45&lt;$G50,0,IF($F50=1,$C$10+($C$11-$C$10)*MIN(L$45-$G50,$C$12)/$C$12,$E50*$C$5*INDEX($C$6:$C$9,MIN(L$45-$G50,3)+1)))*(1-$C$14)*IF(AND($C50="Verified",$C$39=1),0,1)</f>
        <v>20</v>
      </c>
      <c r="M50" s="24" t="n">
        <f aca="false">IF(M$45&lt;$G50,0,IF($F50=1,$C$10+($C$11-$C$10)*MIN(M$45-$G50,$C$12)/$C$12,$E50*$C$5*INDEX($C$6:$C$9,MIN(M$45-$G50,3)+1)))*(1-$C$14)*IF(AND($C50="Verified",$C$39=1),0,1)</f>
        <v>20</v>
      </c>
      <c r="N50" s="24" t="n">
        <f aca="false">IF(N$45&lt;$G50,0,IF($F50=1,$C$10+($C$11-$C$10)*MIN(N$45-$G50,$C$12)/$C$12,$E50*$C$5*INDEX($C$6:$C$9,MIN(N$45-$G50,3)+1)))*(1-$C$14)*IF(AND($C50="Verified",$C$39=1),0,1)</f>
        <v>20</v>
      </c>
      <c r="O50" s="24" t="n">
        <f aca="false">IF(O$45&lt;$G50,0,IF($F50=1,$C$10+($C$11-$C$10)*MIN(O$45-$G50,$C$12)/$C$12,$E50*$C$5*INDEX($C$6:$C$9,MIN(O$45-$G50,3)+1)))*(1-$C$14)*IF(AND($C50="Verified",$C$39=1),0,1)</f>
        <v>20</v>
      </c>
      <c r="P50" s="24" t="n">
        <f aca="false">IF(P$45&lt;$G50,0,IF($F50=1,$C$10+($C$11-$C$10)*MIN(P$45-$G50,$C$12)/$C$12,$E50*$C$5*INDEX($C$6:$C$9,MIN(P$45-$G50,3)+1)))*(1-$C$14)*IF(AND($C50="Verified",$C$39=1),0,1)</f>
        <v>20</v>
      </c>
      <c r="Q50" s="24" t="n">
        <f aca="false">IF(Q$45&lt;$G50,0,IF($F50=1,$C$10+($C$11-$C$10)*MIN(Q$45-$G50,$C$12)/$C$12,$E50*$C$5*INDEX($C$6:$C$9,MIN(Q$45-$G50,3)+1)))*(1-$C$14)*IF(AND($C50="Verified",$C$39=1),0,1)</f>
        <v>20</v>
      </c>
      <c r="R50" s="24" t="n">
        <f aca="false">IF(R$45&lt;$G50,0,IF($F50=1,$C$10+($C$11-$C$10)*MIN(R$45-$G50,$C$12)/$C$12,$E50*$C$5*INDEX($C$6:$C$9,MIN(R$45-$G50,3)+1)))*(1-$C$14)*IF(AND($C50="Verified",$C$39=1),0,1)</f>
        <v>20</v>
      </c>
      <c r="S50" s="24" t="n">
        <f aca="false">IF(S$45&lt;$G50,0,IF($F50=1,$C$10+($C$11-$C$10)*MIN(S$45-$G50,$C$12)/$C$12,$E50*$C$5*INDEX($C$6:$C$9,MIN(S$45-$G50,3)+1)))*(1-$C$14)*IF(AND($C50="Verified",$C$39=1),0,1)</f>
        <v>20</v>
      </c>
      <c r="T50" s="24" t="n">
        <f aca="false">IF(T$45&lt;$G50,0,IF($F50=1,$C$10+($C$11-$C$10)*MIN(T$45-$G50,$C$12)/$C$12,$E50*$C$5*INDEX($C$6:$C$9,MIN(T$45-$G50,3)+1)))*(1-$C$14)*IF(AND($C50="Verified",$C$39=1),0,1)</f>
        <v>20</v>
      </c>
      <c r="U50" s="24" t="n">
        <f aca="false">IF(U$45&lt;$G50,0,IF($F50=1,$C$10+($C$11-$C$10)*MIN(U$45-$G50,$C$12)/$C$12,$E50*$C$5*INDEX($C$6:$C$9,MIN(U$45-$G50,3)+1)))*(1-$C$14)*IF(AND($C50="Verified",$C$39=1),0,1)</f>
        <v>20</v>
      </c>
      <c r="V50" s="24" t="n">
        <f aca="false">IF(V$45&lt;$G50,0,IF($F50=1,$C$10+($C$11-$C$10)*MIN(V$45-$G50,$C$12)/$C$12,$E50*$C$5*INDEX($C$6:$C$9,MIN(V$45-$G50,3)+1)))*(1-$C$14)*IF(AND($C50="Verified",$C$39=1),0,1)</f>
        <v>20</v>
      </c>
      <c r="W50" s="24" t="n">
        <f aca="false">IF(W$45&lt;$G50,0,IF($F50=1,$C$10+($C$11-$C$10)*MIN(W$45-$G50,$C$12)/$C$12,$E50*$C$5*INDEX($C$6:$C$9,MIN(W$45-$G50,3)+1)))*(1-$C$14)*IF(AND($C50="Verified",$C$39=1),0,1)</f>
        <v>20</v>
      </c>
      <c r="X50" s="24" t="n">
        <f aca="false">IF(X$45&lt;$G50,0,IF($F50=1,$C$10+($C$11-$C$10)*MIN(X$45-$G50,$C$12)/$C$12,$E50*$C$5*INDEX($C$6:$C$9,MIN(X$45-$G50,3)+1)))*(1-$C$14)*IF(AND($C50="Verified",$C$39=1),0,1)</f>
        <v>20</v>
      </c>
      <c r="Y50" s="24" t="n">
        <f aca="false">IF(Y$45&lt;$G50,0,IF($F50=1,$C$10+($C$11-$C$10)*MIN(Y$45-$G50,$C$12)/$C$12,$E50*$C$5*INDEX($C$6:$C$9,MIN(Y$45-$G50,3)+1)))*(1-$C$14)*IF(AND($C50="Verified",$C$39=1),0,1)</f>
        <v>20</v>
      </c>
    </row>
    <row r="51" customFormat="false" ht="15" hidden="false" customHeight="false" outlineLevel="0" collapsed="false">
      <c r="A51" s="29" t="n">
        <f aca="false">Assumptions!A60</f>
        <v>4</v>
      </c>
      <c r="B51" s="29" t="str">
        <f aca="false">Assumptions!B60</f>
        <v>Pilot</v>
      </c>
      <c r="C51" s="29" t="str">
        <f aca="false">Assumptions!C60</f>
        <v>Assured</v>
      </c>
      <c r="D51" s="34" t="n">
        <f aca="false">Assumptions!D60</f>
        <v>8500</v>
      </c>
      <c r="E51" s="31" t="n">
        <f aca="false">Assumptions!E60</f>
        <v>20</v>
      </c>
      <c r="F51" s="29" t="n">
        <f aca="false">Assumptions!G60</f>
        <v>1</v>
      </c>
      <c r="G51" s="2" t="n">
        <f aca="false">Assumptions!F60+IF(F51=1,0,$C$15)</f>
        <v>1</v>
      </c>
      <c r="H51" s="24" t="n">
        <f aca="false">IF(H$45&lt;$G51,0,IF($F51=1,$C$10+($C$11-$C$10)*MIN(H$45-$G51,$C$12)/$C$12,$E51*$C$5*INDEX($C$6:$C$9,MIN(H$45-$G51,3)+1)))*(1-$C$14)*IF(AND($C51="Verified",$C$39=1),0,1)</f>
        <v>17.5</v>
      </c>
      <c r="I51" s="24" t="n">
        <f aca="false">IF(I$45&lt;$G51,0,IF($F51=1,$C$10+($C$11-$C$10)*MIN(I$45-$G51,$C$12)/$C$12,$E51*$C$5*INDEX($C$6:$C$9,MIN(I$45-$G51,3)+1)))*(1-$C$14)*IF(AND($C51="Verified",$C$39=1),0,1)</f>
        <v>18.3333333333333</v>
      </c>
      <c r="J51" s="24" t="n">
        <f aca="false">IF(J$45&lt;$G51,0,IF($F51=1,$C$10+($C$11-$C$10)*MIN(J$45-$G51,$C$12)/$C$12,$E51*$C$5*INDEX($C$6:$C$9,MIN(J$45-$G51,3)+1)))*(1-$C$14)*IF(AND($C51="Verified",$C$39=1),0,1)</f>
        <v>19.1666666666667</v>
      </c>
      <c r="K51" s="24" t="n">
        <f aca="false">IF(K$45&lt;$G51,0,IF($F51=1,$C$10+($C$11-$C$10)*MIN(K$45-$G51,$C$12)/$C$12,$E51*$C$5*INDEX($C$6:$C$9,MIN(K$45-$G51,3)+1)))*(1-$C$14)*IF(AND($C51="Verified",$C$39=1),0,1)</f>
        <v>20</v>
      </c>
      <c r="L51" s="24" t="n">
        <f aca="false">IF(L$45&lt;$G51,0,IF($F51=1,$C$10+($C$11-$C$10)*MIN(L$45-$G51,$C$12)/$C$12,$E51*$C$5*INDEX($C$6:$C$9,MIN(L$45-$G51,3)+1)))*(1-$C$14)*IF(AND($C51="Verified",$C$39=1),0,1)</f>
        <v>20</v>
      </c>
      <c r="M51" s="24" t="n">
        <f aca="false">IF(M$45&lt;$G51,0,IF($F51=1,$C$10+($C$11-$C$10)*MIN(M$45-$G51,$C$12)/$C$12,$E51*$C$5*INDEX($C$6:$C$9,MIN(M$45-$G51,3)+1)))*(1-$C$14)*IF(AND($C51="Verified",$C$39=1),0,1)</f>
        <v>20</v>
      </c>
      <c r="N51" s="24" t="n">
        <f aca="false">IF(N$45&lt;$G51,0,IF($F51=1,$C$10+($C$11-$C$10)*MIN(N$45-$G51,$C$12)/$C$12,$E51*$C$5*INDEX($C$6:$C$9,MIN(N$45-$G51,3)+1)))*(1-$C$14)*IF(AND($C51="Verified",$C$39=1),0,1)</f>
        <v>20</v>
      </c>
      <c r="O51" s="24" t="n">
        <f aca="false">IF(O$45&lt;$G51,0,IF($F51=1,$C$10+($C$11-$C$10)*MIN(O$45-$G51,$C$12)/$C$12,$E51*$C$5*INDEX($C$6:$C$9,MIN(O$45-$G51,3)+1)))*(1-$C$14)*IF(AND($C51="Verified",$C$39=1),0,1)</f>
        <v>20</v>
      </c>
      <c r="P51" s="24" t="n">
        <f aca="false">IF(P$45&lt;$G51,0,IF($F51=1,$C$10+($C$11-$C$10)*MIN(P$45-$G51,$C$12)/$C$12,$E51*$C$5*INDEX($C$6:$C$9,MIN(P$45-$G51,3)+1)))*(1-$C$14)*IF(AND($C51="Verified",$C$39=1),0,1)</f>
        <v>20</v>
      </c>
      <c r="Q51" s="24" t="n">
        <f aca="false">IF(Q$45&lt;$G51,0,IF($F51=1,$C$10+($C$11-$C$10)*MIN(Q$45-$G51,$C$12)/$C$12,$E51*$C$5*INDEX($C$6:$C$9,MIN(Q$45-$G51,3)+1)))*(1-$C$14)*IF(AND($C51="Verified",$C$39=1),0,1)</f>
        <v>20</v>
      </c>
      <c r="R51" s="24" t="n">
        <f aca="false">IF(R$45&lt;$G51,0,IF($F51=1,$C$10+($C$11-$C$10)*MIN(R$45-$G51,$C$12)/$C$12,$E51*$C$5*INDEX($C$6:$C$9,MIN(R$45-$G51,3)+1)))*(1-$C$14)*IF(AND($C51="Verified",$C$39=1),0,1)</f>
        <v>20</v>
      </c>
      <c r="S51" s="24" t="n">
        <f aca="false">IF(S$45&lt;$G51,0,IF($F51=1,$C$10+($C$11-$C$10)*MIN(S$45-$G51,$C$12)/$C$12,$E51*$C$5*INDEX($C$6:$C$9,MIN(S$45-$G51,3)+1)))*(1-$C$14)*IF(AND($C51="Verified",$C$39=1),0,1)</f>
        <v>20</v>
      </c>
      <c r="T51" s="24" t="n">
        <f aca="false">IF(T$45&lt;$G51,0,IF($F51=1,$C$10+($C$11-$C$10)*MIN(T$45-$G51,$C$12)/$C$12,$E51*$C$5*INDEX($C$6:$C$9,MIN(T$45-$G51,3)+1)))*(1-$C$14)*IF(AND($C51="Verified",$C$39=1),0,1)</f>
        <v>20</v>
      </c>
      <c r="U51" s="24" t="n">
        <f aca="false">IF(U$45&lt;$G51,0,IF($F51=1,$C$10+($C$11-$C$10)*MIN(U$45-$G51,$C$12)/$C$12,$E51*$C$5*INDEX($C$6:$C$9,MIN(U$45-$G51,3)+1)))*(1-$C$14)*IF(AND($C51="Verified",$C$39=1),0,1)</f>
        <v>20</v>
      </c>
      <c r="V51" s="24" t="n">
        <f aca="false">IF(V$45&lt;$G51,0,IF($F51=1,$C$10+($C$11-$C$10)*MIN(V$45-$G51,$C$12)/$C$12,$E51*$C$5*INDEX($C$6:$C$9,MIN(V$45-$G51,3)+1)))*(1-$C$14)*IF(AND($C51="Verified",$C$39=1),0,1)</f>
        <v>20</v>
      </c>
      <c r="W51" s="24" t="n">
        <f aca="false">IF(W$45&lt;$G51,0,IF($F51=1,$C$10+($C$11-$C$10)*MIN(W$45-$G51,$C$12)/$C$12,$E51*$C$5*INDEX($C$6:$C$9,MIN(W$45-$G51,3)+1)))*(1-$C$14)*IF(AND($C51="Verified",$C$39=1),0,1)</f>
        <v>20</v>
      </c>
      <c r="X51" s="24" t="n">
        <f aca="false">IF(X$45&lt;$G51,0,IF($F51=1,$C$10+($C$11-$C$10)*MIN(X$45-$G51,$C$12)/$C$12,$E51*$C$5*INDEX($C$6:$C$9,MIN(X$45-$G51,3)+1)))*(1-$C$14)*IF(AND($C51="Verified",$C$39=1),0,1)</f>
        <v>20</v>
      </c>
      <c r="Y51" s="24" t="n">
        <f aca="false">IF(Y$45&lt;$G51,0,IF($F51=1,$C$10+($C$11-$C$10)*MIN(Y$45-$G51,$C$12)/$C$12,$E51*$C$5*INDEX($C$6:$C$9,MIN(Y$45-$G51,3)+1)))*(1-$C$14)*IF(AND($C51="Verified",$C$39=1),0,1)</f>
        <v>20</v>
      </c>
    </row>
    <row r="52" customFormat="false" ht="15" hidden="false" customHeight="false" outlineLevel="0" collapsed="false">
      <c r="A52" s="29" t="n">
        <f aca="false">Assumptions!A61</f>
        <v>5</v>
      </c>
      <c r="B52" s="29" t="str">
        <f aca="false">Assumptions!B61</f>
        <v>A</v>
      </c>
      <c r="C52" s="29" t="str">
        <f aca="false">Assumptions!C61</f>
        <v>Assured</v>
      </c>
      <c r="D52" s="34" t="n">
        <f aca="false">Assumptions!D61</f>
        <v>12000</v>
      </c>
      <c r="E52" s="31" t="n">
        <f aca="false">Assumptions!E61</f>
        <v>24</v>
      </c>
      <c r="F52" s="29" t="n">
        <f aca="false">Assumptions!G61</f>
        <v>0</v>
      </c>
      <c r="G52" s="2" t="n">
        <f aca="false">Assumptions!F61+IF(F52=1,0,$C$15)</f>
        <v>3</v>
      </c>
      <c r="H52" s="24" t="n">
        <f aca="false">IF(H$45&lt;$G52,0,IF($F52=1,$C$10+($C$11-$C$10)*MIN(H$45-$G52,$C$12)/$C$12,$E52*$C$5*INDEX($C$6:$C$9,MIN(H$45-$G52,3)+1)))*(1-$C$14)*IF(AND($C52="Verified",$C$39=1),0,1)</f>
        <v>0</v>
      </c>
      <c r="I52" s="24" t="n">
        <f aca="false">IF(I$45&lt;$G52,0,IF($F52=1,$C$10+($C$11-$C$10)*MIN(I$45-$G52,$C$12)/$C$12,$E52*$C$5*INDEX($C$6:$C$9,MIN(I$45-$G52,3)+1)))*(1-$C$14)*IF(AND($C52="Verified",$C$39=1),0,1)</f>
        <v>0</v>
      </c>
      <c r="J52" s="24" t="n">
        <f aca="false">IF(J$45&lt;$G52,0,IF($F52=1,$C$10+($C$11-$C$10)*MIN(J$45-$G52,$C$12)/$C$12,$E52*$C$5*INDEX($C$6:$C$9,MIN(J$45-$G52,3)+1)))*(1-$C$14)*IF(AND($C52="Verified",$C$39=1),0,1)</f>
        <v>7.2</v>
      </c>
      <c r="K52" s="24" t="n">
        <f aca="false">IF(K$45&lt;$G52,0,IF($F52=1,$C$10+($C$11-$C$10)*MIN(K$45-$G52,$C$12)/$C$12,$E52*$C$5*INDEX($C$6:$C$9,MIN(K$45-$G52,3)+1)))*(1-$C$14)*IF(AND($C52="Verified",$C$39=1),0,1)</f>
        <v>14.4</v>
      </c>
      <c r="L52" s="24" t="n">
        <f aca="false">IF(L$45&lt;$G52,0,IF($F52=1,$C$10+($C$11-$C$10)*MIN(L$45-$G52,$C$12)/$C$12,$E52*$C$5*INDEX($C$6:$C$9,MIN(L$45-$G52,3)+1)))*(1-$C$14)*IF(AND($C52="Verified",$C$39=1),0,1)</f>
        <v>20.4</v>
      </c>
      <c r="M52" s="24" t="n">
        <f aca="false">IF(M$45&lt;$G52,0,IF($F52=1,$C$10+($C$11-$C$10)*MIN(M$45-$G52,$C$12)/$C$12,$E52*$C$5*INDEX($C$6:$C$9,MIN(M$45-$G52,3)+1)))*(1-$C$14)*IF(AND($C52="Verified",$C$39=1),0,1)</f>
        <v>24</v>
      </c>
      <c r="N52" s="24" t="n">
        <f aca="false">IF(N$45&lt;$G52,0,IF($F52=1,$C$10+($C$11-$C$10)*MIN(N$45-$G52,$C$12)/$C$12,$E52*$C$5*INDEX($C$6:$C$9,MIN(N$45-$G52,3)+1)))*(1-$C$14)*IF(AND($C52="Verified",$C$39=1),0,1)</f>
        <v>24</v>
      </c>
      <c r="O52" s="24" t="n">
        <f aca="false">IF(O$45&lt;$G52,0,IF($F52=1,$C$10+($C$11-$C$10)*MIN(O$45-$G52,$C$12)/$C$12,$E52*$C$5*INDEX($C$6:$C$9,MIN(O$45-$G52,3)+1)))*(1-$C$14)*IF(AND($C52="Verified",$C$39=1),0,1)</f>
        <v>24</v>
      </c>
      <c r="P52" s="24" t="n">
        <f aca="false">IF(P$45&lt;$G52,0,IF($F52=1,$C$10+($C$11-$C$10)*MIN(P$45-$G52,$C$12)/$C$12,$E52*$C$5*INDEX($C$6:$C$9,MIN(P$45-$G52,3)+1)))*(1-$C$14)*IF(AND($C52="Verified",$C$39=1),0,1)</f>
        <v>24</v>
      </c>
      <c r="Q52" s="24" t="n">
        <f aca="false">IF(Q$45&lt;$G52,0,IF($F52=1,$C$10+($C$11-$C$10)*MIN(Q$45-$G52,$C$12)/$C$12,$E52*$C$5*INDEX($C$6:$C$9,MIN(Q$45-$G52,3)+1)))*(1-$C$14)*IF(AND($C52="Verified",$C$39=1),0,1)</f>
        <v>24</v>
      </c>
      <c r="R52" s="24" t="n">
        <f aca="false">IF(R$45&lt;$G52,0,IF($F52=1,$C$10+($C$11-$C$10)*MIN(R$45-$G52,$C$12)/$C$12,$E52*$C$5*INDEX($C$6:$C$9,MIN(R$45-$G52,3)+1)))*(1-$C$14)*IF(AND($C52="Verified",$C$39=1),0,1)</f>
        <v>24</v>
      </c>
      <c r="S52" s="24" t="n">
        <f aca="false">IF(S$45&lt;$G52,0,IF($F52=1,$C$10+($C$11-$C$10)*MIN(S$45-$G52,$C$12)/$C$12,$E52*$C$5*INDEX($C$6:$C$9,MIN(S$45-$G52,3)+1)))*(1-$C$14)*IF(AND($C52="Verified",$C$39=1),0,1)</f>
        <v>24</v>
      </c>
      <c r="T52" s="24" t="n">
        <f aca="false">IF(T$45&lt;$G52,0,IF($F52=1,$C$10+($C$11-$C$10)*MIN(T$45-$G52,$C$12)/$C$12,$E52*$C$5*INDEX($C$6:$C$9,MIN(T$45-$G52,3)+1)))*(1-$C$14)*IF(AND($C52="Verified",$C$39=1),0,1)</f>
        <v>24</v>
      </c>
      <c r="U52" s="24" t="n">
        <f aca="false">IF(U$45&lt;$G52,0,IF($F52=1,$C$10+($C$11-$C$10)*MIN(U$45-$G52,$C$12)/$C$12,$E52*$C$5*INDEX($C$6:$C$9,MIN(U$45-$G52,3)+1)))*(1-$C$14)*IF(AND($C52="Verified",$C$39=1),0,1)</f>
        <v>24</v>
      </c>
      <c r="V52" s="24" t="n">
        <f aca="false">IF(V$45&lt;$G52,0,IF($F52=1,$C$10+($C$11-$C$10)*MIN(V$45-$G52,$C$12)/$C$12,$E52*$C$5*INDEX($C$6:$C$9,MIN(V$45-$G52,3)+1)))*(1-$C$14)*IF(AND($C52="Verified",$C$39=1),0,1)</f>
        <v>24</v>
      </c>
      <c r="W52" s="24" t="n">
        <f aca="false">IF(W$45&lt;$G52,0,IF($F52=1,$C$10+($C$11-$C$10)*MIN(W$45-$G52,$C$12)/$C$12,$E52*$C$5*INDEX($C$6:$C$9,MIN(W$45-$G52,3)+1)))*(1-$C$14)*IF(AND($C52="Verified",$C$39=1),0,1)</f>
        <v>24</v>
      </c>
      <c r="X52" s="24" t="n">
        <f aca="false">IF(X$45&lt;$G52,0,IF($F52=1,$C$10+($C$11-$C$10)*MIN(X$45-$G52,$C$12)/$C$12,$E52*$C$5*INDEX($C$6:$C$9,MIN(X$45-$G52,3)+1)))*(1-$C$14)*IF(AND($C52="Verified",$C$39=1),0,1)</f>
        <v>24</v>
      </c>
      <c r="Y52" s="24" t="n">
        <f aca="false">IF(Y$45&lt;$G52,0,IF($F52=1,$C$10+($C$11-$C$10)*MIN(Y$45-$G52,$C$12)/$C$12,$E52*$C$5*INDEX($C$6:$C$9,MIN(Y$45-$G52,3)+1)))*(1-$C$14)*IF(AND($C52="Verified",$C$39=1),0,1)</f>
        <v>24</v>
      </c>
    </row>
    <row r="53" customFormat="false" ht="15" hidden="false" customHeight="false" outlineLevel="0" collapsed="false">
      <c r="A53" s="29" t="n">
        <f aca="false">Assumptions!A62</f>
        <v>6</v>
      </c>
      <c r="B53" s="29" t="str">
        <f aca="false">Assumptions!B62</f>
        <v>A</v>
      </c>
      <c r="C53" s="29" t="str">
        <f aca="false">Assumptions!C62</f>
        <v>Assured</v>
      </c>
      <c r="D53" s="34" t="n">
        <f aca="false">Assumptions!D62</f>
        <v>12000</v>
      </c>
      <c r="E53" s="31" t="n">
        <f aca="false">Assumptions!E62</f>
        <v>24</v>
      </c>
      <c r="F53" s="29" t="n">
        <f aca="false">Assumptions!G62</f>
        <v>0</v>
      </c>
      <c r="G53" s="2" t="n">
        <f aca="false">Assumptions!F62+IF(F53=1,0,$C$15)</f>
        <v>3</v>
      </c>
      <c r="H53" s="24" t="n">
        <f aca="false">IF(H$45&lt;$G53,0,IF($F53=1,$C$10+($C$11-$C$10)*MIN(H$45-$G53,$C$12)/$C$12,$E53*$C$5*INDEX($C$6:$C$9,MIN(H$45-$G53,3)+1)))*(1-$C$14)*IF(AND($C53="Verified",$C$39=1),0,1)</f>
        <v>0</v>
      </c>
      <c r="I53" s="24" t="n">
        <f aca="false">IF(I$45&lt;$G53,0,IF($F53=1,$C$10+($C$11-$C$10)*MIN(I$45-$G53,$C$12)/$C$12,$E53*$C$5*INDEX($C$6:$C$9,MIN(I$45-$G53,3)+1)))*(1-$C$14)*IF(AND($C53="Verified",$C$39=1),0,1)</f>
        <v>0</v>
      </c>
      <c r="J53" s="24" t="n">
        <f aca="false">IF(J$45&lt;$G53,0,IF($F53=1,$C$10+($C$11-$C$10)*MIN(J$45-$G53,$C$12)/$C$12,$E53*$C$5*INDEX($C$6:$C$9,MIN(J$45-$G53,3)+1)))*(1-$C$14)*IF(AND($C53="Verified",$C$39=1),0,1)</f>
        <v>7.2</v>
      </c>
      <c r="K53" s="24" t="n">
        <f aca="false">IF(K$45&lt;$G53,0,IF($F53=1,$C$10+($C$11-$C$10)*MIN(K$45-$G53,$C$12)/$C$12,$E53*$C$5*INDEX($C$6:$C$9,MIN(K$45-$G53,3)+1)))*(1-$C$14)*IF(AND($C53="Verified",$C$39=1),0,1)</f>
        <v>14.4</v>
      </c>
      <c r="L53" s="24" t="n">
        <f aca="false">IF(L$45&lt;$G53,0,IF($F53=1,$C$10+($C$11-$C$10)*MIN(L$45-$G53,$C$12)/$C$12,$E53*$C$5*INDEX($C$6:$C$9,MIN(L$45-$G53,3)+1)))*(1-$C$14)*IF(AND($C53="Verified",$C$39=1),0,1)</f>
        <v>20.4</v>
      </c>
      <c r="M53" s="24" t="n">
        <f aca="false">IF(M$45&lt;$G53,0,IF($F53=1,$C$10+($C$11-$C$10)*MIN(M$45-$G53,$C$12)/$C$12,$E53*$C$5*INDEX($C$6:$C$9,MIN(M$45-$G53,3)+1)))*(1-$C$14)*IF(AND($C53="Verified",$C$39=1),0,1)</f>
        <v>24</v>
      </c>
      <c r="N53" s="24" t="n">
        <f aca="false">IF(N$45&lt;$G53,0,IF($F53=1,$C$10+($C$11-$C$10)*MIN(N$45-$G53,$C$12)/$C$12,$E53*$C$5*INDEX($C$6:$C$9,MIN(N$45-$G53,3)+1)))*(1-$C$14)*IF(AND($C53="Verified",$C$39=1),0,1)</f>
        <v>24</v>
      </c>
      <c r="O53" s="24" t="n">
        <f aca="false">IF(O$45&lt;$G53,0,IF($F53=1,$C$10+($C$11-$C$10)*MIN(O$45-$G53,$C$12)/$C$12,$E53*$C$5*INDEX($C$6:$C$9,MIN(O$45-$G53,3)+1)))*(1-$C$14)*IF(AND($C53="Verified",$C$39=1),0,1)</f>
        <v>24</v>
      </c>
      <c r="P53" s="24" t="n">
        <f aca="false">IF(P$45&lt;$G53,0,IF($F53=1,$C$10+($C$11-$C$10)*MIN(P$45-$G53,$C$12)/$C$12,$E53*$C$5*INDEX($C$6:$C$9,MIN(P$45-$G53,3)+1)))*(1-$C$14)*IF(AND($C53="Verified",$C$39=1),0,1)</f>
        <v>24</v>
      </c>
      <c r="Q53" s="24" t="n">
        <f aca="false">IF(Q$45&lt;$G53,0,IF($F53=1,$C$10+($C$11-$C$10)*MIN(Q$45-$G53,$C$12)/$C$12,$E53*$C$5*INDEX($C$6:$C$9,MIN(Q$45-$G53,3)+1)))*(1-$C$14)*IF(AND($C53="Verified",$C$39=1),0,1)</f>
        <v>24</v>
      </c>
      <c r="R53" s="24" t="n">
        <f aca="false">IF(R$45&lt;$G53,0,IF($F53=1,$C$10+($C$11-$C$10)*MIN(R$45-$G53,$C$12)/$C$12,$E53*$C$5*INDEX($C$6:$C$9,MIN(R$45-$G53,3)+1)))*(1-$C$14)*IF(AND($C53="Verified",$C$39=1),0,1)</f>
        <v>24</v>
      </c>
      <c r="S53" s="24" t="n">
        <f aca="false">IF(S$45&lt;$G53,0,IF($F53=1,$C$10+($C$11-$C$10)*MIN(S$45-$G53,$C$12)/$C$12,$E53*$C$5*INDEX($C$6:$C$9,MIN(S$45-$G53,3)+1)))*(1-$C$14)*IF(AND($C53="Verified",$C$39=1),0,1)</f>
        <v>24</v>
      </c>
      <c r="T53" s="24" t="n">
        <f aca="false">IF(T$45&lt;$G53,0,IF($F53=1,$C$10+($C$11-$C$10)*MIN(T$45-$G53,$C$12)/$C$12,$E53*$C$5*INDEX($C$6:$C$9,MIN(T$45-$G53,3)+1)))*(1-$C$14)*IF(AND($C53="Verified",$C$39=1),0,1)</f>
        <v>24</v>
      </c>
      <c r="U53" s="24" t="n">
        <f aca="false">IF(U$45&lt;$G53,0,IF($F53=1,$C$10+($C$11-$C$10)*MIN(U$45-$G53,$C$12)/$C$12,$E53*$C$5*INDEX($C$6:$C$9,MIN(U$45-$G53,3)+1)))*(1-$C$14)*IF(AND($C53="Verified",$C$39=1),0,1)</f>
        <v>24</v>
      </c>
      <c r="V53" s="24" t="n">
        <f aca="false">IF(V$45&lt;$G53,0,IF($F53=1,$C$10+($C$11-$C$10)*MIN(V$45-$G53,$C$12)/$C$12,$E53*$C$5*INDEX($C$6:$C$9,MIN(V$45-$G53,3)+1)))*(1-$C$14)*IF(AND($C53="Verified",$C$39=1),0,1)</f>
        <v>24</v>
      </c>
      <c r="W53" s="24" t="n">
        <f aca="false">IF(W$45&lt;$G53,0,IF($F53=1,$C$10+($C$11-$C$10)*MIN(W$45-$G53,$C$12)/$C$12,$E53*$C$5*INDEX($C$6:$C$9,MIN(W$45-$G53,3)+1)))*(1-$C$14)*IF(AND($C53="Verified",$C$39=1),0,1)</f>
        <v>24</v>
      </c>
      <c r="X53" s="24" t="n">
        <f aca="false">IF(X$45&lt;$G53,0,IF($F53=1,$C$10+($C$11-$C$10)*MIN(X$45-$G53,$C$12)/$C$12,$E53*$C$5*INDEX($C$6:$C$9,MIN(X$45-$G53,3)+1)))*(1-$C$14)*IF(AND($C53="Verified",$C$39=1),0,1)</f>
        <v>24</v>
      </c>
      <c r="Y53" s="24" t="n">
        <f aca="false">IF(Y$45&lt;$G53,0,IF($F53=1,$C$10+($C$11-$C$10)*MIN(Y$45-$G53,$C$12)/$C$12,$E53*$C$5*INDEX($C$6:$C$9,MIN(Y$45-$G53,3)+1)))*(1-$C$14)*IF(AND($C53="Verified",$C$39=1),0,1)</f>
        <v>24</v>
      </c>
    </row>
    <row r="54" customFormat="false" ht="15" hidden="false" customHeight="false" outlineLevel="0" collapsed="false">
      <c r="A54" s="29" t="n">
        <f aca="false">Assumptions!A63</f>
        <v>7</v>
      </c>
      <c r="B54" s="29" t="str">
        <f aca="false">Assumptions!B63</f>
        <v>A</v>
      </c>
      <c r="C54" s="29" t="str">
        <f aca="false">Assumptions!C63</f>
        <v>Assured</v>
      </c>
      <c r="D54" s="34" t="n">
        <f aca="false">Assumptions!D63</f>
        <v>12000</v>
      </c>
      <c r="E54" s="31" t="n">
        <f aca="false">Assumptions!E63</f>
        <v>24</v>
      </c>
      <c r="F54" s="29" t="n">
        <f aca="false">Assumptions!G63</f>
        <v>0</v>
      </c>
      <c r="G54" s="2" t="n">
        <f aca="false">Assumptions!F63+IF(F54=1,0,$C$15)</f>
        <v>4</v>
      </c>
      <c r="H54" s="24" t="n">
        <f aca="false">IF(H$45&lt;$G54,0,IF($F54=1,$C$10+($C$11-$C$10)*MIN(H$45-$G54,$C$12)/$C$12,$E54*$C$5*INDEX($C$6:$C$9,MIN(H$45-$G54,3)+1)))*(1-$C$14)*IF(AND($C54="Verified",$C$39=1),0,1)</f>
        <v>0</v>
      </c>
      <c r="I54" s="24" t="n">
        <f aca="false">IF(I$45&lt;$G54,0,IF($F54=1,$C$10+($C$11-$C$10)*MIN(I$45-$G54,$C$12)/$C$12,$E54*$C$5*INDEX($C$6:$C$9,MIN(I$45-$G54,3)+1)))*(1-$C$14)*IF(AND($C54="Verified",$C$39=1),0,1)</f>
        <v>0</v>
      </c>
      <c r="J54" s="24" t="n">
        <f aca="false">IF(J$45&lt;$G54,0,IF($F54=1,$C$10+($C$11-$C$10)*MIN(J$45-$G54,$C$12)/$C$12,$E54*$C$5*INDEX($C$6:$C$9,MIN(J$45-$G54,3)+1)))*(1-$C$14)*IF(AND($C54="Verified",$C$39=1),0,1)</f>
        <v>0</v>
      </c>
      <c r="K54" s="24" t="n">
        <f aca="false">IF(K$45&lt;$G54,0,IF($F54=1,$C$10+($C$11-$C$10)*MIN(K$45-$G54,$C$12)/$C$12,$E54*$C$5*INDEX($C$6:$C$9,MIN(K$45-$G54,3)+1)))*(1-$C$14)*IF(AND($C54="Verified",$C$39=1),0,1)</f>
        <v>7.2</v>
      </c>
      <c r="L54" s="24" t="n">
        <f aca="false">IF(L$45&lt;$G54,0,IF($F54=1,$C$10+($C$11-$C$10)*MIN(L$45-$G54,$C$12)/$C$12,$E54*$C$5*INDEX($C$6:$C$9,MIN(L$45-$G54,3)+1)))*(1-$C$14)*IF(AND($C54="Verified",$C$39=1),0,1)</f>
        <v>14.4</v>
      </c>
      <c r="M54" s="24" t="n">
        <f aca="false">IF(M$45&lt;$G54,0,IF($F54=1,$C$10+($C$11-$C$10)*MIN(M$45-$G54,$C$12)/$C$12,$E54*$C$5*INDEX($C$6:$C$9,MIN(M$45-$G54,3)+1)))*(1-$C$14)*IF(AND($C54="Verified",$C$39=1),0,1)</f>
        <v>20.4</v>
      </c>
      <c r="N54" s="24" t="n">
        <f aca="false">IF(N$45&lt;$G54,0,IF($F54=1,$C$10+($C$11-$C$10)*MIN(N$45-$G54,$C$12)/$C$12,$E54*$C$5*INDEX($C$6:$C$9,MIN(N$45-$G54,3)+1)))*(1-$C$14)*IF(AND($C54="Verified",$C$39=1),0,1)</f>
        <v>24</v>
      </c>
      <c r="O54" s="24" t="n">
        <f aca="false">IF(O$45&lt;$G54,0,IF($F54=1,$C$10+($C$11-$C$10)*MIN(O$45-$G54,$C$12)/$C$12,$E54*$C$5*INDEX($C$6:$C$9,MIN(O$45-$G54,3)+1)))*(1-$C$14)*IF(AND($C54="Verified",$C$39=1),0,1)</f>
        <v>24</v>
      </c>
      <c r="P54" s="24" t="n">
        <f aca="false">IF(P$45&lt;$G54,0,IF($F54=1,$C$10+($C$11-$C$10)*MIN(P$45-$G54,$C$12)/$C$12,$E54*$C$5*INDEX($C$6:$C$9,MIN(P$45-$G54,3)+1)))*(1-$C$14)*IF(AND($C54="Verified",$C$39=1),0,1)</f>
        <v>24</v>
      </c>
      <c r="Q54" s="24" t="n">
        <f aca="false">IF(Q$45&lt;$G54,0,IF($F54=1,$C$10+($C$11-$C$10)*MIN(Q$45-$G54,$C$12)/$C$12,$E54*$C$5*INDEX($C$6:$C$9,MIN(Q$45-$G54,3)+1)))*(1-$C$14)*IF(AND($C54="Verified",$C$39=1),0,1)</f>
        <v>24</v>
      </c>
      <c r="R54" s="24" t="n">
        <f aca="false">IF(R$45&lt;$G54,0,IF($F54=1,$C$10+($C$11-$C$10)*MIN(R$45-$G54,$C$12)/$C$12,$E54*$C$5*INDEX($C$6:$C$9,MIN(R$45-$G54,3)+1)))*(1-$C$14)*IF(AND($C54="Verified",$C$39=1),0,1)</f>
        <v>24</v>
      </c>
      <c r="S54" s="24" t="n">
        <f aca="false">IF(S$45&lt;$G54,0,IF($F54=1,$C$10+($C$11-$C$10)*MIN(S$45-$G54,$C$12)/$C$12,$E54*$C$5*INDEX($C$6:$C$9,MIN(S$45-$G54,3)+1)))*(1-$C$14)*IF(AND($C54="Verified",$C$39=1),0,1)</f>
        <v>24</v>
      </c>
      <c r="T54" s="24" t="n">
        <f aca="false">IF(T$45&lt;$G54,0,IF($F54=1,$C$10+($C$11-$C$10)*MIN(T$45-$G54,$C$12)/$C$12,$E54*$C$5*INDEX($C$6:$C$9,MIN(T$45-$G54,3)+1)))*(1-$C$14)*IF(AND($C54="Verified",$C$39=1),0,1)</f>
        <v>24</v>
      </c>
      <c r="U54" s="24" t="n">
        <f aca="false">IF(U$45&lt;$G54,0,IF($F54=1,$C$10+($C$11-$C$10)*MIN(U$45-$G54,$C$12)/$C$12,$E54*$C$5*INDEX($C$6:$C$9,MIN(U$45-$G54,3)+1)))*(1-$C$14)*IF(AND($C54="Verified",$C$39=1),0,1)</f>
        <v>24</v>
      </c>
      <c r="V54" s="24" t="n">
        <f aca="false">IF(V$45&lt;$G54,0,IF($F54=1,$C$10+($C$11-$C$10)*MIN(V$45-$G54,$C$12)/$C$12,$E54*$C$5*INDEX($C$6:$C$9,MIN(V$45-$G54,3)+1)))*(1-$C$14)*IF(AND($C54="Verified",$C$39=1),0,1)</f>
        <v>24</v>
      </c>
      <c r="W54" s="24" t="n">
        <f aca="false">IF(W$45&lt;$G54,0,IF($F54=1,$C$10+($C$11-$C$10)*MIN(W$45-$G54,$C$12)/$C$12,$E54*$C$5*INDEX($C$6:$C$9,MIN(W$45-$G54,3)+1)))*(1-$C$14)*IF(AND($C54="Verified",$C$39=1),0,1)</f>
        <v>24</v>
      </c>
      <c r="X54" s="24" t="n">
        <f aca="false">IF(X$45&lt;$G54,0,IF($F54=1,$C$10+($C$11-$C$10)*MIN(X$45-$G54,$C$12)/$C$12,$E54*$C$5*INDEX($C$6:$C$9,MIN(X$45-$G54,3)+1)))*(1-$C$14)*IF(AND($C54="Verified",$C$39=1),0,1)</f>
        <v>24</v>
      </c>
      <c r="Y54" s="24" t="n">
        <f aca="false">IF(Y$45&lt;$G54,0,IF($F54=1,$C$10+($C$11-$C$10)*MIN(Y$45-$G54,$C$12)/$C$12,$E54*$C$5*INDEX($C$6:$C$9,MIN(Y$45-$G54,3)+1)))*(1-$C$14)*IF(AND($C54="Verified",$C$39=1),0,1)</f>
        <v>24</v>
      </c>
    </row>
    <row r="55" customFormat="false" ht="15" hidden="false" customHeight="false" outlineLevel="0" collapsed="false">
      <c r="A55" s="29" t="n">
        <f aca="false">Assumptions!A64</f>
        <v>8</v>
      </c>
      <c r="B55" s="29" t="str">
        <f aca="false">Assumptions!B64</f>
        <v>A</v>
      </c>
      <c r="C55" s="29" t="str">
        <f aca="false">Assumptions!C64</f>
        <v>Assured</v>
      </c>
      <c r="D55" s="34" t="n">
        <f aca="false">Assumptions!D64</f>
        <v>12000</v>
      </c>
      <c r="E55" s="31" t="n">
        <f aca="false">Assumptions!E64</f>
        <v>24</v>
      </c>
      <c r="F55" s="29" t="n">
        <f aca="false">Assumptions!G64</f>
        <v>0</v>
      </c>
      <c r="G55" s="2" t="n">
        <f aca="false">Assumptions!F64+IF(F55=1,0,$C$15)</f>
        <v>4</v>
      </c>
      <c r="H55" s="24" t="n">
        <f aca="false">IF(H$45&lt;$G55,0,IF($F55=1,$C$10+($C$11-$C$10)*MIN(H$45-$G55,$C$12)/$C$12,$E55*$C$5*INDEX($C$6:$C$9,MIN(H$45-$G55,3)+1)))*(1-$C$14)*IF(AND($C55="Verified",$C$39=1),0,1)</f>
        <v>0</v>
      </c>
      <c r="I55" s="24" t="n">
        <f aca="false">IF(I$45&lt;$G55,0,IF($F55=1,$C$10+($C$11-$C$10)*MIN(I$45-$G55,$C$12)/$C$12,$E55*$C$5*INDEX($C$6:$C$9,MIN(I$45-$G55,3)+1)))*(1-$C$14)*IF(AND($C55="Verified",$C$39=1),0,1)</f>
        <v>0</v>
      </c>
      <c r="J55" s="24" t="n">
        <f aca="false">IF(J$45&lt;$G55,0,IF($F55=1,$C$10+($C$11-$C$10)*MIN(J$45-$G55,$C$12)/$C$12,$E55*$C$5*INDEX($C$6:$C$9,MIN(J$45-$G55,3)+1)))*(1-$C$14)*IF(AND($C55="Verified",$C$39=1),0,1)</f>
        <v>0</v>
      </c>
      <c r="K55" s="24" t="n">
        <f aca="false">IF(K$45&lt;$G55,0,IF($F55=1,$C$10+($C$11-$C$10)*MIN(K$45-$G55,$C$12)/$C$12,$E55*$C$5*INDEX($C$6:$C$9,MIN(K$45-$G55,3)+1)))*(1-$C$14)*IF(AND($C55="Verified",$C$39=1),0,1)</f>
        <v>7.2</v>
      </c>
      <c r="L55" s="24" t="n">
        <f aca="false">IF(L$45&lt;$G55,0,IF($F55=1,$C$10+($C$11-$C$10)*MIN(L$45-$G55,$C$12)/$C$12,$E55*$C$5*INDEX($C$6:$C$9,MIN(L$45-$G55,3)+1)))*(1-$C$14)*IF(AND($C55="Verified",$C$39=1),0,1)</f>
        <v>14.4</v>
      </c>
      <c r="M55" s="24" t="n">
        <f aca="false">IF(M$45&lt;$G55,0,IF($F55=1,$C$10+($C$11-$C$10)*MIN(M$45-$G55,$C$12)/$C$12,$E55*$C$5*INDEX($C$6:$C$9,MIN(M$45-$G55,3)+1)))*(1-$C$14)*IF(AND($C55="Verified",$C$39=1),0,1)</f>
        <v>20.4</v>
      </c>
      <c r="N55" s="24" t="n">
        <f aca="false">IF(N$45&lt;$G55,0,IF($F55=1,$C$10+($C$11-$C$10)*MIN(N$45-$G55,$C$12)/$C$12,$E55*$C$5*INDEX($C$6:$C$9,MIN(N$45-$G55,3)+1)))*(1-$C$14)*IF(AND($C55="Verified",$C$39=1),0,1)</f>
        <v>24</v>
      </c>
      <c r="O55" s="24" t="n">
        <f aca="false">IF(O$45&lt;$G55,0,IF($F55=1,$C$10+($C$11-$C$10)*MIN(O$45-$G55,$C$12)/$C$12,$E55*$C$5*INDEX($C$6:$C$9,MIN(O$45-$G55,3)+1)))*(1-$C$14)*IF(AND($C55="Verified",$C$39=1),0,1)</f>
        <v>24</v>
      </c>
      <c r="P55" s="24" t="n">
        <f aca="false">IF(P$45&lt;$G55,0,IF($F55=1,$C$10+($C$11-$C$10)*MIN(P$45-$G55,$C$12)/$C$12,$E55*$C$5*INDEX($C$6:$C$9,MIN(P$45-$G55,3)+1)))*(1-$C$14)*IF(AND($C55="Verified",$C$39=1),0,1)</f>
        <v>24</v>
      </c>
      <c r="Q55" s="24" t="n">
        <f aca="false">IF(Q$45&lt;$G55,0,IF($F55=1,$C$10+($C$11-$C$10)*MIN(Q$45-$G55,$C$12)/$C$12,$E55*$C$5*INDEX($C$6:$C$9,MIN(Q$45-$G55,3)+1)))*(1-$C$14)*IF(AND($C55="Verified",$C$39=1),0,1)</f>
        <v>24</v>
      </c>
      <c r="R55" s="24" t="n">
        <f aca="false">IF(R$45&lt;$G55,0,IF($F55=1,$C$10+($C$11-$C$10)*MIN(R$45-$G55,$C$12)/$C$12,$E55*$C$5*INDEX($C$6:$C$9,MIN(R$45-$G55,3)+1)))*(1-$C$14)*IF(AND($C55="Verified",$C$39=1),0,1)</f>
        <v>24</v>
      </c>
      <c r="S55" s="24" t="n">
        <f aca="false">IF(S$45&lt;$G55,0,IF($F55=1,$C$10+($C$11-$C$10)*MIN(S$45-$G55,$C$12)/$C$12,$E55*$C$5*INDEX($C$6:$C$9,MIN(S$45-$G55,3)+1)))*(1-$C$14)*IF(AND($C55="Verified",$C$39=1),0,1)</f>
        <v>24</v>
      </c>
      <c r="T55" s="24" t="n">
        <f aca="false">IF(T$45&lt;$G55,0,IF($F55=1,$C$10+($C$11-$C$10)*MIN(T$45-$G55,$C$12)/$C$12,$E55*$C$5*INDEX($C$6:$C$9,MIN(T$45-$G55,3)+1)))*(1-$C$14)*IF(AND($C55="Verified",$C$39=1),0,1)</f>
        <v>24</v>
      </c>
      <c r="U55" s="24" t="n">
        <f aca="false">IF(U$45&lt;$G55,0,IF($F55=1,$C$10+($C$11-$C$10)*MIN(U$45-$G55,$C$12)/$C$12,$E55*$C$5*INDEX($C$6:$C$9,MIN(U$45-$G55,3)+1)))*(1-$C$14)*IF(AND($C55="Verified",$C$39=1),0,1)</f>
        <v>24</v>
      </c>
      <c r="V55" s="24" t="n">
        <f aca="false">IF(V$45&lt;$G55,0,IF($F55=1,$C$10+($C$11-$C$10)*MIN(V$45-$G55,$C$12)/$C$12,$E55*$C$5*INDEX($C$6:$C$9,MIN(V$45-$G55,3)+1)))*(1-$C$14)*IF(AND($C55="Verified",$C$39=1),0,1)</f>
        <v>24</v>
      </c>
      <c r="W55" s="24" t="n">
        <f aca="false">IF(W$45&lt;$G55,0,IF($F55=1,$C$10+($C$11-$C$10)*MIN(W$45-$G55,$C$12)/$C$12,$E55*$C$5*INDEX($C$6:$C$9,MIN(W$45-$G55,3)+1)))*(1-$C$14)*IF(AND($C55="Verified",$C$39=1),0,1)</f>
        <v>24</v>
      </c>
      <c r="X55" s="24" t="n">
        <f aca="false">IF(X$45&lt;$G55,0,IF($F55=1,$C$10+($C$11-$C$10)*MIN(X$45-$G55,$C$12)/$C$12,$E55*$C$5*INDEX($C$6:$C$9,MIN(X$45-$G55,3)+1)))*(1-$C$14)*IF(AND($C55="Verified",$C$39=1),0,1)</f>
        <v>24</v>
      </c>
      <c r="Y55" s="24" t="n">
        <f aca="false">IF(Y$45&lt;$G55,0,IF($F55=1,$C$10+($C$11-$C$10)*MIN(Y$45-$G55,$C$12)/$C$12,$E55*$C$5*INDEX($C$6:$C$9,MIN(Y$45-$G55,3)+1)))*(1-$C$14)*IF(AND($C55="Verified",$C$39=1),0,1)</f>
        <v>24</v>
      </c>
    </row>
    <row r="56" customFormat="false" ht="15" hidden="false" customHeight="false" outlineLevel="0" collapsed="false">
      <c r="A56" s="29" t="n">
        <f aca="false">Assumptions!A65</f>
        <v>9</v>
      </c>
      <c r="B56" s="29" t="str">
        <f aca="false">Assumptions!B65</f>
        <v>A</v>
      </c>
      <c r="C56" s="29" t="str">
        <f aca="false">Assumptions!C65</f>
        <v>Assured</v>
      </c>
      <c r="D56" s="34" t="n">
        <f aca="false">Assumptions!D65</f>
        <v>12000</v>
      </c>
      <c r="E56" s="31" t="n">
        <f aca="false">Assumptions!E65</f>
        <v>24</v>
      </c>
      <c r="F56" s="29" t="n">
        <f aca="false">Assumptions!G65</f>
        <v>0</v>
      </c>
      <c r="G56" s="2" t="n">
        <f aca="false">Assumptions!F65+IF(F56=1,0,$C$15)</f>
        <v>5</v>
      </c>
      <c r="H56" s="24" t="n">
        <f aca="false">IF(H$45&lt;$G56,0,IF($F56=1,$C$10+($C$11-$C$10)*MIN(H$45-$G56,$C$12)/$C$12,$E56*$C$5*INDEX($C$6:$C$9,MIN(H$45-$G56,3)+1)))*(1-$C$14)*IF(AND($C56="Verified",$C$39=1),0,1)</f>
        <v>0</v>
      </c>
      <c r="I56" s="24" t="n">
        <f aca="false">IF(I$45&lt;$G56,0,IF($F56=1,$C$10+($C$11-$C$10)*MIN(I$45-$G56,$C$12)/$C$12,$E56*$C$5*INDEX($C$6:$C$9,MIN(I$45-$G56,3)+1)))*(1-$C$14)*IF(AND($C56="Verified",$C$39=1),0,1)</f>
        <v>0</v>
      </c>
      <c r="J56" s="24" t="n">
        <f aca="false">IF(J$45&lt;$G56,0,IF($F56=1,$C$10+($C$11-$C$10)*MIN(J$45-$G56,$C$12)/$C$12,$E56*$C$5*INDEX($C$6:$C$9,MIN(J$45-$G56,3)+1)))*(1-$C$14)*IF(AND($C56="Verified",$C$39=1),0,1)</f>
        <v>0</v>
      </c>
      <c r="K56" s="24" t="n">
        <f aca="false">IF(K$45&lt;$G56,0,IF($F56=1,$C$10+($C$11-$C$10)*MIN(K$45-$G56,$C$12)/$C$12,$E56*$C$5*INDEX($C$6:$C$9,MIN(K$45-$G56,3)+1)))*(1-$C$14)*IF(AND($C56="Verified",$C$39=1),0,1)</f>
        <v>0</v>
      </c>
      <c r="L56" s="24" t="n">
        <f aca="false">IF(L$45&lt;$G56,0,IF($F56=1,$C$10+($C$11-$C$10)*MIN(L$45-$G56,$C$12)/$C$12,$E56*$C$5*INDEX($C$6:$C$9,MIN(L$45-$G56,3)+1)))*(1-$C$14)*IF(AND($C56="Verified",$C$39=1),0,1)</f>
        <v>7.2</v>
      </c>
      <c r="M56" s="24" t="n">
        <f aca="false">IF(M$45&lt;$G56,0,IF($F56=1,$C$10+($C$11-$C$10)*MIN(M$45-$G56,$C$12)/$C$12,$E56*$C$5*INDEX($C$6:$C$9,MIN(M$45-$G56,3)+1)))*(1-$C$14)*IF(AND($C56="Verified",$C$39=1),0,1)</f>
        <v>14.4</v>
      </c>
      <c r="N56" s="24" t="n">
        <f aca="false">IF(N$45&lt;$G56,0,IF($F56=1,$C$10+($C$11-$C$10)*MIN(N$45-$G56,$C$12)/$C$12,$E56*$C$5*INDEX($C$6:$C$9,MIN(N$45-$G56,3)+1)))*(1-$C$14)*IF(AND($C56="Verified",$C$39=1),0,1)</f>
        <v>20.4</v>
      </c>
      <c r="O56" s="24" t="n">
        <f aca="false">IF(O$45&lt;$G56,0,IF($F56=1,$C$10+($C$11-$C$10)*MIN(O$45-$G56,$C$12)/$C$12,$E56*$C$5*INDEX($C$6:$C$9,MIN(O$45-$G56,3)+1)))*(1-$C$14)*IF(AND($C56="Verified",$C$39=1),0,1)</f>
        <v>24</v>
      </c>
      <c r="P56" s="24" t="n">
        <f aca="false">IF(P$45&lt;$G56,0,IF($F56=1,$C$10+($C$11-$C$10)*MIN(P$45-$G56,$C$12)/$C$12,$E56*$C$5*INDEX($C$6:$C$9,MIN(P$45-$G56,3)+1)))*(1-$C$14)*IF(AND($C56="Verified",$C$39=1),0,1)</f>
        <v>24</v>
      </c>
      <c r="Q56" s="24" t="n">
        <f aca="false">IF(Q$45&lt;$G56,0,IF($F56=1,$C$10+($C$11-$C$10)*MIN(Q$45-$G56,$C$12)/$C$12,$E56*$C$5*INDEX($C$6:$C$9,MIN(Q$45-$G56,3)+1)))*(1-$C$14)*IF(AND($C56="Verified",$C$39=1),0,1)</f>
        <v>24</v>
      </c>
      <c r="R56" s="24" t="n">
        <f aca="false">IF(R$45&lt;$G56,0,IF($F56=1,$C$10+($C$11-$C$10)*MIN(R$45-$G56,$C$12)/$C$12,$E56*$C$5*INDEX($C$6:$C$9,MIN(R$45-$G56,3)+1)))*(1-$C$14)*IF(AND($C56="Verified",$C$39=1),0,1)</f>
        <v>24</v>
      </c>
      <c r="S56" s="24" t="n">
        <f aca="false">IF(S$45&lt;$G56,0,IF($F56=1,$C$10+($C$11-$C$10)*MIN(S$45-$G56,$C$12)/$C$12,$E56*$C$5*INDEX($C$6:$C$9,MIN(S$45-$G56,3)+1)))*(1-$C$14)*IF(AND($C56="Verified",$C$39=1),0,1)</f>
        <v>24</v>
      </c>
      <c r="T56" s="24" t="n">
        <f aca="false">IF(T$45&lt;$G56,0,IF($F56=1,$C$10+($C$11-$C$10)*MIN(T$45-$G56,$C$12)/$C$12,$E56*$C$5*INDEX($C$6:$C$9,MIN(T$45-$G56,3)+1)))*(1-$C$14)*IF(AND($C56="Verified",$C$39=1),0,1)</f>
        <v>24</v>
      </c>
      <c r="U56" s="24" t="n">
        <f aca="false">IF(U$45&lt;$G56,0,IF($F56=1,$C$10+($C$11-$C$10)*MIN(U$45-$G56,$C$12)/$C$12,$E56*$C$5*INDEX($C$6:$C$9,MIN(U$45-$G56,3)+1)))*(1-$C$14)*IF(AND($C56="Verified",$C$39=1),0,1)</f>
        <v>24</v>
      </c>
      <c r="V56" s="24" t="n">
        <f aca="false">IF(V$45&lt;$G56,0,IF($F56=1,$C$10+($C$11-$C$10)*MIN(V$45-$G56,$C$12)/$C$12,$E56*$C$5*INDEX($C$6:$C$9,MIN(V$45-$G56,3)+1)))*(1-$C$14)*IF(AND($C56="Verified",$C$39=1),0,1)</f>
        <v>24</v>
      </c>
      <c r="W56" s="24" t="n">
        <f aca="false">IF(W$45&lt;$G56,0,IF($F56=1,$C$10+($C$11-$C$10)*MIN(W$45-$G56,$C$12)/$C$12,$E56*$C$5*INDEX($C$6:$C$9,MIN(W$45-$G56,3)+1)))*(1-$C$14)*IF(AND($C56="Verified",$C$39=1),0,1)</f>
        <v>24</v>
      </c>
      <c r="X56" s="24" t="n">
        <f aca="false">IF(X$45&lt;$G56,0,IF($F56=1,$C$10+($C$11-$C$10)*MIN(X$45-$G56,$C$12)/$C$12,$E56*$C$5*INDEX($C$6:$C$9,MIN(X$45-$G56,3)+1)))*(1-$C$14)*IF(AND($C56="Verified",$C$39=1),0,1)</f>
        <v>24</v>
      </c>
      <c r="Y56" s="24" t="n">
        <f aca="false">IF(Y$45&lt;$G56,0,IF($F56=1,$C$10+($C$11-$C$10)*MIN(Y$45-$G56,$C$12)/$C$12,$E56*$C$5*INDEX($C$6:$C$9,MIN(Y$45-$G56,3)+1)))*(1-$C$14)*IF(AND($C56="Verified",$C$39=1),0,1)</f>
        <v>24</v>
      </c>
    </row>
    <row r="57" customFormat="false" ht="15" hidden="false" customHeight="false" outlineLevel="0" collapsed="false">
      <c r="A57" s="29" t="n">
        <f aca="false">Assumptions!A66</f>
        <v>10</v>
      </c>
      <c r="B57" s="29" t="str">
        <f aca="false">Assumptions!B66</f>
        <v>C</v>
      </c>
      <c r="C57" s="29" t="str">
        <f aca="false">Assumptions!C66</f>
        <v>Assured</v>
      </c>
      <c r="D57" s="34" t="n">
        <f aca="false">Assumptions!D66</f>
        <v>8000</v>
      </c>
      <c r="E57" s="31" t="n">
        <f aca="false">Assumptions!E66</f>
        <v>26</v>
      </c>
      <c r="F57" s="29" t="n">
        <f aca="false">Assumptions!G66</f>
        <v>0</v>
      </c>
      <c r="G57" s="2" t="n">
        <f aca="false">Assumptions!F66+IF(F57=1,0,$C$15)</f>
        <v>6</v>
      </c>
      <c r="H57" s="24" t="n">
        <f aca="false">IF(H$45&lt;$G57,0,IF($F57=1,$C$10+($C$11-$C$10)*MIN(H$45-$G57,$C$12)/$C$12,$E57*$C$5*INDEX($C$6:$C$9,MIN(H$45-$G57,3)+1)))*(1-$C$14)*IF(AND($C57="Verified",$C$39=1),0,1)</f>
        <v>0</v>
      </c>
      <c r="I57" s="24" t="n">
        <f aca="false">IF(I$45&lt;$G57,0,IF($F57=1,$C$10+($C$11-$C$10)*MIN(I$45-$G57,$C$12)/$C$12,$E57*$C$5*INDEX($C$6:$C$9,MIN(I$45-$G57,3)+1)))*(1-$C$14)*IF(AND($C57="Verified",$C$39=1),0,1)</f>
        <v>0</v>
      </c>
      <c r="J57" s="24" t="n">
        <f aca="false">IF(J$45&lt;$G57,0,IF($F57=1,$C$10+($C$11-$C$10)*MIN(J$45-$G57,$C$12)/$C$12,$E57*$C$5*INDEX($C$6:$C$9,MIN(J$45-$G57,3)+1)))*(1-$C$14)*IF(AND($C57="Verified",$C$39=1),0,1)</f>
        <v>0</v>
      </c>
      <c r="K57" s="24" t="n">
        <f aca="false">IF(K$45&lt;$G57,0,IF($F57=1,$C$10+($C$11-$C$10)*MIN(K$45-$G57,$C$12)/$C$12,$E57*$C$5*INDEX($C$6:$C$9,MIN(K$45-$G57,3)+1)))*(1-$C$14)*IF(AND($C57="Verified",$C$39=1),0,1)</f>
        <v>0</v>
      </c>
      <c r="L57" s="24" t="n">
        <f aca="false">IF(L$45&lt;$G57,0,IF($F57=1,$C$10+($C$11-$C$10)*MIN(L$45-$G57,$C$12)/$C$12,$E57*$C$5*INDEX($C$6:$C$9,MIN(L$45-$G57,3)+1)))*(1-$C$14)*IF(AND($C57="Verified",$C$39=1),0,1)</f>
        <v>0</v>
      </c>
      <c r="M57" s="24" t="n">
        <f aca="false">IF(M$45&lt;$G57,0,IF($F57=1,$C$10+($C$11-$C$10)*MIN(M$45-$G57,$C$12)/$C$12,$E57*$C$5*INDEX($C$6:$C$9,MIN(M$45-$G57,3)+1)))*(1-$C$14)*IF(AND($C57="Verified",$C$39=1),0,1)</f>
        <v>7.8</v>
      </c>
      <c r="N57" s="24" t="n">
        <f aca="false">IF(N$45&lt;$G57,0,IF($F57=1,$C$10+($C$11-$C$10)*MIN(N$45-$G57,$C$12)/$C$12,$E57*$C$5*INDEX($C$6:$C$9,MIN(N$45-$G57,3)+1)))*(1-$C$14)*IF(AND($C57="Verified",$C$39=1),0,1)</f>
        <v>15.6</v>
      </c>
      <c r="O57" s="24" t="n">
        <f aca="false">IF(O$45&lt;$G57,0,IF($F57=1,$C$10+($C$11-$C$10)*MIN(O$45-$G57,$C$12)/$C$12,$E57*$C$5*INDEX($C$6:$C$9,MIN(O$45-$G57,3)+1)))*(1-$C$14)*IF(AND($C57="Verified",$C$39=1),0,1)</f>
        <v>22.1</v>
      </c>
      <c r="P57" s="24" t="n">
        <f aca="false">IF(P$45&lt;$G57,0,IF($F57=1,$C$10+($C$11-$C$10)*MIN(P$45-$G57,$C$12)/$C$12,$E57*$C$5*INDEX($C$6:$C$9,MIN(P$45-$G57,3)+1)))*(1-$C$14)*IF(AND($C57="Verified",$C$39=1),0,1)</f>
        <v>26</v>
      </c>
      <c r="Q57" s="24" t="n">
        <f aca="false">IF(Q$45&lt;$G57,0,IF($F57=1,$C$10+($C$11-$C$10)*MIN(Q$45-$G57,$C$12)/$C$12,$E57*$C$5*INDEX($C$6:$C$9,MIN(Q$45-$G57,3)+1)))*(1-$C$14)*IF(AND($C57="Verified",$C$39=1),0,1)</f>
        <v>26</v>
      </c>
      <c r="R57" s="24" t="n">
        <f aca="false">IF(R$45&lt;$G57,0,IF($F57=1,$C$10+($C$11-$C$10)*MIN(R$45-$G57,$C$12)/$C$12,$E57*$C$5*INDEX($C$6:$C$9,MIN(R$45-$G57,3)+1)))*(1-$C$14)*IF(AND($C57="Verified",$C$39=1),0,1)</f>
        <v>26</v>
      </c>
      <c r="S57" s="24" t="n">
        <f aca="false">IF(S$45&lt;$G57,0,IF($F57=1,$C$10+($C$11-$C$10)*MIN(S$45-$G57,$C$12)/$C$12,$E57*$C$5*INDEX($C$6:$C$9,MIN(S$45-$G57,3)+1)))*(1-$C$14)*IF(AND($C57="Verified",$C$39=1),0,1)</f>
        <v>26</v>
      </c>
      <c r="T57" s="24" t="n">
        <f aca="false">IF(T$45&lt;$G57,0,IF($F57=1,$C$10+($C$11-$C$10)*MIN(T$45-$G57,$C$12)/$C$12,$E57*$C$5*INDEX($C$6:$C$9,MIN(T$45-$G57,3)+1)))*(1-$C$14)*IF(AND($C57="Verified",$C$39=1),0,1)</f>
        <v>26</v>
      </c>
      <c r="U57" s="24" t="n">
        <f aca="false">IF(U$45&lt;$G57,0,IF($F57=1,$C$10+($C$11-$C$10)*MIN(U$45-$G57,$C$12)/$C$12,$E57*$C$5*INDEX($C$6:$C$9,MIN(U$45-$G57,3)+1)))*(1-$C$14)*IF(AND($C57="Verified",$C$39=1),0,1)</f>
        <v>26</v>
      </c>
      <c r="V57" s="24" t="n">
        <f aca="false">IF(V$45&lt;$G57,0,IF($F57=1,$C$10+($C$11-$C$10)*MIN(V$45-$G57,$C$12)/$C$12,$E57*$C$5*INDEX($C$6:$C$9,MIN(V$45-$G57,3)+1)))*(1-$C$14)*IF(AND($C57="Verified",$C$39=1),0,1)</f>
        <v>26</v>
      </c>
      <c r="W57" s="24" t="n">
        <f aca="false">IF(W$45&lt;$G57,0,IF($F57=1,$C$10+($C$11-$C$10)*MIN(W$45-$G57,$C$12)/$C$12,$E57*$C$5*INDEX($C$6:$C$9,MIN(W$45-$G57,3)+1)))*(1-$C$14)*IF(AND($C57="Verified",$C$39=1),0,1)</f>
        <v>26</v>
      </c>
      <c r="X57" s="24" t="n">
        <f aca="false">IF(X$45&lt;$G57,0,IF($F57=1,$C$10+($C$11-$C$10)*MIN(X$45-$G57,$C$12)/$C$12,$E57*$C$5*INDEX($C$6:$C$9,MIN(X$45-$G57,3)+1)))*(1-$C$14)*IF(AND($C57="Verified",$C$39=1),0,1)</f>
        <v>26</v>
      </c>
      <c r="Y57" s="24" t="n">
        <f aca="false">IF(Y$45&lt;$G57,0,IF($F57=1,$C$10+($C$11-$C$10)*MIN(Y$45-$G57,$C$12)/$C$12,$E57*$C$5*INDEX($C$6:$C$9,MIN(Y$45-$G57,3)+1)))*(1-$C$14)*IF(AND($C57="Verified",$C$39=1),0,1)</f>
        <v>26</v>
      </c>
    </row>
    <row r="58" customFormat="false" ht="15" hidden="false" customHeight="false" outlineLevel="0" collapsed="false">
      <c r="A58" s="29" t="n">
        <f aca="false">Assumptions!A67</f>
        <v>11</v>
      </c>
      <c r="B58" s="29" t="str">
        <f aca="false">Assumptions!B67</f>
        <v>C</v>
      </c>
      <c r="C58" s="29" t="str">
        <f aca="false">Assumptions!C67</f>
        <v>Assured</v>
      </c>
      <c r="D58" s="34" t="n">
        <f aca="false">Assumptions!D67</f>
        <v>8000</v>
      </c>
      <c r="E58" s="31" t="n">
        <f aca="false">Assumptions!E67</f>
        <v>26</v>
      </c>
      <c r="F58" s="29" t="n">
        <f aca="false">Assumptions!G67</f>
        <v>0</v>
      </c>
      <c r="G58" s="2" t="n">
        <f aca="false">Assumptions!F67+IF(F58=1,0,$C$15)</f>
        <v>7</v>
      </c>
      <c r="H58" s="24" t="n">
        <f aca="false">IF(H$45&lt;$G58,0,IF($F58=1,$C$10+($C$11-$C$10)*MIN(H$45-$G58,$C$12)/$C$12,$E58*$C$5*INDEX($C$6:$C$9,MIN(H$45-$G58,3)+1)))*(1-$C$14)*IF(AND($C58="Verified",$C$39=1),0,1)</f>
        <v>0</v>
      </c>
      <c r="I58" s="24" t="n">
        <f aca="false">IF(I$45&lt;$G58,0,IF($F58=1,$C$10+($C$11-$C$10)*MIN(I$45-$G58,$C$12)/$C$12,$E58*$C$5*INDEX($C$6:$C$9,MIN(I$45-$G58,3)+1)))*(1-$C$14)*IF(AND($C58="Verified",$C$39=1),0,1)</f>
        <v>0</v>
      </c>
      <c r="J58" s="24" t="n">
        <f aca="false">IF(J$45&lt;$G58,0,IF($F58=1,$C$10+($C$11-$C$10)*MIN(J$45-$G58,$C$12)/$C$12,$E58*$C$5*INDEX($C$6:$C$9,MIN(J$45-$G58,3)+1)))*(1-$C$14)*IF(AND($C58="Verified",$C$39=1),0,1)</f>
        <v>0</v>
      </c>
      <c r="K58" s="24" t="n">
        <f aca="false">IF(K$45&lt;$G58,0,IF($F58=1,$C$10+($C$11-$C$10)*MIN(K$45-$G58,$C$12)/$C$12,$E58*$C$5*INDEX($C$6:$C$9,MIN(K$45-$G58,3)+1)))*(1-$C$14)*IF(AND($C58="Verified",$C$39=1),0,1)</f>
        <v>0</v>
      </c>
      <c r="L58" s="24" t="n">
        <f aca="false">IF(L$45&lt;$G58,0,IF($F58=1,$C$10+($C$11-$C$10)*MIN(L$45-$G58,$C$12)/$C$12,$E58*$C$5*INDEX($C$6:$C$9,MIN(L$45-$G58,3)+1)))*(1-$C$14)*IF(AND($C58="Verified",$C$39=1),0,1)</f>
        <v>0</v>
      </c>
      <c r="M58" s="24" t="n">
        <f aca="false">IF(M$45&lt;$G58,0,IF($F58=1,$C$10+($C$11-$C$10)*MIN(M$45-$G58,$C$12)/$C$12,$E58*$C$5*INDEX($C$6:$C$9,MIN(M$45-$G58,3)+1)))*(1-$C$14)*IF(AND($C58="Verified",$C$39=1),0,1)</f>
        <v>0</v>
      </c>
      <c r="N58" s="24" t="n">
        <f aca="false">IF(N$45&lt;$G58,0,IF($F58=1,$C$10+($C$11-$C$10)*MIN(N$45-$G58,$C$12)/$C$12,$E58*$C$5*INDEX($C$6:$C$9,MIN(N$45-$G58,3)+1)))*(1-$C$14)*IF(AND($C58="Verified",$C$39=1),0,1)</f>
        <v>7.8</v>
      </c>
      <c r="O58" s="24" t="n">
        <f aca="false">IF(O$45&lt;$G58,0,IF($F58=1,$C$10+($C$11-$C$10)*MIN(O$45-$G58,$C$12)/$C$12,$E58*$C$5*INDEX($C$6:$C$9,MIN(O$45-$G58,3)+1)))*(1-$C$14)*IF(AND($C58="Verified",$C$39=1),0,1)</f>
        <v>15.6</v>
      </c>
      <c r="P58" s="24" t="n">
        <f aca="false">IF(P$45&lt;$G58,0,IF($F58=1,$C$10+($C$11-$C$10)*MIN(P$45-$G58,$C$12)/$C$12,$E58*$C$5*INDEX($C$6:$C$9,MIN(P$45-$G58,3)+1)))*(1-$C$14)*IF(AND($C58="Verified",$C$39=1),0,1)</f>
        <v>22.1</v>
      </c>
      <c r="Q58" s="24" t="n">
        <f aca="false">IF(Q$45&lt;$G58,0,IF($F58=1,$C$10+($C$11-$C$10)*MIN(Q$45-$G58,$C$12)/$C$12,$E58*$C$5*INDEX($C$6:$C$9,MIN(Q$45-$G58,3)+1)))*(1-$C$14)*IF(AND($C58="Verified",$C$39=1),0,1)</f>
        <v>26</v>
      </c>
      <c r="R58" s="24" t="n">
        <f aca="false">IF(R$45&lt;$G58,0,IF($F58=1,$C$10+($C$11-$C$10)*MIN(R$45-$G58,$C$12)/$C$12,$E58*$C$5*INDEX($C$6:$C$9,MIN(R$45-$G58,3)+1)))*(1-$C$14)*IF(AND($C58="Verified",$C$39=1),0,1)</f>
        <v>26</v>
      </c>
      <c r="S58" s="24" t="n">
        <f aca="false">IF(S$45&lt;$G58,0,IF($F58=1,$C$10+($C$11-$C$10)*MIN(S$45-$G58,$C$12)/$C$12,$E58*$C$5*INDEX($C$6:$C$9,MIN(S$45-$G58,3)+1)))*(1-$C$14)*IF(AND($C58="Verified",$C$39=1),0,1)</f>
        <v>26</v>
      </c>
      <c r="T58" s="24" t="n">
        <f aca="false">IF(T$45&lt;$G58,0,IF($F58=1,$C$10+($C$11-$C$10)*MIN(T$45-$G58,$C$12)/$C$12,$E58*$C$5*INDEX($C$6:$C$9,MIN(T$45-$G58,3)+1)))*(1-$C$14)*IF(AND($C58="Verified",$C$39=1),0,1)</f>
        <v>26</v>
      </c>
      <c r="U58" s="24" t="n">
        <f aca="false">IF(U$45&lt;$G58,0,IF($F58=1,$C$10+($C$11-$C$10)*MIN(U$45-$G58,$C$12)/$C$12,$E58*$C$5*INDEX($C$6:$C$9,MIN(U$45-$G58,3)+1)))*(1-$C$14)*IF(AND($C58="Verified",$C$39=1),0,1)</f>
        <v>26</v>
      </c>
      <c r="V58" s="24" t="n">
        <f aca="false">IF(V$45&lt;$G58,0,IF($F58=1,$C$10+($C$11-$C$10)*MIN(V$45-$G58,$C$12)/$C$12,$E58*$C$5*INDEX($C$6:$C$9,MIN(V$45-$G58,3)+1)))*(1-$C$14)*IF(AND($C58="Verified",$C$39=1),0,1)</f>
        <v>26</v>
      </c>
      <c r="W58" s="24" t="n">
        <f aca="false">IF(W$45&lt;$G58,0,IF($F58=1,$C$10+($C$11-$C$10)*MIN(W$45-$G58,$C$12)/$C$12,$E58*$C$5*INDEX($C$6:$C$9,MIN(W$45-$G58,3)+1)))*(1-$C$14)*IF(AND($C58="Verified",$C$39=1),0,1)</f>
        <v>26</v>
      </c>
      <c r="X58" s="24" t="n">
        <f aca="false">IF(X$45&lt;$G58,0,IF($F58=1,$C$10+($C$11-$C$10)*MIN(X$45-$G58,$C$12)/$C$12,$E58*$C$5*INDEX($C$6:$C$9,MIN(X$45-$G58,3)+1)))*(1-$C$14)*IF(AND($C58="Verified",$C$39=1),0,1)</f>
        <v>26</v>
      </c>
      <c r="Y58" s="24" t="n">
        <f aca="false">IF(Y$45&lt;$G58,0,IF($F58=1,$C$10+($C$11-$C$10)*MIN(Y$45-$G58,$C$12)/$C$12,$E58*$C$5*INDEX($C$6:$C$9,MIN(Y$45-$G58,3)+1)))*(1-$C$14)*IF(AND($C58="Verified",$C$39=1),0,1)</f>
        <v>26</v>
      </c>
    </row>
    <row r="59" customFormat="false" ht="15" hidden="false" customHeight="false" outlineLevel="0" collapsed="false">
      <c r="A59" s="29" t="n">
        <f aca="false">Assumptions!A68</f>
        <v>12</v>
      </c>
      <c r="B59" s="29" t="str">
        <f aca="false">Assumptions!B68</f>
        <v>C</v>
      </c>
      <c r="C59" s="29" t="str">
        <f aca="false">Assumptions!C68</f>
        <v>Assured</v>
      </c>
      <c r="D59" s="34" t="n">
        <f aca="false">Assumptions!D68</f>
        <v>8000</v>
      </c>
      <c r="E59" s="31" t="n">
        <f aca="false">Assumptions!E68</f>
        <v>26</v>
      </c>
      <c r="F59" s="29" t="n">
        <f aca="false">Assumptions!G68</f>
        <v>0</v>
      </c>
      <c r="G59" s="2" t="n">
        <f aca="false">Assumptions!F68+IF(F59=1,0,$C$15)</f>
        <v>7</v>
      </c>
      <c r="H59" s="24" t="n">
        <f aca="false">IF(H$45&lt;$G59,0,IF($F59=1,$C$10+($C$11-$C$10)*MIN(H$45-$G59,$C$12)/$C$12,$E59*$C$5*INDEX($C$6:$C$9,MIN(H$45-$G59,3)+1)))*(1-$C$14)*IF(AND($C59="Verified",$C$39=1),0,1)</f>
        <v>0</v>
      </c>
      <c r="I59" s="24" t="n">
        <f aca="false">IF(I$45&lt;$G59,0,IF($F59=1,$C$10+($C$11-$C$10)*MIN(I$45-$G59,$C$12)/$C$12,$E59*$C$5*INDEX($C$6:$C$9,MIN(I$45-$G59,3)+1)))*(1-$C$14)*IF(AND($C59="Verified",$C$39=1),0,1)</f>
        <v>0</v>
      </c>
      <c r="J59" s="24" t="n">
        <f aca="false">IF(J$45&lt;$G59,0,IF($F59=1,$C$10+($C$11-$C$10)*MIN(J$45-$G59,$C$12)/$C$12,$E59*$C$5*INDEX($C$6:$C$9,MIN(J$45-$G59,3)+1)))*(1-$C$14)*IF(AND($C59="Verified",$C$39=1),0,1)</f>
        <v>0</v>
      </c>
      <c r="K59" s="24" t="n">
        <f aca="false">IF(K$45&lt;$G59,0,IF($F59=1,$C$10+($C$11-$C$10)*MIN(K$45-$G59,$C$12)/$C$12,$E59*$C$5*INDEX($C$6:$C$9,MIN(K$45-$G59,3)+1)))*(1-$C$14)*IF(AND($C59="Verified",$C$39=1),0,1)</f>
        <v>0</v>
      </c>
      <c r="L59" s="24" t="n">
        <f aca="false">IF(L$45&lt;$G59,0,IF($F59=1,$C$10+($C$11-$C$10)*MIN(L$45-$G59,$C$12)/$C$12,$E59*$C$5*INDEX($C$6:$C$9,MIN(L$45-$G59,3)+1)))*(1-$C$14)*IF(AND($C59="Verified",$C$39=1),0,1)</f>
        <v>0</v>
      </c>
      <c r="M59" s="24" t="n">
        <f aca="false">IF(M$45&lt;$G59,0,IF($F59=1,$C$10+($C$11-$C$10)*MIN(M$45-$G59,$C$12)/$C$12,$E59*$C$5*INDEX($C$6:$C$9,MIN(M$45-$G59,3)+1)))*(1-$C$14)*IF(AND($C59="Verified",$C$39=1),0,1)</f>
        <v>0</v>
      </c>
      <c r="N59" s="24" t="n">
        <f aca="false">IF(N$45&lt;$G59,0,IF($F59=1,$C$10+($C$11-$C$10)*MIN(N$45-$G59,$C$12)/$C$12,$E59*$C$5*INDEX($C$6:$C$9,MIN(N$45-$G59,3)+1)))*(1-$C$14)*IF(AND($C59="Verified",$C$39=1),0,1)</f>
        <v>7.8</v>
      </c>
      <c r="O59" s="24" t="n">
        <f aca="false">IF(O$45&lt;$G59,0,IF($F59=1,$C$10+($C$11-$C$10)*MIN(O$45-$G59,$C$12)/$C$12,$E59*$C$5*INDEX($C$6:$C$9,MIN(O$45-$G59,3)+1)))*(1-$C$14)*IF(AND($C59="Verified",$C$39=1),0,1)</f>
        <v>15.6</v>
      </c>
      <c r="P59" s="24" t="n">
        <f aca="false">IF(P$45&lt;$G59,0,IF($F59=1,$C$10+($C$11-$C$10)*MIN(P$45-$G59,$C$12)/$C$12,$E59*$C$5*INDEX($C$6:$C$9,MIN(P$45-$G59,3)+1)))*(1-$C$14)*IF(AND($C59="Verified",$C$39=1),0,1)</f>
        <v>22.1</v>
      </c>
      <c r="Q59" s="24" t="n">
        <f aca="false">IF(Q$45&lt;$G59,0,IF($F59=1,$C$10+($C$11-$C$10)*MIN(Q$45-$G59,$C$12)/$C$12,$E59*$C$5*INDEX($C$6:$C$9,MIN(Q$45-$G59,3)+1)))*(1-$C$14)*IF(AND($C59="Verified",$C$39=1),0,1)</f>
        <v>26</v>
      </c>
      <c r="R59" s="24" t="n">
        <f aca="false">IF(R$45&lt;$G59,0,IF($F59=1,$C$10+($C$11-$C$10)*MIN(R$45-$G59,$C$12)/$C$12,$E59*$C$5*INDEX($C$6:$C$9,MIN(R$45-$G59,3)+1)))*(1-$C$14)*IF(AND($C59="Verified",$C$39=1),0,1)</f>
        <v>26</v>
      </c>
      <c r="S59" s="24" t="n">
        <f aca="false">IF(S$45&lt;$G59,0,IF($F59=1,$C$10+($C$11-$C$10)*MIN(S$45-$G59,$C$12)/$C$12,$E59*$C$5*INDEX($C$6:$C$9,MIN(S$45-$G59,3)+1)))*(1-$C$14)*IF(AND($C59="Verified",$C$39=1),0,1)</f>
        <v>26</v>
      </c>
      <c r="T59" s="24" t="n">
        <f aca="false">IF(T$45&lt;$G59,0,IF($F59=1,$C$10+($C$11-$C$10)*MIN(T$45-$G59,$C$12)/$C$12,$E59*$C$5*INDEX($C$6:$C$9,MIN(T$45-$G59,3)+1)))*(1-$C$14)*IF(AND($C59="Verified",$C$39=1),0,1)</f>
        <v>26</v>
      </c>
      <c r="U59" s="24" t="n">
        <f aca="false">IF(U$45&lt;$G59,0,IF($F59=1,$C$10+($C$11-$C$10)*MIN(U$45-$G59,$C$12)/$C$12,$E59*$C$5*INDEX($C$6:$C$9,MIN(U$45-$G59,3)+1)))*(1-$C$14)*IF(AND($C59="Verified",$C$39=1),0,1)</f>
        <v>26</v>
      </c>
      <c r="V59" s="24" t="n">
        <f aca="false">IF(V$45&lt;$G59,0,IF($F59=1,$C$10+($C$11-$C$10)*MIN(V$45-$G59,$C$12)/$C$12,$E59*$C$5*INDEX($C$6:$C$9,MIN(V$45-$G59,3)+1)))*(1-$C$14)*IF(AND($C59="Verified",$C$39=1),0,1)</f>
        <v>26</v>
      </c>
      <c r="W59" s="24" t="n">
        <f aca="false">IF(W$45&lt;$G59,0,IF($F59=1,$C$10+($C$11-$C$10)*MIN(W$45-$G59,$C$12)/$C$12,$E59*$C$5*INDEX($C$6:$C$9,MIN(W$45-$G59,3)+1)))*(1-$C$14)*IF(AND($C59="Verified",$C$39=1),0,1)</f>
        <v>26</v>
      </c>
      <c r="X59" s="24" t="n">
        <f aca="false">IF(X$45&lt;$G59,0,IF($F59=1,$C$10+($C$11-$C$10)*MIN(X$45-$G59,$C$12)/$C$12,$E59*$C$5*INDEX($C$6:$C$9,MIN(X$45-$G59,3)+1)))*(1-$C$14)*IF(AND($C59="Verified",$C$39=1),0,1)</f>
        <v>26</v>
      </c>
      <c r="Y59" s="24" t="n">
        <f aca="false">IF(Y$45&lt;$G59,0,IF($F59=1,$C$10+($C$11-$C$10)*MIN(Y$45-$G59,$C$12)/$C$12,$E59*$C$5*INDEX($C$6:$C$9,MIN(Y$45-$G59,3)+1)))*(1-$C$14)*IF(AND($C59="Verified",$C$39=1),0,1)</f>
        <v>26</v>
      </c>
    </row>
    <row r="60" customFormat="false" ht="15" hidden="false" customHeight="false" outlineLevel="0" collapsed="false">
      <c r="A60" s="29" t="n">
        <f aca="false">Assumptions!A69</f>
        <v>13</v>
      </c>
      <c r="B60" s="29" t="str">
        <f aca="false">Assumptions!B69</f>
        <v>C</v>
      </c>
      <c r="C60" s="29" t="str">
        <f aca="false">Assumptions!C69</f>
        <v>Assured</v>
      </c>
      <c r="D60" s="34" t="n">
        <f aca="false">Assumptions!D69</f>
        <v>8000</v>
      </c>
      <c r="E60" s="31" t="n">
        <f aca="false">Assumptions!E69</f>
        <v>26</v>
      </c>
      <c r="F60" s="29" t="n">
        <f aca="false">Assumptions!G69</f>
        <v>0</v>
      </c>
      <c r="G60" s="2" t="n">
        <f aca="false">Assumptions!F69+IF(F60=1,0,$C$15)</f>
        <v>8</v>
      </c>
      <c r="H60" s="24" t="n">
        <f aca="false">IF(H$45&lt;$G60,0,IF($F60=1,$C$10+($C$11-$C$10)*MIN(H$45-$G60,$C$12)/$C$12,$E60*$C$5*INDEX($C$6:$C$9,MIN(H$45-$G60,3)+1)))*(1-$C$14)*IF(AND($C60="Verified",$C$39=1),0,1)</f>
        <v>0</v>
      </c>
      <c r="I60" s="24" t="n">
        <f aca="false">IF(I$45&lt;$G60,0,IF($F60=1,$C$10+($C$11-$C$10)*MIN(I$45-$G60,$C$12)/$C$12,$E60*$C$5*INDEX($C$6:$C$9,MIN(I$45-$G60,3)+1)))*(1-$C$14)*IF(AND($C60="Verified",$C$39=1),0,1)</f>
        <v>0</v>
      </c>
      <c r="J60" s="24" t="n">
        <f aca="false">IF(J$45&lt;$G60,0,IF($F60=1,$C$10+($C$11-$C$10)*MIN(J$45-$G60,$C$12)/$C$12,$E60*$C$5*INDEX($C$6:$C$9,MIN(J$45-$G60,3)+1)))*(1-$C$14)*IF(AND($C60="Verified",$C$39=1),0,1)</f>
        <v>0</v>
      </c>
      <c r="K60" s="24" t="n">
        <f aca="false">IF(K$45&lt;$G60,0,IF($F60=1,$C$10+($C$11-$C$10)*MIN(K$45-$G60,$C$12)/$C$12,$E60*$C$5*INDEX($C$6:$C$9,MIN(K$45-$G60,3)+1)))*(1-$C$14)*IF(AND($C60="Verified",$C$39=1),0,1)</f>
        <v>0</v>
      </c>
      <c r="L60" s="24" t="n">
        <f aca="false">IF(L$45&lt;$G60,0,IF($F60=1,$C$10+($C$11-$C$10)*MIN(L$45-$G60,$C$12)/$C$12,$E60*$C$5*INDEX($C$6:$C$9,MIN(L$45-$G60,3)+1)))*(1-$C$14)*IF(AND($C60="Verified",$C$39=1),0,1)</f>
        <v>0</v>
      </c>
      <c r="M60" s="24" t="n">
        <f aca="false">IF(M$45&lt;$G60,0,IF($F60=1,$C$10+($C$11-$C$10)*MIN(M$45-$G60,$C$12)/$C$12,$E60*$C$5*INDEX($C$6:$C$9,MIN(M$45-$G60,3)+1)))*(1-$C$14)*IF(AND($C60="Verified",$C$39=1),0,1)</f>
        <v>0</v>
      </c>
      <c r="N60" s="24" t="n">
        <f aca="false">IF(N$45&lt;$G60,0,IF($F60=1,$C$10+($C$11-$C$10)*MIN(N$45-$G60,$C$12)/$C$12,$E60*$C$5*INDEX($C$6:$C$9,MIN(N$45-$G60,3)+1)))*(1-$C$14)*IF(AND($C60="Verified",$C$39=1),0,1)</f>
        <v>0</v>
      </c>
      <c r="O60" s="24" t="n">
        <f aca="false">IF(O$45&lt;$G60,0,IF($F60=1,$C$10+($C$11-$C$10)*MIN(O$45-$G60,$C$12)/$C$12,$E60*$C$5*INDEX($C$6:$C$9,MIN(O$45-$G60,3)+1)))*(1-$C$14)*IF(AND($C60="Verified",$C$39=1),0,1)</f>
        <v>7.8</v>
      </c>
      <c r="P60" s="24" t="n">
        <f aca="false">IF(P$45&lt;$G60,0,IF($F60=1,$C$10+($C$11-$C$10)*MIN(P$45-$G60,$C$12)/$C$12,$E60*$C$5*INDEX($C$6:$C$9,MIN(P$45-$G60,3)+1)))*(1-$C$14)*IF(AND($C60="Verified",$C$39=1),0,1)</f>
        <v>15.6</v>
      </c>
      <c r="Q60" s="24" t="n">
        <f aca="false">IF(Q$45&lt;$G60,0,IF($F60=1,$C$10+($C$11-$C$10)*MIN(Q$45-$G60,$C$12)/$C$12,$E60*$C$5*INDEX($C$6:$C$9,MIN(Q$45-$G60,3)+1)))*(1-$C$14)*IF(AND($C60="Verified",$C$39=1),0,1)</f>
        <v>22.1</v>
      </c>
      <c r="R60" s="24" t="n">
        <f aca="false">IF(R$45&lt;$G60,0,IF($F60=1,$C$10+($C$11-$C$10)*MIN(R$45-$G60,$C$12)/$C$12,$E60*$C$5*INDEX($C$6:$C$9,MIN(R$45-$G60,3)+1)))*(1-$C$14)*IF(AND($C60="Verified",$C$39=1),0,1)</f>
        <v>26</v>
      </c>
      <c r="S60" s="24" t="n">
        <f aca="false">IF(S$45&lt;$G60,0,IF($F60=1,$C$10+($C$11-$C$10)*MIN(S$45-$G60,$C$12)/$C$12,$E60*$C$5*INDEX($C$6:$C$9,MIN(S$45-$G60,3)+1)))*(1-$C$14)*IF(AND($C60="Verified",$C$39=1),0,1)</f>
        <v>26</v>
      </c>
      <c r="T60" s="24" t="n">
        <f aca="false">IF(T$45&lt;$G60,0,IF($F60=1,$C$10+($C$11-$C$10)*MIN(T$45-$G60,$C$12)/$C$12,$E60*$C$5*INDEX($C$6:$C$9,MIN(T$45-$G60,3)+1)))*(1-$C$14)*IF(AND($C60="Verified",$C$39=1),0,1)</f>
        <v>26</v>
      </c>
      <c r="U60" s="24" t="n">
        <f aca="false">IF(U$45&lt;$G60,0,IF($F60=1,$C$10+($C$11-$C$10)*MIN(U$45-$G60,$C$12)/$C$12,$E60*$C$5*INDEX($C$6:$C$9,MIN(U$45-$G60,3)+1)))*(1-$C$14)*IF(AND($C60="Verified",$C$39=1),0,1)</f>
        <v>26</v>
      </c>
      <c r="V60" s="24" t="n">
        <f aca="false">IF(V$45&lt;$G60,0,IF($F60=1,$C$10+($C$11-$C$10)*MIN(V$45-$G60,$C$12)/$C$12,$E60*$C$5*INDEX($C$6:$C$9,MIN(V$45-$G60,3)+1)))*(1-$C$14)*IF(AND($C60="Verified",$C$39=1),0,1)</f>
        <v>26</v>
      </c>
      <c r="W60" s="24" t="n">
        <f aca="false">IF(W$45&lt;$G60,0,IF($F60=1,$C$10+($C$11-$C$10)*MIN(W$45-$G60,$C$12)/$C$12,$E60*$C$5*INDEX($C$6:$C$9,MIN(W$45-$G60,3)+1)))*(1-$C$14)*IF(AND($C60="Verified",$C$39=1),0,1)</f>
        <v>26</v>
      </c>
      <c r="X60" s="24" t="n">
        <f aca="false">IF(X$45&lt;$G60,0,IF($F60=1,$C$10+($C$11-$C$10)*MIN(X$45-$G60,$C$12)/$C$12,$E60*$C$5*INDEX($C$6:$C$9,MIN(X$45-$G60,3)+1)))*(1-$C$14)*IF(AND($C60="Verified",$C$39=1),0,1)</f>
        <v>26</v>
      </c>
      <c r="Y60" s="24" t="n">
        <f aca="false">IF(Y$45&lt;$G60,0,IF($F60=1,$C$10+($C$11-$C$10)*MIN(Y$45-$G60,$C$12)/$C$12,$E60*$C$5*INDEX($C$6:$C$9,MIN(Y$45-$G60,3)+1)))*(1-$C$14)*IF(AND($C60="Verified",$C$39=1),0,1)</f>
        <v>26</v>
      </c>
    </row>
    <row r="61" customFormat="false" ht="15" hidden="false" customHeight="false" outlineLevel="0" collapsed="false">
      <c r="A61" s="29" t="n">
        <f aca="false">Assumptions!A70</f>
        <v>14</v>
      </c>
      <c r="B61" s="29" t="str">
        <f aca="false">Assumptions!B70</f>
        <v>B</v>
      </c>
      <c r="C61" s="29" t="str">
        <f aca="false">Assumptions!C70</f>
        <v>Connect</v>
      </c>
      <c r="D61" s="34" t="n">
        <f aca="false">Assumptions!D70</f>
        <v>6500</v>
      </c>
      <c r="E61" s="31" t="n">
        <f aca="false">Assumptions!E70</f>
        <v>30</v>
      </c>
      <c r="F61" s="29" t="n">
        <f aca="false">Assumptions!G70</f>
        <v>0</v>
      </c>
      <c r="G61" s="2" t="n">
        <f aca="false">Assumptions!F70+IF(F61=1,0,$C$15)</f>
        <v>9</v>
      </c>
      <c r="H61" s="24" t="n">
        <f aca="false">IF(H$45&lt;$G61,0,IF($F61=1,$C$10+($C$11-$C$10)*MIN(H$45-$G61,$C$12)/$C$12,$E61*$C$5*INDEX($C$6:$C$9,MIN(H$45-$G61,3)+1)))*(1-$C$14)*IF(AND($C61="Verified",$C$39=1),0,1)</f>
        <v>0</v>
      </c>
      <c r="I61" s="24" t="n">
        <f aca="false">IF(I$45&lt;$G61,0,IF($F61=1,$C$10+($C$11-$C$10)*MIN(I$45-$G61,$C$12)/$C$12,$E61*$C$5*INDEX($C$6:$C$9,MIN(I$45-$G61,3)+1)))*(1-$C$14)*IF(AND($C61="Verified",$C$39=1),0,1)</f>
        <v>0</v>
      </c>
      <c r="J61" s="24" t="n">
        <f aca="false">IF(J$45&lt;$G61,0,IF($F61=1,$C$10+($C$11-$C$10)*MIN(J$45-$G61,$C$12)/$C$12,$E61*$C$5*INDEX($C$6:$C$9,MIN(J$45-$G61,3)+1)))*(1-$C$14)*IF(AND($C61="Verified",$C$39=1),0,1)</f>
        <v>0</v>
      </c>
      <c r="K61" s="24" t="n">
        <f aca="false">IF(K$45&lt;$G61,0,IF($F61=1,$C$10+($C$11-$C$10)*MIN(K$45-$G61,$C$12)/$C$12,$E61*$C$5*INDEX($C$6:$C$9,MIN(K$45-$G61,3)+1)))*(1-$C$14)*IF(AND($C61="Verified",$C$39=1),0,1)</f>
        <v>0</v>
      </c>
      <c r="L61" s="24" t="n">
        <f aca="false">IF(L$45&lt;$G61,0,IF($F61=1,$C$10+($C$11-$C$10)*MIN(L$45-$G61,$C$12)/$C$12,$E61*$C$5*INDEX($C$6:$C$9,MIN(L$45-$G61,3)+1)))*(1-$C$14)*IF(AND($C61="Verified",$C$39=1),0,1)</f>
        <v>0</v>
      </c>
      <c r="M61" s="24" t="n">
        <f aca="false">IF(M$45&lt;$G61,0,IF($F61=1,$C$10+($C$11-$C$10)*MIN(M$45-$G61,$C$12)/$C$12,$E61*$C$5*INDEX($C$6:$C$9,MIN(M$45-$G61,3)+1)))*(1-$C$14)*IF(AND($C61="Verified",$C$39=1),0,1)</f>
        <v>0</v>
      </c>
      <c r="N61" s="24" t="n">
        <f aca="false">IF(N$45&lt;$G61,0,IF($F61=1,$C$10+($C$11-$C$10)*MIN(N$45-$G61,$C$12)/$C$12,$E61*$C$5*INDEX($C$6:$C$9,MIN(N$45-$G61,3)+1)))*(1-$C$14)*IF(AND($C61="Verified",$C$39=1),0,1)</f>
        <v>0</v>
      </c>
      <c r="O61" s="24" t="n">
        <f aca="false">IF(O$45&lt;$G61,0,IF($F61=1,$C$10+($C$11-$C$10)*MIN(O$45-$G61,$C$12)/$C$12,$E61*$C$5*INDEX($C$6:$C$9,MIN(O$45-$G61,3)+1)))*(1-$C$14)*IF(AND($C61="Verified",$C$39=1),0,1)</f>
        <v>0</v>
      </c>
      <c r="P61" s="24" t="n">
        <f aca="false">IF(P$45&lt;$G61,0,IF($F61=1,$C$10+($C$11-$C$10)*MIN(P$45-$G61,$C$12)/$C$12,$E61*$C$5*INDEX($C$6:$C$9,MIN(P$45-$G61,3)+1)))*(1-$C$14)*IF(AND($C61="Verified",$C$39=1),0,1)</f>
        <v>9</v>
      </c>
      <c r="Q61" s="24" t="n">
        <f aca="false">IF(Q$45&lt;$G61,0,IF($F61=1,$C$10+($C$11-$C$10)*MIN(Q$45-$G61,$C$12)/$C$12,$E61*$C$5*INDEX($C$6:$C$9,MIN(Q$45-$G61,3)+1)))*(1-$C$14)*IF(AND($C61="Verified",$C$39=1),0,1)</f>
        <v>18</v>
      </c>
      <c r="R61" s="24" t="n">
        <f aca="false">IF(R$45&lt;$G61,0,IF($F61=1,$C$10+($C$11-$C$10)*MIN(R$45-$G61,$C$12)/$C$12,$E61*$C$5*INDEX($C$6:$C$9,MIN(R$45-$G61,3)+1)))*(1-$C$14)*IF(AND($C61="Verified",$C$39=1),0,1)</f>
        <v>25.5</v>
      </c>
      <c r="S61" s="24" t="n">
        <f aca="false">IF(S$45&lt;$G61,0,IF($F61=1,$C$10+($C$11-$C$10)*MIN(S$45-$G61,$C$12)/$C$12,$E61*$C$5*INDEX($C$6:$C$9,MIN(S$45-$G61,3)+1)))*(1-$C$14)*IF(AND($C61="Verified",$C$39=1),0,1)</f>
        <v>30</v>
      </c>
      <c r="T61" s="24" t="n">
        <f aca="false">IF(T$45&lt;$G61,0,IF($F61=1,$C$10+($C$11-$C$10)*MIN(T$45-$G61,$C$12)/$C$12,$E61*$C$5*INDEX($C$6:$C$9,MIN(T$45-$G61,3)+1)))*(1-$C$14)*IF(AND($C61="Verified",$C$39=1),0,1)</f>
        <v>30</v>
      </c>
      <c r="U61" s="24" t="n">
        <f aca="false">IF(U$45&lt;$G61,0,IF($F61=1,$C$10+($C$11-$C$10)*MIN(U$45-$G61,$C$12)/$C$12,$E61*$C$5*INDEX($C$6:$C$9,MIN(U$45-$G61,3)+1)))*(1-$C$14)*IF(AND($C61="Verified",$C$39=1),0,1)</f>
        <v>30</v>
      </c>
      <c r="V61" s="24" t="n">
        <f aca="false">IF(V$45&lt;$G61,0,IF($F61=1,$C$10+($C$11-$C$10)*MIN(V$45-$G61,$C$12)/$C$12,$E61*$C$5*INDEX($C$6:$C$9,MIN(V$45-$G61,3)+1)))*(1-$C$14)*IF(AND($C61="Verified",$C$39=1),0,1)</f>
        <v>30</v>
      </c>
      <c r="W61" s="24" t="n">
        <f aca="false">IF(W$45&lt;$G61,0,IF($F61=1,$C$10+($C$11-$C$10)*MIN(W$45-$G61,$C$12)/$C$12,$E61*$C$5*INDEX($C$6:$C$9,MIN(W$45-$G61,3)+1)))*(1-$C$14)*IF(AND($C61="Verified",$C$39=1),0,1)</f>
        <v>30</v>
      </c>
      <c r="X61" s="24" t="n">
        <f aca="false">IF(X$45&lt;$G61,0,IF($F61=1,$C$10+($C$11-$C$10)*MIN(X$45-$G61,$C$12)/$C$12,$E61*$C$5*INDEX($C$6:$C$9,MIN(X$45-$G61,3)+1)))*(1-$C$14)*IF(AND($C61="Verified",$C$39=1),0,1)</f>
        <v>30</v>
      </c>
      <c r="Y61" s="24" t="n">
        <f aca="false">IF(Y$45&lt;$G61,0,IF($F61=1,$C$10+($C$11-$C$10)*MIN(Y$45-$G61,$C$12)/$C$12,$E61*$C$5*INDEX($C$6:$C$9,MIN(Y$45-$G61,3)+1)))*(1-$C$14)*IF(AND($C61="Verified",$C$39=1),0,1)</f>
        <v>30</v>
      </c>
    </row>
    <row r="62" customFormat="false" ht="15" hidden="false" customHeight="false" outlineLevel="0" collapsed="false">
      <c r="A62" s="29" t="n">
        <f aca="false">Assumptions!A71</f>
        <v>15</v>
      </c>
      <c r="B62" s="29" t="str">
        <f aca="false">Assumptions!B71</f>
        <v>B</v>
      </c>
      <c r="C62" s="29" t="str">
        <f aca="false">Assumptions!C71</f>
        <v>Connect</v>
      </c>
      <c r="D62" s="34" t="n">
        <f aca="false">Assumptions!D71</f>
        <v>6500</v>
      </c>
      <c r="E62" s="31" t="n">
        <f aca="false">Assumptions!E71</f>
        <v>30</v>
      </c>
      <c r="F62" s="29" t="n">
        <f aca="false">Assumptions!G71</f>
        <v>0</v>
      </c>
      <c r="G62" s="2" t="n">
        <f aca="false">Assumptions!F71+IF(F62=1,0,$C$15)</f>
        <v>10</v>
      </c>
      <c r="H62" s="24" t="n">
        <f aca="false">IF(H$45&lt;$G62,0,IF($F62=1,$C$10+($C$11-$C$10)*MIN(H$45-$G62,$C$12)/$C$12,$E62*$C$5*INDEX($C$6:$C$9,MIN(H$45-$G62,3)+1)))*(1-$C$14)*IF(AND($C62="Verified",$C$39=1),0,1)</f>
        <v>0</v>
      </c>
      <c r="I62" s="24" t="n">
        <f aca="false">IF(I$45&lt;$G62,0,IF($F62=1,$C$10+($C$11-$C$10)*MIN(I$45-$G62,$C$12)/$C$12,$E62*$C$5*INDEX($C$6:$C$9,MIN(I$45-$G62,3)+1)))*(1-$C$14)*IF(AND($C62="Verified",$C$39=1),0,1)</f>
        <v>0</v>
      </c>
      <c r="J62" s="24" t="n">
        <f aca="false">IF(J$45&lt;$G62,0,IF($F62=1,$C$10+($C$11-$C$10)*MIN(J$45-$G62,$C$12)/$C$12,$E62*$C$5*INDEX($C$6:$C$9,MIN(J$45-$G62,3)+1)))*(1-$C$14)*IF(AND($C62="Verified",$C$39=1),0,1)</f>
        <v>0</v>
      </c>
      <c r="K62" s="24" t="n">
        <f aca="false">IF(K$45&lt;$G62,0,IF($F62=1,$C$10+($C$11-$C$10)*MIN(K$45-$G62,$C$12)/$C$12,$E62*$C$5*INDEX($C$6:$C$9,MIN(K$45-$G62,3)+1)))*(1-$C$14)*IF(AND($C62="Verified",$C$39=1),0,1)</f>
        <v>0</v>
      </c>
      <c r="L62" s="24" t="n">
        <f aca="false">IF(L$45&lt;$G62,0,IF($F62=1,$C$10+($C$11-$C$10)*MIN(L$45-$G62,$C$12)/$C$12,$E62*$C$5*INDEX($C$6:$C$9,MIN(L$45-$G62,3)+1)))*(1-$C$14)*IF(AND($C62="Verified",$C$39=1),0,1)</f>
        <v>0</v>
      </c>
      <c r="M62" s="24" t="n">
        <f aca="false">IF(M$45&lt;$G62,0,IF($F62=1,$C$10+($C$11-$C$10)*MIN(M$45-$G62,$C$12)/$C$12,$E62*$C$5*INDEX($C$6:$C$9,MIN(M$45-$G62,3)+1)))*(1-$C$14)*IF(AND($C62="Verified",$C$39=1),0,1)</f>
        <v>0</v>
      </c>
      <c r="N62" s="24" t="n">
        <f aca="false">IF(N$45&lt;$G62,0,IF($F62=1,$C$10+($C$11-$C$10)*MIN(N$45-$G62,$C$12)/$C$12,$E62*$C$5*INDEX($C$6:$C$9,MIN(N$45-$G62,3)+1)))*(1-$C$14)*IF(AND($C62="Verified",$C$39=1),0,1)</f>
        <v>0</v>
      </c>
      <c r="O62" s="24" t="n">
        <f aca="false">IF(O$45&lt;$G62,0,IF($F62=1,$C$10+($C$11-$C$10)*MIN(O$45-$G62,$C$12)/$C$12,$E62*$C$5*INDEX($C$6:$C$9,MIN(O$45-$G62,3)+1)))*(1-$C$14)*IF(AND($C62="Verified",$C$39=1),0,1)</f>
        <v>0</v>
      </c>
      <c r="P62" s="24" t="n">
        <f aca="false">IF(P$45&lt;$G62,0,IF($F62=1,$C$10+($C$11-$C$10)*MIN(P$45-$G62,$C$12)/$C$12,$E62*$C$5*INDEX($C$6:$C$9,MIN(P$45-$G62,3)+1)))*(1-$C$14)*IF(AND($C62="Verified",$C$39=1),0,1)</f>
        <v>0</v>
      </c>
      <c r="Q62" s="24" t="n">
        <f aca="false">IF(Q$45&lt;$G62,0,IF($F62=1,$C$10+($C$11-$C$10)*MIN(Q$45-$G62,$C$12)/$C$12,$E62*$C$5*INDEX($C$6:$C$9,MIN(Q$45-$G62,3)+1)))*(1-$C$14)*IF(AND($C62="Verified",$C$39=1),0,1)</f>
        <v>9</v>
      </c>
      <c r="R62" s="24" t="n">
        <f aca="false">IF(R$45&lt;$G62,0,IF($F62=1,$C$10+($C$11-$C$10)*MIN(R$45-$G62,$C$12)/$C$12,$E62*$C$5*INDEX($C$6:$C$9,MIN(R$45-$G62,3)+1)))*(1-$C$14)*IF(AND($C62="Verified",$C$39=1),0,1)</f>
        <v>18</v>
      </c>
      <c r="S62" s="24" t="n">
        <f aca="false">IF(S$45&lt;$G62,0,IF($F62=1,$C$10+($C$11-$C$10)*MIN(S$45-$G62,$C$12)/$C$12,$E62*$C$5*INDEX($C$6:$C$9,MIN(S$45-$G62,3)+1)))*(1-$C$14)*IF(AND($C62="Verified",$C$39=1),0,1)</f>
        <v>25.5</v>
      </c>
      <c r="T62" s="24" t="n">
        <f aca="false">IF(T$45&lt;$G62,0,IF($F62=1,$C$10+($C$11-$C$10)*MIN(T$45-$G62,$C$12)/$C$12,$E62*$C$5*INDEX($C$6:$C$9,MIN(T$45-$G62,3)+1)))*(1-$C$14)*IF(AND($C62="Verified",$C$39=1),0,1)</f>
        <v>30</v>
      </c>
      <c r="U62" s="24" t="n">
        <f aca="false">IF(U$45&lt;$G62,0,IF($F62=1,$C$10+($C$11-$C$10)*MIN(U$45-$G62,$C$12)/$C$12,$E62*$C$5*INDEX($C$6:$C$9,MIN(U$45-$G62,3)+1)))*(1-$C$14)*IF(AND($C62="Verified",$C$39=1),0,1)</f>
        <v>30</v>
      </c>
      <c r="V62" s="24" t="n">
        <f aca="false">IF(V$45&lt;$G62,0,IF($F62=1,$C$10+($C$11-$C$10)*MIN(V$45-$G62,$C$12)/$C$12,$E62*$C$5*INDEX($C$6:$C$9,MIN(V$45-$G62,3)+1)))*(1-$C$14)*IF(AND($C62="Verified",$C$39=1),0,1)</f>
        <v>30</v>
      </c>
      <c r="W62" s="24" t="n">
        <f aca="false">IF(W$45&lt;$G62,0,IF($F62=1,$C$10+($C$11-$C$10)*MIN(W$45-$G62,$C$12)/$C$12,$E62*$C$5*INDEX($C$6:$C$9,MIN(W$45-$G62,3)+1)))*(1-$C$14)*IF(AND($C62="Verified",$C$39=1),0,1)</f>
        <v>30</v>
      </c>
      <c r="X62" s="24" t="n">
        <f aca="false">IF(X$45&lt;$G62,0,IF($F62=1,$C$10+($C$11-$C$10)*MIN(X$45-$G62,$C$12)/$C$12,$E62*$C$5*INDEX($C$6:$C$9,MIN(X$45-$G62,3)+1)))*(1-$C$14)*IF(AND($C62="Verified",$C$39=1),0,1)</f>
        <v>30</v>
      </c>
      <c r="Y62" s="24" t="n">
        <f aca="false">IF(Y$45&lt;$G62,0,IF($F62=1,$C$10+($C$11-$C$10)*MIN(Y$45-$G62,$C$12)/$C$12,$E62*$C$5*INDEX($C$6:$C$9,MIN(Y$45-$G62,3)+1)))*(1-$C$14)*IF(AND($C62="Verified",$C$39=1),0,1)</f>
        <v>30</v>
      </c>
    </row>
    <row r="63" customFormat="false" ht="15" hidden="false" customHeight="false" outlineLevel="0" collapsed="false">
      <c r="A63" s="29" t="n">
        <f aca="false">Assumptions!A72</f>
        <v>16</v>
      </c>
      <c r="B63" s="29" t="str">
        <f aca="false">Assumptions!B72</f>
        <v>B</v>
      </c>
      <c r="C63" s="29" t="str">
        <f aca="false">Assumptions!C72</f>
        <v>Connect</v>
      </c>
      <c r="D63" s="34" t="n">
        <f aca="false">Assumptions!D72</f>
        <v>6500</v>
      </c>
      <c r="E63" s="31" t="n">
        <f aca="false">Assumptions!E72</f>
        <v>30</v>
      </c>
      <c r="F63" s="29" t="n">
        <f aca="false">Assumptions!G72</f>
        <v>0</v>
      </c>
      <c r="G63" s="2" t="n">
        <f aca="false">Assumptions!F72+IF(F63=1,0,$C$15)</f>
        <v>11</v>
      </c>
      <c r="H63" s="24" t="n">
        <f aca="false">IF(H$45&lt;$G63,0,IF($F63=1,$C$10+($C$11-$C$10)*MIN(H$45-$G63,$C$12)/$C$12,$E63*$C$5*INDEX($C$6:$C$9,MIN(H$45-$G63,3)+1)))*(1-$C$14)*IF(AND($C63="Verified",$C$39=1),0,1)</f>
        <v>0</v>
      </c>
      <c r="I63" s="24" t="n">
        <f aca="false">IF(I$45&lt;$G63,0,IF($F63=1,$C$10+($C$11-$C$10)*MIN(I$45-$G63,$C$12)/$C$12,$E63*$C$5*INDEX($C$6:$C$9,MIN(I$45-$G63,3)+1)))*(1-$C$14)*IF(AND($C63="Verified",$C$39=1),0,1)</f>
        <v>0</v>
      </c>
      <c r="J63" s="24" t="n">
        <f aca="false">IF(J$45&lt;$G63,0,IF($F63=1,$C$10+($C$11-$C$10)*MIN(J$45-$G63,$C$12)/$C$12,$E63*$C$5*INDEX($C$6:$C$9,MIN(J$45-$G63,3)+1)))*(1-$C$14)*IF(AND($C63="Verified",$C$39=1),0,1)</f>
        <v>0</v>
      </c>
      <c r="K63" s="24" t="n">
        <f aca="false">IF(K$45&lt;$G63,0,IF($F63=1,$C$10+($C$11-$C$10)*MIN(K$45-$G63,$C$12)/$C$12,$E63*$C$5*INDEX($C$6:$C$9,MIN(K$45-$G63,3)+1)))*(1-$C$14)*IF(AND($C63="Verified",$C$39=1),0,1)</f>
        <v>0</v>
      </c>
      <c r="L63" s="24" t="n">
        <f aca="false">IF(L$45&lt;$G63,0,IF($F63=1,$C$10+($C$11-$C$10)*MIN(L$45-$G63,$C$12)/$C$12,$E63*$C$5*INDEX($C$6:$C$9,MIN(L$45-$G63,3)+1)))*(1-$C$14)*IF(AND($C63="Verified",$C$39=1),0,1)</f>
        <v>0</v>
      </c>
      <c r="M63" s="24" t="n">
        <f aca="false">IF(M$45&lt;$G63,0,IF($F63=1,$C$10+($C$11-$C$10)*MIN(M$45-$G63,$C$12)/$C$12,$E63*$C$5*INDEX($C$6:$C$9,MIN(M$45-$G63,3)+1)))*(1-$C$14)*IF(AND($C63="Verified",$C$39=1),0,1)</f>
        <v>0</v>
      </c>
      <c r="N63" s="24" t="n">
        <f aca="false">IF(N$45&lt;$G63,0,IF($F63=1,$C$10+($C$11-$C$10)*MIN(N$45-$G63,$C$12)/$C$12,$E63*$C$5*INDEX($C$6:$C$9,MIN(N$45-$G63,3)+1)))*(1-$C$14)*IF(AND($C63="Verified",$C$39=1),0,1)</f>
        <v>0</v>
      </c>
      <c r="O63" s="24" t="n">
        <f aca="false">IF(O$45&lt;$G63,0,IF($F63=1,$C$10+($C$11-$C$10)*MIN(O$45-$G63,$C$12)/$C$12,$E63*$C$5*INDEX($C$6:$C$9,MIN(O$45-$G63,3)+1)))*(1-$C$14)*IF(AND($C63="Verified",$C$39=1),0,1)</f>
        <v>0</v>
      </c>
      <c r="P63" s="24" t="n">
        <f aca="false">IF(P$45&lt;$G63,0,IF($F63=1,$C$10+($C$11-$C$10)*MIN(P$45-$G63,$C$12)/$C$12,$E63*$C$5*INDEX($C$6:$C$9,MIN(P$45-$G63,3)+1)))*(1-$C$14)*IF(AND($C63="Verified",$C$39=1),0,1)</f>
        <v>0</v>
      </c>
      <c r="Q63" s="24" t="n">
        <f aca="false">IF(Q$45&lt;$G63,0,IF($F63=1,$C$10+($C$11-$C$10)*MIN(Q$45-$G63,$C$12)/$C$12,$E63*$C$5*INDEX($C$6:$C$9,MIN(Q$45-$G63,3)+1)))*(1-$C$14)*IF(AND($C63="Verified",$C$39=1),0,1)</f>
        <v>0</v>
      </c>
      <c r="R63" s="24" t="n">
        <f aca="false">IF(R$45&lt;$G63,0,IF($F63=1,$C$10+($C$11-$C$10)*MIN(R$45-$G63,$C$12)/$C$12,$E63*$C$5*INDEX($C$6:$C$9,MIN(R$45-$G63,3)+1)))*(1-$C$14)*IF(AND($C63="Verified",$C$39=1),0,1)</f>
        <v>9</v>
      </c>
      <c r="S63" s="24" t="n">
        <f aca="false">IF(S$45&lt;$G63,0,IF($F63=1,$C$10+($C$11-$C$10)*MIN(S$45-$G63,$C$12)/$C$12,$E63*$C$5*INDEX($C$6:$C$9,MIN(S$45-$G63,3)+1)))*(1-$C$14)*IF(AND($C63="Verified",$C$39=1),0,1)</f>
        <v>18</v>
      </c>
      <c r="T63" s="24" t="n">
        <f aca="false">IF(T$45&lt;$G63,0,IF($F63=1,$C$10+($C$11-$C$10)*MIN(T$45-$G63,$C$12)/$C$12,$E63*$C$5*INDEX($C$6:$C$9,MIN(T$45-$G63,3)+1)))*(1-$C$14)*IF(AND($C63="Verified",$C$39=1),0,1)</f>
        <v>25.5</v>
      </c>
      <c r="U63" s="24" t="n">
        <f aca="false">IF(U$45&lt;$G63,0,IF($F63=1,$C$10+($C$11-$C$10)*MIN(U$45-$G63,$C$12)/$C$12,$E63*$C$5*INDEX($C$6:$C$9,MIN(U$45-$G63,3)+1)))*(1-$C$14)*IF(AND($C63="Verified",$C$39=1),0,1)</f>
        <v>30</v>
      </c>
      <c r="V63" s="24" t="n">
        <f aca="false">IF(V$45&lt;$G63,0,IF($F63=1,$C$10+($C$11-$C$10)*MIN(V$45-$G63,$C$12)/$C$12,$E63*$C$5*INDEX($C$6:$C$9,MIN(V$45-$G63,3)+1)))*(1-$C$14)*IF(AND($C63="Verified",$C$39=1),0,1)</f>
        <v>30</v>
      </c>
      <c r="W63" s="24" t="n">
        <f aca="false">IF(W$45&lt;$G63,0,IF($F63=1,$C$10+($C$11-$C$10)*MIN(W$45-$G63,$C$12)/$C$12,$E63*$C$5*INDEX($C$6:$C$9,MIN(W$45-$G63,3)+1)))*(1-$C$14)*IF(AND($C63="Verified",$C$39=1),0,1)</f>
        <v>30</v>
      </c>
      <c r="X63" s="24" t="n">
        <f aca="false">IF(X$45&lt;$G63,0,IF($F63=1,$C$10+($C$11-$C$10)*MIN(X$45-$G63,$C$12)/$C$12,$E63*$C$5*INDEX($C$6:$C$9,MIN(X$45-$G63,3)+1)))*(1-$C$14)*IF(AND($C63="Verified",$C$39=1),0,1)</f>
        <v>30</v>
      </c>
      <c r="Y63" s="24" t="n">
        <f aca="false">IF(Y$45&lt;$G63,0,IF($F63=1,$C$10+($C$11-$C$10)*MIN(Y$45-$G63,$C$12)/$C$12,$E63*$C$5*INDEX($C$6:$C$9,MIN(Y$45-$G63,3)+1)))*(1-$C$14)*IF(AND($C63="Verified",$C$39=1),0,1)</f>
        <v>30</v>
      </c>
    </row>
    <row r="64" customFormat="false" ht="15" hidden="false" customHeight="false" outlineLevel="0" collapsed="false">
      <c r="A64" s="29" t="n">
        <f aca="false">Assumptions!A73</f>
        <v>17</v>
      </c>
      <c r="B64" s="29" t="str">
        <f aca="false">Assumptions!B73</f>
        <v>B</v>
      </c>
      <c r="C64" s="29" t="str">
        <f aca="false">Assumptions!C73</f>
        <v>Verified</v>
      </c>
      <c r="D64" s="34" t="n">
        <f aca="false">Assumptions!D73</f>
        <v>6500</v>
      </c>
      <c r="E64" s="31" t="n">
        <f aca="false">Assumptions!E73</f>
        <v>30</v>
      </c>
      <c r="F64" s="29" t="n">
        <f aca="false">Assumptions!G73</f>
        <v>0</v>
      </c>
      <c r="G64" s="2" t="n">
        <f aca="false">Assumptions!F73+IF(F64=1,0,$C$15)</f>
        <v>12</v>
      </c>
      <c r="H64" s="24" t="n">
        <f aca="false">IF(H$45&lt;$G64,0,IF($F64=1,$C$10+($C$11-$C$10)*MIN(H$45-$G64,$C$12)/$C$12,$E64*$C$5*INDEX($C$6:$C$9,MIN(H$45-$G64,3)+1)))*(1-$C$14)*IF(AND($C64="Verified",$C$39=1),0,1)</f>
        <v>0</v>
      </c>
      <c r="I64" s="24" t="n">
        <f aca="false">IF(I$45&lt;$G64,0,IF($F64=1,$C$10+($C$11-$C$10)*MIN(I$45-$G64,$C$12)/$C$12,$E64*$C$5*INDEX($C$6:$C$9,MIN(I$45-$G64,3)+1)))*(1-$C$14)*IF(AND($C64="Verified",$C$39=1),0,1)</f>
        <v>0</v>
      </c>
      <c r="J64" s="24" t="n">
        <f aca="false">IF(J$45&lt;$G64,0,IF($F64=1,$C$10+($C$11-$C$10)*MIN(J$45-$G64,$C$12)/$C$12,$E64*$C$5*INDEX($C$6:$C$9,MIN(J$45-$G64,3)+1)))*(1-$C$14)*IF(AND($C64="Verified",$C$39=1),0,1)</f>
        <v>0</v>
      </c>
      <c r="K64" s="24" t="n">
        <f aca="false">IF(K$45&lt;$G64,0,IF($F64=1,$C$10+($C$11-$C$10)*MIN(K$45-$G64,$C$12)/$C$12,$E64*$C$5*INDEX($C$6:$C$9,MIN(K$45-$G64,3)+1)))*(1-$C$14)*IF(AND($C64="Verified",$C$39=1),0,1)</f>
        <v>0</v>
      </c>
      <c r="L64" s="24" t="n">
        <f aca="false">IF(L$45&lt;$G64,0,IF($F64=1,$C$10+($C$11-$C$10)*MIN(L$45-$G64,$C$12)/$C$12,$E64*$C$5*INDEX($C$6:$C$9,MIN(L$45-$G64,3)+1)))*(1-$C$14)*IF(AND($C64="Verified",$C$39=1),0,1)</f>
        <v>0</v>
      </c>
      <c r="M64" s="24" t="n">
        <f aca="false">IF(M$45&lt;$G64,0,IF($F64=1,$C$10+($C$11-$C$10)*MIN(M$45-$G64,$C$12)/$C$12,$E64*$C$5*INDEX($C$6:$C$9,MIN(M$45-$G64,3)+1)))*(1-$C$14)*IF(AND($C64="Verified",$C$39=1),0,1)</f>
        <v>0</v>
      </c>
      <c r="N64" s="24" t="n">
        <f aca="false">IF(N$45&lt;$G64,0,IF($F64=1,$C$10+($C$11-$C$10)*MIN(N$45-$G64,$C$12)/$C$12,$E64*$C$5*INDEX($C$6:$C$9,MIN(N$45-$G64,3)+1)))*(1-$C$14)*IF(AND($C64="Verified",$C$39=1),0,1)</f>
        <v>0</v>
      </c>
      <c r="O64" s="24" t="n">
        <f aca="false">IF(O$45&lt;$G64,0,IF($F64=1,$C$10+($C$11-$C$10)*MIN(O$45-$G64,$C$12)/$C$12,$E64*$C$5*INDEX($C$6:$C$9,MIN(O$45-$G64,3)+1)))*(1-$C$14)*IF(AND($C64="Verified",$C$39=1),0,1)</f>
        <v>0</v>
      </c>
      <c r="P64" s="24" t="n">
        <f aca="false">IF(P$45&lt;$G64,0,IF($F64=1,$C$10+($C$11-$C$10)*MIN(P$45-$G64,$C$12)/$C$12,$E64*$C$5*INDEX($C$6:$C$9,MIN(P$45-$G64,3)+1)))*(1-$C$14)*IF(AND($C64="Verified",$C$39=1),0,1)</f>
        <v>0</v>
      </c>
      <c r="Q64" s="24" t="n">
        <f aca="false">IF(Q$45&lt;$G64,0,IF($F64=1,$C$10+($C$11-$C$10)*MIN(Q$45-$G64,$C$12)/$C$12,$E64*$C$5*INDEX($C$6:$C$9,MIN(Q$45-$G64,3)+1)))*(1-$C$14)*IF(AND($C64="Verified",$C$39=1),0,1)</f>
        <v>0</v>
      </c>
      <c r="R64" s="24" t="n">
        <f aca="false">IF(R$45&lt;$G64,0,IF($F64=1,$C$10+($C$11-$C$10)*MIN(R$45-$G64,$C$12)/$C$12,$E64*$C$5*INDEX($C$6:$C$9,MIN(R$45-$G64,3)+1)))*(1-$C$14)*IF(AND($C64="Verified",$C$39=1),0,1)</f>
        <v>0</v>
      </c>
      <c r="S64" s="24" t="n">
        <f aca="false">IF(S$45&lt;$G64,0,IF($F64=1,$C$10+($C$11-$C$10)*MIN(S$45-$G64,$C$12)/$C$12,$E64*$C$5*INDEX($C$6:$C$9,MIN(S$45-$G64,3)+1)))*(1-$C$14)*IF(AND($C64="Verified",$C$39=1),0,1)</f>
        <v>9</v>
      </c>
      <c r="T64" s="24" t="n">
        <f aca="false">IF(T$45&lt;$G64,0,IF($F64=1,$C$10+($C$11-$C$10)*MIN(T$45-$G64,$C$12)/$C$12,$E64*$C$5*INDEX($C$6:$C$9,MIN(T$45-$G64,3)+1)))*(1-$C$14)*IF(AND($C64="Verified",$C$39=1),0,1)</f>
        <v>18</v>
      </c>
      <c r="U64" s="24" t="n">
        <f aca="false">IF(U$45&lt;$G64,0,IF($F64=1,$C$10+($C$11-$C$10)*MIN(U$45-$G64,$C$12)/$C$12,$E64*$C$5*INDEX($C$6:$C$9,MIN(U$45-$G64,3)+1)))*(1-$C$14)*IF(AND($C64="Verified",$C$39=1),0,1)</f>
        <v>25.5</v>
      </c>
      <c r="V64" s="24" t="n">
        <f aca="false">IF(V$45&lt;$G64,0,IF($F64=1,$C$10+($C$11-$C$10)*MIN(V$45-$G64,$C$12)/$C$12,$E64*$C$5*INDEX($C$6:$C$9,MIN(V$45-$G64,3)+1)))*(1-$C$14)*IF(AND($C64="Verified",$C$39=1),0,1)</f>
        <v>30</v>
      </c>
      <c r="W64" s="24" t="n">
        <f aca="false">IF(W$45&lt;$G64,0,IF($F64=1,$C$10+($C$11-$C$10)*MIN(W$45-$G64,$C$12)/$C$12,$E64*$C$5*INDEX($C$6:$C$9,MIN(W$45-$G64,3)+1)))*(1-$C$14)*IF(AND($C64="Verified",$C$39=1),0,1)</f>
        <v>30</v>
      </c>
      <c r="X64" s="24" t="n">
        <f aca="false">IF(X$45&lt;$G64,0,IF($F64=1,$C$10+($C$11-$C$10)*MIN(X$45-$G64,$C$12)/$C$12,$E64*$C$5*INDEX($C$6:$C$9,MIN(X$45-$G64,3)+1)))*(1-$C$14)*IF(AND($C64="Verified",$C$39=1),0,1)</f>
        <v>30</v>
      </c>
      <c r="Y64" s="24" t="n">
        <f aca="false">IF(Y$45&lt;$G64,0,IF($F64=1,$C$10+($C$11-$C$10)*MIN(Y$45-$G64,$C$12)/$C$12,$E64*$C$5*INDEX($C$6:$C$9,MIN(Y$45-$G64,3)+1)))*(1-$C$14)*IF(AND($C64="Verified",$C$39=1),0,1)</f>
        <v>30</v>
      </c>
    </row>
    <row r="65" customFormat="false" ht="15" hidden="false" customHeight="false" outlineLevel="0" collapsed="false">
      <c r="A65" s="29" t="n">
        <f aca="false">Assumptions!A74</f>
        <v>18</v>
      </c>
      <c r="B65" s="29" t="str">
        <f aca="false">Assumptions!B74</f>
        <v>B</v>
      </c>
      <c r="C65" s="29" t="str">
        <f aca="false">Assumptions!C74</f>
        <v>Verified</v>
      </c>
      <c r="D65" s="34" t="n">
        <f aca="false">Assumptions!D74</f>
        <v>6500</v>
      </c>
      <c r="E65" s="31" t="n">
        <f aca="false">Assumptions!E74</f>
        <v>30</v>
      </c>
      <c r="F65" s="29" t="n">
        <f aca="false">Assumptions!G74</f>
        <v>0</v>
      </c>
      <c r="G65" s="2" t="n">
        <f aca="false">Assumptions!F74+IF(F65=1,0,$C$15)</f>
        <v>13</v>
      </c>
      <c r="H65" s="24" t="n">
        <f aca="false">IF(H$45&lt;$G65,0,IF($F65=1,$C$10+($C$11-$C$10)*MIN(H$45-$G65,$C$12)/$C$12,$E65*$C$5*INDEX($C$6:$C$9,MIN(H$45-$G65,3)+1)))*(1-$C$14)*IF(AND($C65="Verified",$C$39=1),0,1)</f>
        <v>0</v>
      </c>
      <c r="I65" s="24" t="n">
        <f aca="false">IF(I$45&lt;$G65,0,IF($F65=1,$C$10+($C$11-$C$10)*MIN(I$45-$G65,$C$12)/$C$12,$E65*$C$5*INDEX($C$6:$C$9,MIN(I$45-$G65,3)+1)))*(1-$C$14)*IF(AND($C65="Verified",$C$39=1),0,1)</f>
        <v>0</v>
      </c>
      <c r="J65" s="24" t="n">
        <f aca="false">IF(J$45&lt;$G65,0,IF($F65=1,$C$10+($C$11-$C$10)*MIN(J$45-$G65,$C$12)/$C$12,$E65*$C$5*INDEX($C$6:$C$9,MIN(J$45-$G65,3)+1)))*(1-$C$14)*IF(AND($C65="Verified",$C$39=1),0,1)</f>
        <v>0</v>
      </c>
      <c r="K65" s="24" t="n">
        <f aca="false">IF(K$45&lt;$G65,0,IF($F65=1,$C$10+($C$11-$C$10)*MIN(K$45-$G65,$C$12)/$C$12,$E65*$C$5*INDEX($C$6:$C$9,MIN(K$45-$G65,3)+1)))*(1-$C$14)*IF(AND($C65="Verified",$C$39=1),0,1)</f>
        <v>0</v>
      </c>
      <c r="L65" s="24" t="n">
        <f aca="false">IF(L$45&lt;$G65,0,IF($F65=1,$C$10+($C$11-$C$10)*MIN(L$45-$G65,$C$12)/$C$12,$E65*$C$5*INDEX($C$6:$C$9,MIN(L$45-$G65,3)+1)))*(1-$C$14)*IF(AND($C65="Verified",$C$39=1),0,1)</f>
        <v>0</v>
      </c>
      <c r="M65" s="24" t="n">
        <f aca="false">IF(M$45&lt;$G65,0,IF($F65=1,$C$10+($C$11-$C$10)*MIN(M$45-$G65,$C$12)/$C$12,$E65*$C$5*INDEX($C$6:$C$9,MIN(M$45-$G65,3)+1)))*(1-$C$14)*IF(AND($C65="Verified",$C$39=1),0,1)</f>
        <v>0</v>
      </c>
      <c r="N65" s="24" t="n">
        <f aca="false">IF(N$45&lt;$G65,0,IF($F65=1,$C$10+($C$11-$C$10)*MIN(N$45-$G65,$C$12)/$C$12,$E65*$C$5*INDEX($C$6:$C$9,MIN(N$45-$G65,3)+1)))*(1-$C$14)*IF(AND($C65="Verified",$C$39=1),0,1)</f>
        <v>0</v>
      </c>
      <c r="O65" s="24" t="n">
        <f aca="false">IF(O$45&lt;$G65,0,IF($F65=1,$C$10+($C$11-$C$10)*MIN(O$45-$G65,$C$12)/$C$12,$E65*$C$5*INDEX($C$6:$C$9,MIN(O$45-$G65,3)+1)))*(1-$C$14)*IF(AND($C65="Verified",$C$39=1),0,1)</f>
        <v>0</v>
      </c>
      <c r="P65" s="24" t="n">
        <f aca="false">IF(P$45&lt;$G65,0,IF($F65=1,$C$10+($C$11-$C$10)*MIN(P$45-$G65,$C$12)/$C$12,$E65*$C$5*INDEX($C$6:$C$9,MIN(P$45-$G65,3)+1)))*(1-$C$14)*IF(AND($C65="Verified",$C$39=1),0,1)</f>
        <v>0</v>
      </c>
      <c r="Q65" s="24" t="n">
        <f aca="false">IF(Q$45&lt;$G65,0,IF($F65=1,$C$10+($C$11-$C$10)*MIN(Q$45-$G65,$C$12)/$C$12,$E65*$C$5*INDEX($C$6:$C$9,MIN(Q$45-$G65,3)+1)))*(1-$C$14)*IF(AND($C65="Verified",$C$39=1),0,1)</f>
        <v>0</v>
      </c>
      <c r="R65" s="24" t="n">
        <f aca="false">IF(R$45&lt;$G65,0,IF($F65=1,$C$10+($C$11-$C$10)*MIN(R$45-$G65,$C$12)/$C$12,$E65*$C$5*INDEX($C$6:$C$9,MIN(R$45-$G65,3)+1)))*(1-$C$14)*IF(AND($C65="Verified",$C$39=1),0,1)</f>
        <v>0</v>
      </c>
      <c r="S65" s="24" t="n">
        <f aca="false">IF(S$45&lt;$G65,0,IF($F65=1,$C$10+($C$11-$C$10)*MIN(S$45-$G65,$C$12)/$C$12,$E65*$C$5*INDEX($C$6:$C$9,MIN(S$45-$G65,3)+1)))*(1-$C$14)*IF(AND($C65="Verified",$C$39=1),0,1)</f>
        <v>0</v>
      </c>
      <c r="T65" s="24" t="n">
        <f aca="false">IF(T$45&lt;$G65,0,IF($F65=1,$C$10+($C$11-$C$10)*MIN(T$45-$G65,$C$12)/$C$12,$E65*$C$5*INDEX($C$6:$C$9,MIN(T$45-$G65,3)+1)))*(1-$C$14)*IF(AND($C65="Verified",$C$39=1),0,1)</f>
        <v>9</v>
      </c>
      <c r="U65" s="24" t="n">
        <f aca="false">IF(U$45&lt;$G65,0,IF($F65=1,$C$10+($C$11-$C$10)*MIN(U$45-$G65,$C$12)/$C$12,$E65*$C$5*INDEX($C$6:$C$9,MIN(U$45-$G65,3)+1)))*(1-$C$14)*IF(AND($C65="Verified",$C$39=1),0,1)</f>
        <v>18</v>
      </c>
      <c r="V65" s="24" t="n">
        <f aca="false">IF(V$45&lt;$G65,0,IF($F65=1,$C$10+($C$11-$C$10)*MIN(V$45-$G65,$C$12)/$C$12,$E65*$C$5*INDEX($C$6:$C$9,MIN(V$45-$G65,3)+1)))*(1-$C$14)*IF(AND($C65="Verified",$C$39=1),0,1)</f>
        <v>25.5</v>
      </c>
      <c r="W65" s="24" t="n">
        <f aca="false">IF(W$45&lt;$G65,0,IF($F65=1,$C$10+($C$11-$C$10)*MIN(W$45-$G65,$C$12)/$C$12,$E65*$C$5*INDEX($C$6:$C$9,MIN(W$45-$G65,3)+1)))*(1-$C$14)*IF(AND($C65="Verified",$C$39=1),0,1)</f>
        <v>30</v>
      </c>
      <c r="X65" s="24" t="n">
        <f aca="false">IF(X$45&lt;$G65,0,IF($F65=1,$C$10+($C$11-$C$10)*MIN(X$45-$G65,$C$12)/$C$12,$E65*$C$5*INDEX($C$6:$C$9,MIN(X$45-$G65,3)+1)))*(1-$C$14)*IF(AND($C65="Verified",$C$39=1),0,1)</f>
        <v>30</v>
      </c>
      <c r="Y65" s="24" t="n">
        <f aca="false">IF(Y$45&lt;$G65,0,IF($F65=1,$C$10+($C$11-$C$10)*MIN(Y$45-$G65,$C$12)/$C$12,$E65*$C$5*INDEX($C$6:$C$9,MIN(Y$45-$G65,3)+1)))*(1-$C$14)*IF(AND($C65="Verified",$C$39=1),0,1)</f>
        <v>30</v>
      </c>
    </row>
    <row r="66" customFormat="false" ht="15" hidden="false" customHeight="false" outlineLevel="0" collapsed="false">
      <c r="A66" s="29" t="n">
        <f aca="false">Assumptions!A75</f>
        <v>19</v>
      </c>
      <c r="B66" s="29" t="str">
        <f aca="false">Assumptions!B75</f>
        <v>B</v>
      </c>
      <c r="C66" s="29" t="str">
        <f aca="false">Assumptions!C75</f>
        <v>Verified</v>
      </c>
      <c r="D66" s="34" t="n">
        <f aca="false">Assumptions!D75</f>
        <v>6500</v>
      </c>
      <c r="E66" s="31" t="n">
        <f aca="false">Assumptions!E75</f>
        <v>30</v>
      </c>
      <c r="F66" s="29" t="n">
        <f aca="false">Assumptions!G75</f>
        <v>0</v>
      </c>
      <c r="G66" s="2" t="n">
        <f aca="false">Assumptions!F75+IF(F66=1,0,$C$15)</f>
        <v>14</v>
      </c>
      <c r="H66" s="24" t="n">
        <f aca="false">IF(H$45&lt;$G66,0,IF($F66=1,$C$10+($C$11-$C$10)*MIN(H$45-$G66,$C$12)/$C$12,$E66*$C$5*INDEX($C$6:$C$9,MIN(H$45-$G66,3)+1)))*(1-$C$14)*IF(AND($C66="Verified",$C$39=1),0,1)</f>
        <v>0</v>
      </c>
      <c r="I66" s="24" t="n">
        <f aca="false">IF(I$45&lt;$G66,0,IF($F66=1,$C$10+($C$11-$C$10)*MIN(I$45-$G66,$C$12)/$C$12,$E66*$C$5*INDEX($C$6:$C$9,MIN(I$45-$G66,3)+1)))*(1-$C$14)*IF(AND($C66="Verified",$C$39=1),0,1)</f>
        <v>0</v>
      </c>
      <c r="J66" s="24" t="n">
        <f aca="false">IF(J$45&lt;$G66,0,IF($F66=1,$C$10+($C$11-$C$10)*MIN(J$45-$G66,$C$12)/$C$12,$E66*$C$5*INDEX($C$6:$C$9,MIN(J$45-$G66,3)+1)))*(1-$C$14)*IF(AND($C66="Verified",$C$39=1),0,1)</f>
        <v>0</v>
      </c>
      <c r="K66" s="24" t="n">
        <f aca="false">IF(K$45&lt;$G66,0,IF($F66=1,$C$10+($C$11-$C$10)*MIN(K$45-$G66,$C$12)/$C$12,$E66*$C$5*INDEX($C$6:$C$9,MIN(K$45-$G66,3)+1)))*(1-$C$14)*IF(AND($C66="Verified",$C$39=1),0,1)</f>
        <v>0</v>
      </c>
      <c r="L66" s="24" t="n">
        <f aca="false">IF(L$45&lt;$G66,0,IF($F66=1,$C$10+($C$11-$C$10)*MIN(L$45-$G66,$C$12)/$C$12,$E66*$C$5*INDEX($C$6:$C$9,MIN(L$45-$G66,3)+1)))*(1-$C$14)*IF(AND($C66="Verified",$C$39=1),0,1)</f>
        <v>0</v>
      </c>
      <c r="M66" s="24" t="n">
        <f aca="false">IF(M$45&lt;$G66,0,IF($F66=1,$C$10+($C$11-$C$10)*MIN(M$45-$G66,$C$12)/$C$12,$E66*$C$5*INDEX($C$6:$C$9,MIN(M$45-$G66,3)+1)))*(1-$C$14)*IF(AND($C66="Verified",$C$39=1),0,1)</f>
        <v>0</v>
      </c>
      <c r="N66" s="24" t="n">
        <f aca="false">IF(N$45&lt;$G66,0,IF($F66=1,$C$10+($C$11-$C$10)*MIN(N$45-$G66,$C$12)/$C$12,$E66*$C$5*INDEX($C$6:$C$9,MIN(N$45-$G66,3)+1)))*(1-$C$14)*IF(AND($C66="Verified",$C$39=1),0,1)</f>
        <v>0</v>
      </c>
      <c r="O66" s="24" t="n">
        <f aca="false">IF(O$45&lt;$G66,0,IF($F66=1,$C$10+($C$11-$C$10)*MIN(O$45-$G66,$C$12)/$C$12,$E66*$C$5*INDEX($C$6:$C$9,MIN(O$45-$G66,3)+1)))*(1-$C$14)*IF(AND($C66="Verified",$C$39=1),0,1)</f>
        <v>0</v>
      </c>
      <c r="P66" s="24" t="n">
        <f aca="false">IF(P$45&lt;$G66,0,IF($F66=1,$C$10+($C$11-$C$10)*MIN(P$45-$G66,$C$12)/$C$12,$E66*$C$5*INDEX($C$6:$C$9,MIN(P$45-$G66,3)+1)))*(1-$C$14)*IF(AND($C66="Verified",$C$39=1),0,1)</f>
        <v>0</v>
      </c>
      <c r="Q66" s="24" t="n">
        <f aca="false">IF(Q$45&lt;$G66,0,IF($F66=1,$C$10+($C$11-$C$10)*MIN(Q$45-$G66,$C$12)/$C$12,$E66*$C$5*INDEX($C$6:$C$9,MIN(Q$45-$G66,3)+1)))*(1-$C$14)*IF(AND($C66="Verified",$C$39=1),0,1)</f>
        <v>0</v>
      </c>
      <c r="R66" s="24" t="n">
        <f aca="false">IF(R$45&lt;$G66,0,IF($F66=1,$C$10+($C$11-$C$10)*MIN(R$45-$G66,$C$12)/$C$12,$E66*$C$5*INDEX($C$6:$C$9,MIN(R$45-$G66,3)+1)))*(1-$C$14)*IF(AND($C66="Verified",$C$39=1),0,1)</f>
        <v>0</v>
      </c>
      <c r="S66" s="24" t="n">
        <f aca="false">IF(S$45&lt;$G66,0,IF($F66=1,$C$10+($C$11-$C$10)*MIN(S$45-$G66,$C$12)/$C$12,$E66*$C$5*INDEX($C$6:$C$9,MIN(S$45-$G66,3)+1)))*(1-$C$14)*IF(AND($C66="Verified",$C$39=1),0,1)</f>
        <v>0</v>
      </c>
      <c r="T66" s="24" t="n">
        <f aca="false">IF(T$45&lt;$G66,0,IF($F66=1,$C$10+($C$11-$C$10)*MIN(T$45-$G66,$C$12)/$C$12,$E66*$C$5*INDEX($C$6:$C$9,MIN(T$45-$G66,3)+1)))*(1-$C$14)*IF(AND($C66="Verified",$C$39=1),0,1)</f>
        <v>0</v>
      </c>
      <c r="U66" s="24" t="n">
        <f aca="false">IF(U$45&lt;$G66,0,IF($F66=1,$C$10+($C$11-$C$10)*MIN(U$45-$G66,$C$12)/$C$12,$E66*$C$5*INDEX($C$6:$C$9,MIN(U$45-$G66,3)+1)))*(1-$C$14)*IF(AND($C66="Verified",$C$39=1),0,1)</f>
        <v>9</v>
      </c>
      <c r="V66" s="24" t="n">
        <f aca="false">IF(V$45&lt;$G66,0,IF($F66=1,$C$10+($C$11-$C$10)*MIN(V$45-$G66,$C$12)/$C$12,$E66*$C$5*INDEX($C$6:$C$9,MIN(V$45-$G66,3)+1)))*(1-$C$14)*IF(AND($C66="Verified",$C$39=1),0,1)</f>
        <v>18</v>
      </c>
      <c r="W66" s="24" t="n">
        <f aca="false">IF(W$45&lt;$G66,0,IF($F66=1,$C$10+($C$11-$C$10)*MIN(W$45-$G66,$C$12)/$C$12,$E66*$C$5*INDEX($C$6:$C$9,MIN(W$45-$G66,3)+1)))*(1-$C$14)*IF(AND($C66="Verified",$C$39=1),0,1)</f>
        <v>25.5</v>
      </c>
      <c r="X66" s="24" t="n">
        <f aca="false">IF(X$45&lt;$G66,0,IF($F66=1,$C$10+($C$11-$C$10)*MIN(X$45-$G66,$C$12)/$C$12,$E66*$C$5*INDEX($C$6:$C$9,MIN(X$45-$G66,3)+1)))*(1-$C$14)*IF(AND($C66="Verified",$C$39=1),0,1)</f>
        <v>30</v>
      </c>
      <c r="Y66" s="24" t="n">
        <f aca="false">IF(Y$45&lt;$G66,0,IF($F66=1,$C$10+($C$11-$C$10)*MIN(Y$45-$G66,$C$12)/$C$12,$E66*$C$5*INDEX($C$6:$C$9,MIN(Y$45-$G66,3)+1)))*(1-$C$14)*IF(AND($C66="Verified",$C$39=1),0,1)</f>
        <v>30</v>
      </c>
    </row>
    <row r="67" customFormat="false" ht="15" hidden="false" customHeight="false" outlineLevel="0" collapsed="false">
      <c r="A67" s="29" t="n">
        <f aca="false">Assumptions!A76</f>
        <v>20</v>
      </c>
      <c r="B67" s="29" t="str">
        <f aca="false">Assumptions!B76</f>
        <v>B</v>
      </c>
      <c r="C67" s="29" t="str">
        <f aca="false">Assumptions!C76</f>
        <v>Verified</v>
      </c>
      <c r="D67" s="34" t="n">
        <f aca="false">Assumptions!D76</f>
        <v>6500</v>
      </c>
      <c r="E67" s="31" t="n">
        <f aca="false">Assumptions!E76</f>
        <v>30</v>
      </c>
      <c r="F67" s="29" t="n">
        <f aca="false">Assumptions!G76</f>
        <v>0</v>
      </c>
      <c r="G67" s="2" t="n">
        <f aca="false">Assumptions!F76+IF(F67=1,0,$C$15)</f>
        <v>14</v>
      </c>
      <c r="H67" s="24" t="n">
        <f aca="false">IF(H$45&lt;$G67,0,IF($F67=1,$C$10+($C$11-$C$10)*MIN(H$45-$G67,$C$12)/$C$12,$E67*$C$5*INDEX($C$6:$C$9,MIN(H$45-$G67,3)+1)))*(1-$C$14)*IF(AND($C67="Verified",$C$39=1),0,1)</f>
        <v>0</v>
      </c>
      <c r="I67" s="24" t="n">
        <f aca="false">IF(I$45&lt;$G67,0,IF($F67=1,$C$10+($C$11-$C$10)*MIN(I$45-$G67,$C$12)/$C$12,$E67*$C$5*INDEX($C$6:$C$9,MIN(I$45-$G67,3)+1)))*(1-$C$14)*IF(AND($C67="Verified",$C$39=1),0,1)</f>
        <v>0</v>
      </c>
      <c r="J67" s="24" t="n">
        <f aca="false">IF(J$45&lt;$G67,0,IF($F67=1,$C$10+($C$11-$C$10)*MIN(J$45-$G67,$C$12)/$C$12,$E67*$C$5*INDEX($C$6:$C$9,MIN(J$45-$G67,3)+1)))*(1-$C$14)*IF(AND($C67="Verified",$C$39=1),0,1)</f>
        <v>0</v>
      </c>
      <c r="K67" s="24" t="n">
        <f aca="false">IF(K$45&lt;$G67,0,IF($F67=1,$C$10+($C$11-$C$10)*MIN(K$45-$G67,$C$12)/$C$12,$E67*$C$5*INDEX($C$6:$C$9,MIN(K$45-$G67,3)+1)))*(1-$C$14)*IF(AND($C67="Verified",$C$39=1),0,1)</f>
        <v>0</v>
      </c>
      <c r="L67" s="24" t="n">
        <f aca="false">IF(L$45&lt;$G67,0,IF($F67=1,$C$10+($C$11-$C$10)*MIN(L$45-$G67,$C$12)/$C$12,$E67*$C$5*INDEX($C$6:$C$9,MIN(L$45-$G67,3)+1)))*(1-$C$14)*IF(AND($C67="Verified",$C$39=1),0,1)</f>
        <v>0</v>
      </c>
      <c r="M67" s="24" t="n">
        <f aca="false">IF(M$45&lt;$G67,0,IF($F67=1,$C$10+($C$11-$C$10)*MIN(M$45-$G67,$C$12)/$C$12,$E67*$C$5*INDEX($C$6:$C$9,MIN(M$45-$G67,3)+1)))*(1-$C$14)*IF(AND($C67="Verified",$C$39=1),0,1)</f>
        <v>0</v>
      </c>
      <c r="N67" s="24" t="n">
        <f aca="false">IF(N$45&lt;$G67,0,IF($F67=1,$C$10+($C$11-$C$10)*MIN(N$45-$G67,$C$12)/$C$12,$E67*$C$5*INDEX($C$6:$C$9,MIN(N$45-$G67,3)+1)))*(1-$C$14)*IF(AND($C67="Verified",$C$39=1),0,1)</f>
        <v>0</v>
      </c>
      <c r="O67" s="24" t="n">
        <f aca="false">IF(O$45&lt;$G67,0,IF($F67=1,$C$10+($C$11-$C$10)*MIN(O$45-$G67,$C$12)/$C$12,$E67*$C$5*INDEX($C$6:$C$9,MIN(O$45-$G67,3)+1)))*(1-$C$14)*IF(AND($C67="Verified",$C$39=1),0,1)</f>
        <v>0</v>
      </c>
      <c r="P67" s="24" t="n">
        <f aca="false">IF(P$45&lt;$G67,0,IF($F67=1,$C$10+($C$11-$C$10)*MIN(P$45-$G67,$C$12)/$C$12,$E67*$C$5*INDEX($C$6:$C$9,MIN(P$45-$G67,3)+1)))*(1-$C$14)*IF(AND($C67="Verified",$C$39=1),0,1)</f>
        <v>0</v>
      </c>
      <c r="Q67" s="24" t="n">
        <f aca="false">IF(Q$45&lt;$G67,0,IF($F67=1,$C$10+($C$11-$C$10)*MIN(Q$45-$G67,$C$12)/$C$12,$E67*$C$5*INDEX($C$6:$C$9,MIN(Q$45-$G67,3)+1)))*(1-$C$14)*IF(AND($C67="Verified",$C$39=1),0,1)</f>
        <v>0</v>
      </c>
      <c r="R67" s="24" t="n">
        <f aca="false">IF(R$45&lt;$G67,0,IF($F67=1,$C$10+($C$11-$C$10)*MIN(R$45-$G67,$C$12)/$C$12,$E67*$C$5*INDEX($C$6:$C$9,MIN(R$45-$G67,3)+1)))*(1-$C$14)*IF(AND($C67="Verified",$C$39=1),0,1)</f>
        <v>0</v>
      </c>
      <c r="S67" s="24" t="n">
        <f aca="false">IF(S$45&lt;$G67,0,IF($F67=1,$C$10+($C$11-$C$10)*MIN(S$45-$G67,$C$12)/$C$12,$E67*$C$5*INDEX($C$6:$C$9,MIN(S$45-$G67,3)+1)))*(1-$C$14)*IF(AND($C67="Verified",$C$39=1),0,1)</f>
        <v>0</v>
      </c>
      <c r="T67" s="24" t="n">
        <f aca="false">IF(T$45&lt;$G67,0,IF($F67=1,$C$10+($C$11-$C$10)*MIN(T$45-$G67,$C$12)/$C$12,$E67*$C$5*INDEX($C$6:$C$9,MIN(T$45-$G67,3)+1)))*(1-$C$14)*IF(AND($C67="Verified",$C$39=1),0,1)</f>
        <v>0</v>
      </c>
      <c r="U67" s="24" t="n">
        <f aca="false">IF(U$45&lt;$G67,0,IF($F67=1,$C$10+($C$11-$C$10)*MIN(U$45-$G67,$C$12)/$C$12,$E67*$C$5*INDEX($C$6:$C$9,MIN(U$45-$G67,3)+1)))*(1-$C$14)*IF(AND($C67="Verified",$C$39=1),0,1)</f>
        <v>9</v>
      </c>
      <c r="V67" s="24" t="n">
        <f aca="false">IF(V$45&lt;$G67,0,IF($F67=1,$C$10+($C$11-$C$10)*MIN(V$45-$G67,$C$12)/$C$12,$E67*$C$5*INDEX($C$6:$C$9,MIN(V$45-$G67,3)+1)))*(1-$C$14)*IF(AND($C67="Verified",$C$39=1),0,1)</f>
        <v>18</v>
      </c>
      <c r="W67" s="24" t="n">
        <f aca="false">IF(W$45&lt;$G67,0,IF($F67=1,$C$10+($C$11-$C$10)*MIN(W$45-$G67,$C$12)/$C$12,$E67*$C$5*INDEX($C$6:$C$9,MIN(W$45-$G67,3)+1)))*(1-$C$14)*IF(AND($C67="Verified",$C$39=1),0,1)</f>
        <v>25.5</v>
      </c>
      <c r="X67" s="24" t="n">
        <f aca="false">IF(X$45&lt;$G67,0,IF($F67=1,$C$10+($C$11-$C$10)*MIN(X$45-$G67,$C$12)/$C$12,$E67*$C$5*INDEX($C$6:$C$9,MIN(X$45-$G67,3)+1)))*(1-$C$14)*IF(AND($C67="Verified",$C$39=1),0,1)</f>
        <v>30</v>
      </c>
      <c r="Y67" s="24" t="n">
        <f aca="false">IF(Y$45&lt;$G67,0,IF($F67=1,$C$10+($C$11-$C$10)*MIN(Y$45-$G67,$C$12)/$C$12,$E67*$C$5*INDEX($C$6:$C$9,MIN(Y$45-$G67,3)+1)))*(1-$C$14)*IF(AND($C67="Verified",$C$39=1),0,1)</f>
        <v>30</v>
      </c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5" hidden="false" customHeight="false" outlineLevel="0" collapsed="false">
      <c r="A69" s="37" t="s">
        <v>199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customFormat="false" ht="15" hidden="false" customHeight="false" outlineLevel="0" collapsed="false">
      <c r="A70" s="2" t="n">
        <f aca="false">A48</f>
        <v>1</v>
      </c>
      <c r="B70" s="2" t="str">
        <f aca="false">B48</f>
        <v>Pilot</v>
      </c>
      <c r="C70" s="2" t="str">
        <f aca="false">C48</f>
        <v>Assured</v>
      </c>
      <c r="D70" s="2"/>
      <c r="E70" s="2"/>
      <c r="F70" s="2"/>
      <c r="G70" s="2"/>
      <c r="H70" s="23" t="n">
        <f aca="false">H48*$D48*$C$13*INDEX(Assumptions!$B$44:$B$46,MATCH($C48,Assumptions!$A$44:$A$46,0))+IF(H$45&gt;=$G48,INDEX(Assumptions!$C$44:$C$46,MATCH($C48,Assumptions!$A$44:$A$46,0)),0)+IF($C48="Assured",H48*$D48*$C$13*$C$26*$C$27*$C$28,0)</f>
        <v>47228.125</v>
      </c>
      <c r="I70" s="23" t="n">
        <f aca="false">I48*$D48*$C$13*INDEX(Assumptions!$B$44:$B$46,MATCH($C48,Assumptions!$A$44:$A$46,0))+IF(I$45&gt;=$G48,INDEX(Assumptions!$C$44:$C$46,MATCH($C48,Assumptions!$A$44:$A$46,0)),0)+IF($C48="Assured",I48*$D48*$C$13*$C$26*$C$27*$C$28,0)</f>
        <v>49477.0833333333</v>
      </c>
      <c r="J70" s="23" t="n">
        <f aca="false">J48*$D48*$C$13*INDEX(Assumptions!$B$44:$B$46,MATCH($C48,Assumptions!$A$44:$A$46,0))+IF(J$45&gt;=$G48,INDEX(Assumptions!$C$44:$C$46,MATCH($C48,Assumptions!$A$44:$A$46,0)),0)+IF($C48="Assured",J48*$D48*$C$13*$C$26*$C$27*$C$28,0)</f>
        <v>51726.0416666667</v>
      </c>
      <c r="K70" s="23" t="n">
        <f aca="false">K48*$D48*$C$13*INDEX(Assumptions!$B$44:$B$46,MATCH($C48,Assumptions!$A$44:$A$46,0))+IF(K$45&gt;=$G48,INDEX(Assumptions!$C$44:$C$46,MATCH($C48,Assumptions!$A$44:$A$46,0)),0)+IF($C48="Assured",K48*$D48*$C$13*$C$26*$C$27*$C$28,0)</f>
        <v>53975</v>
      </c>
      <c r="L70" s="23" t="n">
        <f aca="false">L48*$D48*$C$13*INDEX(Assumptions!$B$44:$B$46,MATCH($C48,Assumptions!$A$44:$A$46,0))+IF(L$45&gt;=$G48,INDEX(Assumptions!$C$44:$C$46,MATCH($C48,Assumptions!$A$44:$A$46,0)),0)+IF($C48="Assured",L48*$D48*$C$13*$C$26*$C$27*$C$28,0)</f>
        <v>53975</v>
      </c>
      <c r="M70" s="23" t="n">
        <f aca="false">M48*$D48*$C$13*INDEX(Assumptions!$B$44:$B$46,MATCH($C48,Assumptions!$A$44:$A$46,0))+IF(M$45&gt;=$G48,INDEX(Assumptions!$C$44:$C$46,MATCH($C48,Assumptions!$A$44:$A$46,0)),0)+IF($C48="Assured",M48*$D48*$C$13*$C$26*$C$27*$C$28,0)</f>
        <v>53975</v>
      </c>
      <c r="N70" s="23" t="n">
        <f aca="false">N48*$D48*$C$13*INDEX(Assumptions!$B$44:$B$46,MATCH($C48,Assumptions!$A$44:$A$46,0))+IF(N$45&gt;=$G48,INDEX(Assumptions!$C$44:$C$46,MATCH($C48,Assumptions!$A$44:$A$46,0)),0)+IF($C48="Assured",N48*$D48*$C$13*$C$26*$C$27*$C$28,0)</f>
        <v>53975</v>
      </c>
      <c r="O70" s="23" t="n">
        <f aca="false">O48*$D48*$C$13*INDEX(Assumptions!$B$44:$B$46,MATCH($C48,Assumptions!$A$44:$A$46,0))+IF(O$45&gt;=$G48,INDEX(Assumptions!$C$44:$C$46,MATCH($C48,Assumptions!$A$44:$A$46,0)),0)+IF($C48="Assured",O48*$D48*$C$13*$C$26*$C$27*$C$28,0)</f>
        <v>53975</v>
      </c>
      <c r="P70" s="23" t="n">
        <f aca="false">P48*$D48*$C$13*INDEX(Assumptions!$B$44:$B$46,MATCH($C48,Assumptions!$A$44:$A$46,0))+IF(P$45&gt;=$G48,INDEX(Assumptions!$C$44:$C$46,MATCH($C48,Assumptions!$A$44:$A$46,0)),0)+IF($C48="Assured",P48*$D48*$C$13*$C$26*$C$27*$C$28,0)</f>
        <v>53975</v>
      </c>
      <c r="Q70" s="23" t="n">
        <f aca="false">Q48*$D48*$C$13*INDEX(Assumptions!$B$44:$B$46,MATCH($C48,Assumptions!$A$44:$A$46,0))+IF(Q$45&gt;=$G48,INDEX(Assumptions!$C$44:$C$46,MATCH($C48,Assumptions!$A$44:$A$46,0)),0)+IF($C48="Assured",Q48*$D48*$C$13*$C$26*$C$27*$C$28,0)</f>
        <v>53975</v>
      </c>
      <c r="R70" s="23" t="n">
        <f aca="false">R48*$D48*$C$13*INDEX(Assumptions!$B$44:$B$46,MATCH($C48,Assumptions!$A$44:$A$46,0))+IF(R$45&gt;=$G48,INDEX(Assumptions!$C$44:$C$46,MATCH($C48,Assumptions!$A$44:$A$46,0)),0)+IF($C48="Assured",R48*$D48*$C$13*$C$26*$C$27*$C$28,0)</f>
        <v>53975</v>
      </c>
      <c r="S70" s="23" t="n">
        <f aca="false">S48*$D48*$C$13*INDEX(Assumptions!$B$44:$B$46,MATCH($C48,Assumptions!$A$44:$A$46,0))+IF(S$45&gt;=$G48,INDEX(Assumptions!$C$44:$C$46,MATCH($C48,Assumptions!$A$44:$A$46,0)),0)+IF($C48="Assured",S48*$D48*$C$13*$C$26*$C$27*$C$28,0)</f>
        <v>53975</v>
      </c>
      <c r="T70" s="23" t="n">
        <f aca="false">T48*$D48*$C$13*INDEX(Assumptions!$B$44:$B$46,MATCH($C48,Assumptions!$A$44:$A$46,0))+IF(T$45&gt;=$G48,INDEX(Assumptions!$C$44:$C$46,MATCH($C48,Assumptions!$A$44:$A$46,0)),0)+IF($C48="Assured",T48*$D48*$C$13*$C$26*$C$27*$C$28,0)</f>
        <v>53975</v>
      </c>
      <c r="U70" s="23" t="n">
        <f aca="false">U48*$D48*$C$13*INDEX(Assumptions!$B$44:$B$46,MATCH($C48,Assumptions!$A$44:$A$46,0))+IF(U$45&gt;=$G48,INDEX(Assumptions!$C$44:$C$46,MATCH($C48,Assumptions!$A$44:$A$46,0)),0)+IF($C48="Assured",U48*$D48*$C$13*$C$26*$C$27*$C$28,0)</f>
        <v>53975</v>
      </c>
      <c r="V70" s="23" t="n">
        <f aca="false">V48*$D48*$C$13*INDEX(Assumptions!$B$44:$B$46,MATCH($C48,Assumptions!$A$44:$A$46,0))+IF(V$45&gt;=$G48,INDEX(Assumptions!$C$44:$C$46,MATCH($C48,Assumptions!$A$44:$A$46,0)),0)+IF($C48="Assured",V48*$D48*$C$13*$C$26*$C$27*$C$28,0)</f>
        <v>53975</v>
      </c>
      <c r="W70" s="23" t="n">
        <f aca="false">W48*$D48*$C$13*INDEX(Assumptions!$B$44:$B$46,MATCH($C48,Assumptions!$A$44:$A$46,0))+IF(W$45&gt;=$G48,INDEX(Assumptions!$C$44:$C$46,MATCH($C48,Assumptions!$A$44:$A$46,0)),0)+IF($C48="Assured",W48*$D48*$C$13*$C$26*$C$27*$C$28,0)</f>
        <v>53975</v>
      </c>
      <c r="X70" s="23" t="n">
        <f aca="false">X48*$D48*$C$13*INDEX(Assumptions!$B$44:$B$46,MATCH($C48,Assumptions!$A$44:$A$46,0))+IF(X$45&gt;=$G48,INDEX(Assumptions!$C$44:$C$46,MATCH($C48,Assumptions!$A$44:$A$46,0)),0)+IF($C48="Assured",X48*$D48*$C$13*$C$26*$C$27*$C$28,0)</f>
        <v>53975</v>
      </c>
      <c r="Y70" s="23" t="n">
        <f aca="false">Y48*$D48*$C$13*INDEX(Assumptions!$B$44:$B$46,MATCH($C48,Assumptions!$A$44:$A$46,0))+IF(Y$45&gt;=$G48,INDEX(Assumptions!$C$44:$C$46,MATCH($C48,Assumptions!$A$44:$A$46,0)),0)+IF($C48="Assured",Y48*$D48*$C$13*$C$26*$C$27*$C$28,0)</f>
        <v>53975</v>
      </c>
    </row>
    <row r="71" customFormat="false" ht="15" hidden="false" customHeight="false" outlineLevel="0" collapsed="false">
      <c r="A71" s="2" t="n">
        <f aca="false">A49</f>
        <v>2</v>
      </c>
      <c r="B71" s="2" t="str">
        <f aca="false">B49</f>
        <v>Pilot</v>
      </c>
      <c r="C71" s="2" t="str">
        <f aca="false">C49</f>
        <v>Assured</v>
      </c>
      <c r="D71" s="2"/>
      <c r="E71" s="2"/>
      <c r="F71" s="2"/>
      <c r="G71" s="2"/>
      <c r="H71" s="23" t="n">
        <f aca="false">H49*$D49*$C$13*INDEX(Assumptions!$B$44:$B$46,MATCH($C49,Assumptions!$A$44:$A$46,0))+IF(H$45&gt;=$G49,INDEX(Assumptions!$C$44:$C$46,MATCH($C49,Assumptions!$A$44:$A$46,0)),0)+IF($C49="Assured",H49*$D49*$C$13*$C$26*$C$27*$C$28,0)</f>
        <v>47228.125</v>
      </c>
      <c r="I71" s="23" t="n">
        <f aca="false">I49*$D49*$C$13*INDEX(Assumptions!$B$44:$B$46,MATCH($C49,Assumptions!$A$44:$A$46,0))+IF(I$45&gt;=$G49,INDEX(Assumptions!$C$44:$C$46,MATCH($C49,Assumptions!$A$44:$A$46,0)),0)+IF($C49="Assured",I49*$D49*$C$13*$C$26*$C$27*$C$28,0)</f>
        <v>49477.0833333333</v>
      </c>
      <c r="J71" s="23" t="n">
        <f aca="false">J49*$D49*$C$13*INDEX(Assumptions!$B$44:$B$46,MATCH($C49,Assumptions!$A$44:$A$46,0))+IF(J$45&gt;=$G49,INDEX(Assumptions!$C$44:$C$46,MATCH($C49,Assumptions!$A$44:$A$46,0)),0)+IF($C49="Assured",J49*$D49*$C$13*$C$26*$C$27*$C$28,0)</f>
        <v>51726.0416666667</v>
      </c>
      <c r="K71" s="23" t="n">
        <f aca="false">K49*$D49*$C$13*INDEX(Assumptions!$B$44:$B$46,MATCH($C49,Assumptions!$A$44:$A$46,0))+IF(K$45&gt;=$G49,INDEX(Assumptions!$C$44:$C$46,MATCH($C49,Assumptions!$A$44:$A$46,0)),0)+IF($C49="Assured",K49*$D49*$C$13*$C$26*$C$27*$C$28,0)</f>
        <v>53975</v>
      </c>
      <c r="L71" s="23" t="n">
        <f aca="false">L49*$D49*$C$13*INDEX(Assumptions!$B$44:$B$46,MATCH($C49,Assumptions!$A$44:$A$46,0))+IF(L$45&gt;=$G49,INDEX(Assumptions!$C$44:$C$46,MATCH($C49,Assumptions!$A$44:$A$46,0)),0)+IF($C49="Assured",L49*$D49*$C$13*$C$26*$C$27*$C$28,0)</f>
        <v>53975</v>
      </c>
      <c r="M71" s="23" t="n">
        <f aca="false">M49*$D49*$C$13*INDEX(Assumptions!$B$44:$B$46,MATCH($C49,Assumptions!$A$44:$A$46,0))+IF(M$45&gt;=$G49,INDEX(Assumptions!$C$44:$C$46,MATCH($C49,Assumptions!$A$44:$A$46,0)),0)+IF($C49="Assured",M49*$D49*$C$13*$C$26*$C$27*$C$28,0)</f>
        <v>53975</v>
      </c>
      <c r="N71" s="23" t="n">
        <f aca="false">N49*$D49*$C$13*INDEX(Assumptions!$B$44:$B$46,MATCH($C49,Assumptions!$A$44:$A$46,0))+IF(N$45&gt;=$G49,INDEX(Assumptions!$C$44:$C$46,MATCH($C49,Assumptions!$A$44:$A$46,0)),0)+IF($C49="Assured",N49*$D49*$C$13*$C$26*$C$27*$C$28,0)</f>
        <v>53975</v>
      </c>
      <c r="O71" s="23" t="n">
        <f aca="false">O49*$D49*$C$13*INDEX(Assumptions!$B$44:$B$46,MATCH($C49,Assumptions!$A$44:$A$46,0))+IF(O$45&gt;=$G49,INDEX(Assumptions!$C$44:$C$46,MATCH($C49,Assumptions!$A$44:$A$46,0)),0)+IF($C49="Assured",O49*$D49*$C$13*$C$26*$C$27*$C$28,0)</f>
        <v>53975</v>
      </c>
      <c r="P71" s="23" t="n">
        <f aca="false">P49*$D49*$C$13*INDEX(Assumptions!$B$44:$B$46,MATCH($C49,Assumptions!$A$44:$A$46,0))+IF(P$45&gt;=$G49,INDEX(Assumptions!$C$44:$C$46,MATCH($C49,Assumptions!$A$44:$A$46,0)),0)+IF($C49="Assured",P49*$D49*$C$13*$C$26*$C$27*$C$28,0)</f>
        <v>53975</v>
      </c>
      <c r="Q71" s="23" t="n">
        <f aca="false">Q49*$D49*$C$13*INDEX(Assumptions!$B$44:$B$46,MATCH($C49,Assumptions!$A$44:$A$46,0))+IF(Q$45&gt;=$G49,INDEX(Assumptions!$C$44:$C$46,MATCH($C49,Assumptions!$A$44:$A$46,0)),0)+IF($C49="Assured",Q49*$D49*$C$13*$C$26*$C$27*$C$28,0)</f>
        <v>53975</v>
      </c>
      <c r="R71" s="23" t="n">
        <f aca="false">R49*$D49*$C$13*INDEX(Assumptions!$B$44:$B$46,MATCH($C49,Assumptions!$A$44:$A$46,0))+IF(R$45&gt;=$G49,INDEX(Assumptions!$C$44:$C$46,MATCH($C49,Assumptions!$A$44:$A$46,0)),0)+IF($C49="Assured",R49*$D49*$C$13*$C$26*$C$27*$C$28,0)</f>
        <v>53975</v>
      </c>
      <c r="S71" s="23" t="n">
        <f aca="false">S49*$D49*$C$13*INDEX(Assumptions!$B$44:$B$46,MATCH($C49,Assumptions!$A$44:$A$46,0))+IF(S$45&gt;=$G49,INDEX(Assumptions!$C$44:$C$46,MATCH($C49,Assumptions!$A$44:$A$46,0)),0)+IF($C49="Assured",S49*$D49*$C$13*$C$26*$C$27*$C$28,0)</f>
        <v>53975</v>
      </c>
      <c r="T71" s="23" t="n">
        <f aca="false">T49*$D49*$C$13*INDEX(Assumptions!$B$44:$B$46,MATCH($C49,Assumptions!$A$44:$A$46,0))+IF(T$45&gt;=$G49,INDEX(Assumptions!$C$44:$C$46,MATCH($C49,Assumptions!$A$44:$A$46,0)),0)+IF($C49="Assured",T49*$D49*$C$13*$C$26*$C$27*$C$28,0)</f>
        <v>53975</v>
      </c>
      <c r="U71" s="23" t="n">
        <f aca="false">U49*$D49*$C$13*INDEX(Assumptions!$B$44:$B$46,MATCH($C49,Assumptions!$A$44:$A$46,0))+IF(U$45&gt;=$G49,INDEX(Assumptions!$C$44:$C$46,MATCH($C49,Assumptions!$A$44:$A$46,0)),0)+IF($C49="Assured",U49*$D49*$C$13*$C$26*$C$27*$C$28,0)</f>
        <v>53975</v>
      </c>
      <c r="V71" s="23" t="n">
        <f aca="false">V49*$D49*$C$13*INDEX(Assumptions!$B$44:$B$46,MATCH($C49,Assumptions!$A$44:$A$46,0))+IF(V$45&gt;=$G49,INDEX(Assumptions!$C$44:$C$46,MATCH($C49,Assumptions!$A$44:$A$46,0)),0)+IF($C49="Assured",V49*$D49*$C$13*$C$26*$C$27*$C$28,0)</f>
        <v>53975</v>
      </c>
      <c r="W71" s="23" t="n">
        <f aca="false">W49*$D49*$C$13*INDEX(Assumptions!$B$44:$B$46,MATCH($C49,Assumptions!$A$44:$A$46,0))+IF(W$45&gt;=$G49,INDEX(Assumptions!$C$44:$C$46,MATCH($C49,Assumptions!$A$44:$A$46,0)),0)+IF($C49="Assured",W49*$D49*$C$13*$C$26*$C$27*$C$28,0)</f>
        <v>53975</v>
      </c>
      <c r="X71" s="23" t="n">
        <f aca="false">X49*$D49*$C$13*INDEX(Assumptions!$B$44:$B$46,MATCH($C49,Assumptions!$A$44:$A$46,0))+IF(X$45&gt;=$G49,INDEX(Assumptions!$C$44:$C$46,MATCH($C49,Assumptions!$A$44:$A$46,0)),0)+IF($C49="Assured",X49*$D49*$C$13*$C$26*$C$27*$C$28,0)</f>
        <v>53975</v>
      </c>
      <c r="Y71" s="23" t="n">
        <f aca="false">Y49*$D49*$C$13*INDEX(Assumptions!$B$44:$B$46,MATCH($C49,Assumptions!$A$44:$A$46,0))+IF(Y$45&gt;=$G49,INDEX(Assumptions!$C$44:$C$46,MATCH($C49,Assumptions!$A$44:$A$46,0)),0)+IF($C49="Assured",Y49*$D49*$C$13*$C$26*$C$27*$C$28,0)</f>
        <v>53975</v>
      </c>
    </row>
    <row r="72" customFormat="false" ht="15" hidden="false" customHeight="false" outlineLevel="0" collapsed="false">
      <c r="A72" s="2" t="n">
        <f aca="false">A50</f>
        <v>3</v>
      </c>
      <c r="B72" s="2" t="str">
        <f aca="false">B50</f>
        <v>Pilot</v>
      </c>
      <c r="C72" s="2" t="str">
        <f aca="false">C50</f>
        <v>Assured</v>
      </c>
      <c r="D72" s="2"/>
      <c r="E72" s="2"/>
      <c r="F72" s="2"/>
      <c r="G72" s="2"/>
      <c r="H72" s="23" t="n">
        <f aca="false">H50*$D50*$C$13*INDEX(Assumptions!$B$44:$B$46,MATCH($C50,Assumptions!$A$44:$A$46,0))+IF(H$45&gt;=$G50,INDEX(Assumptions!$C$44:$C$46,MATCH($C50,Assumptions!$A$44:$A$46,0)),0)+IF($C50="Assured",H50*$D50*$C$13*$C$26*$C$27*$C$28,0)</f>
        <v>47228.125</v>
      </c>
      <c r="I72" s="23" t="n">
        <f aca="false">I50*$D50*$C$13*INDEX(Assumptions!$B$44:$B$46,MATCH($C50,Assumptions!$A$44:$A$46,0))+IF(I$45&gt;=$G50,INDEX(Assumptions!$C$44:$C$46,MATCH($C50,Assumptions!$A$44:$A$46,0)),0)+IF($C50="Assured",I50*$D50*$C$13*$C$26*$C$27*$C$28,0)</f>
        <v>49477.0833333333</v>
      </c>
      <c r="J72" s="23" t="n">
        <f aca="false">J50*$D50*$C$13*INDEX(Assumptions!$B$44:$B$46,MATCH($C50,Assumptions!$A$44:$A$46,0))+IF(J$45&gt;=$G50,INDEX(Assumptions!$C$44:$C$46,MATCH($C50,Assumptions!$A$44:$A$46,0)),0)+IF($C50="Assured",J50*$D50*$C$13*$C$26*$C$27*$C$28,0)</f>
        <v>51726.0416666667</v>
      </c>
      <c r="K72" s="23" t="n">
        <f aca="false">K50*$D50*$C$13*INDEX(Assumptions!$B$44:$B$46,MATCH($C50,Assumptions!$A$44:$A$46,0))+IF(K$45&gt;=$G50,INDEX(Assumptions!$C$44:$C$46,MATCH($C50,Assumptions!$A$44:$A$46,0)),0)+IF($C50="Assured",K50*$D50*$C$13*$C$26*$C$27*$C$28,0)</f>
        <v>53975</v>
      </c>
      <c r="L72" s="23" t="n">
        <f aca="false">L50*$D50*$C$13*INDEX(Assumptions!$B$44:$B$46,MATCH($C50,Assumptions!$A$44:$A$46,0))+IF(L$45&gt;=$G50,INDEX(Assumptions!$C$44:$C$46,MATCH($C50,Assumptions!$A$44:$A$46,0)),0)+IF($C50="Assured",L50*$D50*$C$13*$C$26*$C$27*$C$28,0)</f>
        <v>53975</v>
      </c>
      <c r="M72" s="23" t="n">
        <f aca="false">M50*$D50*$C$13*INDEX(Assumptions!$B$44:$B$46,MATCH($C50,Assumptions!$A$44:$A$46,0))+IF(M$45&gt;=$G50,INDEX(Assumptions!$C$44:$C$46,MATCH($C50,Assumptions!$A$44:$A$46,0)),0)+IF($C50="Assured",M50*$D50*$C$13*$C$26*$C$27*$C$28,0)</f>
        <v>53975</v>
      </c>
      <c r="N72" s="23" t="n">
        <f aca="false">N50*$D50*$C$13*INDEX(Assumptions!$B$44:$B$46,MATCH($C50,Assumptions!$A$44:$A$46,0))+IF(N$45&gt;=$G50,INDEX(Assumptions!$C$44:$C$46,MATCH($C50,Assumptions!$A$44:$A$46,0)),0)+IF($C50="Assured",N50*$D50*$C$13*$C$26*$C$27*$C$28,0)</f>
        <v>53975</v>
      </c>
      <c r="O72" s="23" t="n">
        <f aca="false">O50*$D50*$C$13*INDEX(Assumptions!$B$44:$B$46,MATCH($C50,Assumptions!$A$44:$A$46,0))+IF(O$45&gt;=$G50,INDEX(Assumptions!$C$44:$C$46,MATCH($C50,Assumptions!$A$44:$A$46,0)),0)+IF($C50="Assured",O50*$D50*$C$13*$C$26*$C$27*$C$28,0)</f>
        <v>53975</v>
      </c>
      <c r="P72" s="23" t="n">
        <f aca="false">P50*$D50*$C$13*INDEX(Assumptions!$B$44:$B$46,MATCH($C50,Assumptions!$A$44:$A$46,0))+IF(P$45&gt;=$G50,INDEX(Assumptions!$C$44:$C$46,MATCH($C50,Assumptions!$A$44:$A$46,0)),0)+IF($C50="Assured",P50*$D50*$C$13*$C$26*$C$27*$C$28,0)</f>
        <v>53975</v>
      </c>
      <c r="Q72" s="23" t="n">
        <f aca="false">Q50*$D50*$C$13*INDEX(Assumptions!$B$44:$B$46,MATCH($C50,Assumptions!$A$44:$A$46,0))+IF(Q$45&gt;=$G50,INDEX(Assumptions!$C$44:$C$46,MATCH($C50,Assumptions!$A$44:$A$46,0)),0)+IF($C50="Assured",Q50*$D50*$C$13*$C$26*$C$27*$C$28,0)</f>
        <v>53975</v>
      </c>
      <c r="R72" s="23" t="n">
        <f aca="false">R50*$D50*$C$13*INDEX(Assumptions!$B$44:$B$46,MATCH($C50,Assumptions!$A$44:$A$46,0))+IF(R$45&gt;=$G50,INDEX(Assumptions!$C$44:$C$46,MATCH($C50,Assumptions!$A$44:$A$46,0)),0)+IF($C50="Assured",R50*$D50*$C$13*$C$26*$C$27*$C$28,0)</f>
        <v>53975</v>
      </c>
      <c r="S72" s="23" t="n">
        <f aca="false">S50*$D50*$C$13*INDEX(Assumptions!$B$44:$B$46,MATCH($C50,Assumptions!$A$44:$A$46,0))+IF(S$45&gt;=$G50,INDEX(Assumptions!$C$44:$C$46,MATCH($C50,Assumptions!$A$44:$A$46,0)),0)+IF($C50="Assured",S50*$D50*$C$13*$C$26*$C$27*$C$28,0)</f>
        <v>53975</v>
      </c>
      <c r="T72" s="23" t="n">
        <f aca="false">T50*$D50*$C$13*INDEX(Assumptions!$B$44:$B$46,MATCH($C50,Assumptions!$A$44:$A$46,0))+IF(T$45&gt;=$G50,INDEX(Assumptions!$C$44:$C$46,MATCH($C50,Assumptions!$A$44:$A$46,0)),0)+IF($C50="Assured",T50*$D50*$C$13*$C$26*$C$27*$C$28,0)</f>
        <v>53975</v>
      </c>
      <c r="U72" s="23" t="n">
        <f aca="false">U50*$D50*$C$13*INDEX(Assumptions!$B$44:$B$46,MATCH($C50,Assumptions!$A$44:$A$46,0))+IF(U$45&gt;=$G50,INDEX(Assumptions!$C$44:$C$46,MATCH($C50,Assumptions!$A$44:$A$46,0)),0)+IF($C50="Assured",U50*$D50*$C$13*$C$26*$C$27*$C$28,0)</f>
        <v>53975</v>
      </c>
      <c r="V72" s="23" t="n">
        <f aca="false">V50*$D50*$C$13*INDEX(Assumptions!$B$44:$B$46,MATCH($C50,Assumptions!$A$44:$A$46,0))+IF(V$45&gt;=$G50,INDEX(Assumptions!$C$44:$C$46,MATCH($C50,Assumptions!$A$44:$A$46,0)),0)+IF($C50="Assured",V50*$D50*$C$13*$C$26*$C$27*$C$28,0)</f>
        <v>53975</v>
      </c>
      <c r="W72" s="23" t="n">
        <f aca="false">W50*$D50*$C$13*INDEX(Assumptions!$B$44:$B$46,MATCH($C50,Assumptions!$A$44:$A$46,0))+IF(W$45&gt;=$G50,INDEX(Assumptions!$C$44:$C$46,MATCH($C50,Assumptions!$A$44:$A$46,0)),0)+IF($C50="Assured",W50*$D50*$C$13*$C$26*$C$27*$C$28,0)</f>
        <v>53975</v>
      </c>
      <c r="X72" s="23" t="n">
        <f aca="false">X50*$D50*$C$13*INDEX(Assumptions!$B$44:$B$46,MATCH($C50,Assumptions!$A$44:$A$46,0))+IF(X$45&gt;=$G50,INDEX(Assumptions!$C$44:$C$46,MATCH($C50,Assumptions!$A$44:$A$46,0)),0)+IF($C50="Assured",X50*$D50*$C$13*$C$26*$C$27*$C$28,0)</f>
        <v>53975</v>
      </c>
      <c r="Y72" s="23" t="n">
        <f aca="false">Y50*$D50*$C$13*INDEX(Assumptions!$B$44:$B$46,MATCH($C50,Assumptions!$A$44:$A$46,0))+IF(Y$45&gt;=$G50,INDEX(Assumptions!$C$44:$C$46,MATCH($C50,Assumptions!$A$44:$A$46,0)),0)+IF($C50="Assured",Y50*$D50*$C$13*$C$26*$C$27*$C$28,0)</f>
        <v>53975</v>
      </c>
    </row>
    <row r="73" customFormat="false" ht="15" hidden="false" customHeight="false" outlineLevel="0" collapsed="false">
      <c r="A73" s="2" t="n">
        <f aca="false">A51</f>
        <v>4</v>
      </c>
      <c r="B73" s="2" t="str">
        <f aca="false">B51</f>
        <v>Pilot</v>
      </c>
      <c r="C73" s="2" t="str">
        <f aca="false">C51</f>
        <v>Assured</v>
      </c>
      <c r="D73" s="2"/>
      <c r="E73" s="2"/>
      <c r="F73" s="2"/>
      <c r="G73" s="2"/>
      <c r="H73" s="23" t="n">
        <f aca="false">H51*$D51*$C$13*INDEX(Assumptions!$B$44:$B$46,MATCH($C51,Assumptions!$A$44:$A$46,0))+IF(H$45&gt;=$G51,INDEX(Assumptions!$C$44:$C$46,MATCH($C51,Assumptions!$A$44:$A$46,0)),0)+IF($C51="Assured",H51*$D51*$C$13*$C$26*$C$27*$C$28,0)</f>
        <v>47228.125</v>
      </c>
      <c r="I73" s="23" t="n">
        <f aca="false">I51*$D51*$C$13*INDEX(Assumptions!$B$44:$B$46,MATCH($C51,Assumptions!$A$44:$A$46,0))+IF(I$45&gt;=$G51,INDEX(Assumptions!$C$44:$C$46,MATCH($C51,Assumptions!$A$44:$A$46,0)),0)+IF($C51="Assured",I51*$D51*$C$13*$C$26*$C$27*$C$28,0)</f>
        <v>49477.0833333333</v>
      </c>
      <c r="J73" s="23" t="n">
        <f aca="false">J51*$D51*$C$13*INDEX(Assumptions!$B$44:$B$46,MATCH($C51,Assumptions!$A$44:$A$46,0))+IF(J$45&gt;=$G51,INDEX(Assumptions!$C$44:$C$46,MATCH($C51,Assumptions!$A$44:$A$46,0)),0)+IF($C51="Assured",J51*$D51*$C$13*$C$26*$C$27*$C$28,0)</f>
        <v>51726.0416666667</v>
      </c>
      <c r="K73" s="23" t="n">
        <f aca="false">K51*$D51*$C$13*INDEX(Assumptions!$B$44:$B$46,MATCH($C51,Assumptions!$A$44:$A$46,0))+IF(K$45&gt;=$G51,INDEX(Assumptions!$C$44:$C$46,MATCH($C51,Assumptions!$A$44:$A$46,0)),0)+IF($C51="Assured",K51*$D51*$C$13*$C$26*$C$27*$C$28,0)</f>
        <v>53975</v>
      </c>
      <c r="L73" s="23" t="n">
        <f aca="false">L51*$D51*$C$13*INDEX(Assumptions!$B$44:$B$46,MATCH($C51,Assumptions!$A$44:$A$46,0))+IF(L$45&gt;=$G51,INDEX(Assumptions!$C$44:$C$46,MATCH($C51,Assumptions!$A$44:$A$46,0)),0)+IF($C51="Assured",L51*$D51*$C$13*$C$26*$C$27*$C$28,0)</f>
        <v>53975</v>
      </c>
      <c r="M73" s="23" t="n">
        <f aca="false">M51*$D51*$C$13*INDEX(Assumptions!$B$44:$B$46,MATCH($C51,Assumptions!$A$44:$A$46,0))+IF(M$45&gt;=$G51,INDEX(Assumptions!$C$44:$C$46,MATCH($C51,Assumptions!$A$44:$A$46,0)),0)+IF($C51="Assured",M51*$D51*$C$13*$C$26*$C$27*$C$28,0)</f>
        <v>53975</v>
      </c>
      <c r="N73" s="23" t="n">
        <f aca="false">N51*$D51*$C$13*INDEX(Assumptions!$B$44:$B$46,MATCH($C51,Assumptions!$A$44:$A$46,0))+IF(N$45&gt;=$G51,INDEX(Assumptions!$C$44:$C$46,MATCH($C51,Assumptions!$A$44:$A$46,0)),0)+IF($C51="Assured",N51*$D51*$C$13*$C$26*$C$27*$C$28,0)</f>
        <v>53975</v>
      </c>
      <c r="O73" s="23" t="n">
        <f aca="false">O51*$D51*$C$13*INDEX(Assumptions!$B$44:$B$46,MATCH($C51,Assumptions!$A$44:$A$46,0))+IF(O$45&gt;=$G51,INDEX(Assumptions!$C$44:$C$46,MATCH($C51,Assumptions!$A$44:$A$46,0)),0)+IF($C51="Assured",O51*$D51*$C$13*$C$26*$C$27*$C$28,0)</f>
        <v>53975</v>
      </c>
      <c r="P73" s="23" t="n">
        <f aca="false">P51*$D51*$C$13*INDEX(Assumptions!$B$44:$B$46,MATCH($C51,Assumptions!$A$44:$A$46,0))+IF(P$45&gt;=$G51,INDEX(Assumptions!$C$44:$C$46,MATCH($C51,Assumptions!$A$44:$A$46,0)),0)+IF($C51="Assured",P51*$D51*$C$13*$C$26*$C$27*$C$28,0)</f>
        <v>53975</v>
      </c>
      <c r="Q73" s="23" t="n">
        <f aca="false">Q51*$D51*$C$13*INDEX(Assumptions!$B$44:$B$46,MATCH($C51,Assumptions!$A$44:$A$46,0))+IF(Q$45&gt;=$G51,INDEX(Assumptions!$C$44:$C$46,MATCH($C51,Assumptions!$A$44:$A$46,0)),0)+IF($C51="Assured",Q51*$D51*$C$13*$C$26*$C$27*$C$28,0)</f>
        <v>53975</v>
      </c>
      <c r="R73" s="23" t="n">
        <f aca="false">R51*$D51*$C$13*INDEX(Assumptions!$B$44:$B$46,MATCH($C51,Assumptions!$A$44:$A$46,0))+IF(R$45&gt;=$G51,INDEX(Assumptions!$C$44:$C$46,MATCH($C51,Assumptions!$A$44:$A$46,0)),0)+IF($C51="Assured",R51*$D51*$C$13*$C$26*$C$27*$C$28,0)</f>
        <v>53975</v>
      </c>
      <c r="S73" s="23" t="n">
        <f aca="false">S51*$D51*$C$13*INDEX(Assumptions!$B$44:$B$46,MATCH($C51,Assumptions!$A$44:$A$46,0))+IF(S$45&gt;=$G51,INDEX(Assumptions!$C$44:$C$46,MATCH($C51,Assumptions!$A$44:$A$46,0)),0)+IF($C51="Assured",S51*$D51*$C$13*$C$26*$C$27*$C$28,0)</f>
        <v>53975</v>
      </c>
      <c r="T73" s="23" t="n">
        <f aca="false">T51*$D51*$C$13*INDEX(Assumptions!$B$44:$B$46,MATCH($C51,Assumptions!$A$44:$A$46,0))+IF(T$45&gt;=$G51,INDEX(Assumptions!$C$44:$C$46,MATCH($C51,Assumptions!$A$44:$A$46,0)),0)+IF($C51="Assured",T51*$D51*$C$13*$C$26*$C$27*$C$28,0)</f>
        <v>53975</v>
      </c>
      <c r="U73" s="23" t="n">
        <f aca="false">U51*$D51*$C$13*INDEX(Assumptions!$B$44:$B$46,MATCH($C51,Assumptions!$A$44:$A$46,0))+IF(U$45&gt;=$G51,INDEX(Assumptions!$C$44:$C$46,MATCH($C51,Assumptions!$A$44:$A$46,0)),0)+IF($C51="Assured",U51*$D51*$C$13*$C$26*$C$27*$C$28,0)</f>
        <v>53975</v>
      </c>
      <c r="V73" s="23" t="n">
        <f aca="false">V51*$D51*$C$13*INDEX(Assumptions!$B$44:$B$46,MATCH($C51,Assumptions!$A$44:$A$46,0))+IF(V$45&gt;=$G51,INDEX(Assumptions!$C$44:$C$46,MATCH($C51,Assumptions!$A$44:$A$46,0)),0)+IF($C51="Assured",V51*$D51*$C$13*$C$26*$C$27*$C$28,0)</f>
        <v>53975</v>
      </c>
      <c r="W73" s="23" t="n">
        <f aca="false">W51*$D51*$C$13*INDEX(Assumptions!$B$44:$B$46,MATCH($C51,Assumptions!$A$44:$A$46,0))+IF(W$45&gt;=$G51,INDEX(Assumptions!$C$44:$C$46,MATCH($C51,Assumptions!$A$44:$A$46,0)),0)+IF($C51="Assured",W51*$D51*$C$13*$C$26*$C$27*$C$28,0)</f>
        <v>53975</v>
      </c>
      <c r="X73" s="23" t="n">
        <f aca="false">X51*$D51*$C$13*INDEX(Assumptions!$B$44:$B$46,MATCH($C51,Assumptions!$A$44:$A$46,0))+IF(X$45&gt;=$G51,INDEX(Assumptions!$C$44:$C$46,MATCH($C51,Assumptions!$A$44:$A$46,0)),0)+IF($C51="Assured",X51*$D51*$C$13*$C$26*$C$27*$C$28,0)</f>
        <v>53975</v>
      </c>
      <c r="Y73" s="23" t="n">
        <f aca="false">Y51*$D51*$C$13*INDEX(Assumptions!$B$44:$B$46,MATCH($C51,Assumptions!$A$44:$A$46,0))+IF(Y$45&gt;=$G51,INDEX(Assumptions!$C$44:$C$46,MATCH($C51,Assumptions!$A$44:$A$46,0)),0)+IF($C51="Assured",Y51*$D51*$C$13*$C$26*$C$27*$C$28,0)</f>
        <v>53975</v>
      </c>
    </row>
    <row r="74" customFormat="false" ht="15" hidden="false" customHeight="false" outlineLevel="0" collapsed="false">
      <c r="A74" s="2" t="n">
        <f aca="false">A52</f>
        <v>5</v>
      </c>
      <c r="B74" s="2" t="str">
        <f aca="false">B52</f>
        <v>A</v>
      </c>
      <c r="C74" s="2" t="str">
        <f aca="false">C52</f>
        <v>Assured</v>
      </c>
      <c r="D74" s="2"/>
      <c r="E74" s="2"/>
      <c r="F74" s="2"/>
      <c r="G74" s="2"/>
      <c r="H74" s="23" t="n">
        <f aca="false">H52*$D52*$C$13*INDEX(Assumptions!$B$44:$B$46,MATCH($C52,Assumptions!$A$44:$A$46,0))+IF(H$45&gt;=$G52,INDEX(Assumptions!$C$44:$C$46,MATCH($C52,Assumptions!$A$44:$A$46,0)),0)+IF($C52="Assured",H52*$D52*$C$13*$C$26*$C$27*$C$28,0)</f>
        <v>0</v>
      </c>
      <c r="I74" s="23" t="n">
        <f aca="false">I52*$D52*$C$13*INDEX(Assumptions!$B$44:$B$46,MATCH($C52,Assumptions!$A$44:$A$46,0))+IF(I$45&gt;=$G52,INDEX(Assumptions!$C$44:$C$46,MATCH($C52,Assumptions!$A$44:$A$46,0)),0)+IF($C52="Assured",I52*$D52*$C$13*$C$26*$C$27*$C$28,0)</f>
        <v>0</v>
      </c>
      <c r="J74" s="23" t="n">
        <f aca="false">J52*$D52*$C$13*INDEX(Assumptions!$B$44:$B$46,MATCH($C52,Assumptions!$A$44:$A$46,0))+IF(J$45&gt;=$G52,INDEX(Assumptions!$C$44:$C$46,MATCH($C52,Assumptions!$A$44:$A$46,0)),0)+IF($C52="Assured",J52*$D52*$C$13*$C$26*$C$27*$C$28,0)</f>
        <v>27432</v>
      </c>
      <c r="K74" s="23" t="n">
        <f aca="false">K52*$D52*$C$13*INDEX(Assumptions!$B$44:$B$46,MATCH($C52,Assumptions!$A$44:$A$46,0))+IF(K$45&gt;=$G52,INDEX(Assumptions!$C$44:$C$46,MATCH($C52,Assumptions!$A$44:$A$46,0)),0)+IF($C52="Assured",K52*$D52*$C$13*$C$26*$C$27*$C$28,0)</f>
        <v>54864</v>
      </c>
      <c r="L74" s="23" t="n">
        <f aca="false">L52*$D52*$C$13*INDEX(Assumptions!$B$44:$B$46,MATCH($C52,Assumptions!$A$44:$A$46,0))+IF(L$45&gt;=$G52,INDEX(Assumptions!$C$44:$C$46,MATCH($C52,Assumptions!$A$44:$A$46,0)),0)+IF($C52="Assured",L52*$D52*$C$13*$C$26*$C$27*$C$28,0)</f>
        <v>77724</v>
      </c>
      <c r="M74" s="23" t="n">
        <f aca="false">M52*$D52*$C$13*INDEX(Assumptions!$B$44:$B$46,MATCH($C52,Assumptions!$A$44:$A$46,0))+IF(M$45&gt;=$G52,INDEX(Assumptions!$C$44:$C$46,MATCH($C52,Assumptions!$A$44:$A$46,0)),0)+IF($C52="Assured",M52*$D52*$C$13*$C$26*$C$27*$C$28,0)</f>
        <v>91440</v>
      </c>
      <c r="N74" s="23" t="n">
        <f aca="false">N52*$D52*$C$13*INDEX(Assumptions!$B$44:$B$46,MATCH($C52,Assumptions!$A$44:$A$46,0))+IF(N$45&gt;=$G52,INDEX(Assumptions!$C$44:$C$46,MATCH($C52,Assumptions!$A$44:$A$46,0)),0)+IF($C52="Assured",N52*$D52*$C$13*$C$26*$C$27*$C$28,0)</f>
        <v>91440</v>
      </c>
      <c r="O74" s="23" t="n">
        <f aca="false">O52*$D52*$C$13*INDEX(Assumptions!$B$44:$B$46,MATCH($C52,Assumptions!$A$44:$A$46,0))+IF(O$45&gt;=$G52,INDEX(Assumptions!$C$44:$C$46,MATCH($C52,Assumptions!$A$44:$A$46,0)),0)+IF($C52="Assured",O52*$D52*$C$13*$C$26*$C$27*$C$28,0)</f>
        <v>91440</v>
      </c>
      <c r="P74" s="23" t="n">
        <f aca="false">P52*$D52*$C$13*INDEX(Assumptions!$B$44:$B$46,MATCH($C52,Assumptions!$A$44:$A$46,0))+IF(P$45&gt;=$G52,INDEX(Assumptions!$C$44:$C$46,MATCH($C52,Assumptions!$A$44:$A$46,0)),0)+IF($C52="Assured",P52*$D52*$C$13*$C$26*$C$27*$C$28,0)</f>
        <v>91440</v>
      </c>
      <c r="Q74" s="23" t="n">
        <f aca="false">Q52*$D52*$C$13*INDEX(Assumptions!$B$44:$B$46,MATCH($C52,Assumptions!$A$44:$A$46,0))+IF(Q$45&gt;=$G52,INDEX(Assumptions!$C$44:$C$46,MATCH($C52,Assumptions!$A$44:$A$46,0)),0)+IF($C52="Assured",Q52*$D52*$C$13*$C$26*$C$27*$C$28,0)</f>
        <v>91440</v>
      </c>
      <c r="R74" s="23" t="n">
        <f aca="false">R52*$D52*$C$13*INDEX(Assumptions!$B$44:$B$46,MATCH($C52,Assumptions!$A$44:$A$46,0))+IF(R$45&gt;=$G52,INDEX(Assumptions!$C$44:$C$46,MATCH($C52,Assumptions!$A$44:$A$46,0)),0)+IF($C52="Assured",R52*$D52*$C$13*$C$26*$C$27*$C$28,0)</f>
        <v>91440</v>
      </c>
      <c r="S74" s="23" t="n">
        <f aca="false">S52*$D52*$C$13*INDEX(Assumptions!$B$44:$B$46,MATCH($C52,Assumptions!$A$44:$A$46,0))+IF(S$45&gt;=$G52,INDEX(Assumptions!$C$44:$C$46,MATCH($C52,Assumptions!$A$44:$A$46,0)),0)+IF($C52="Assured",S52*$D52*$C$13*$C$26*$C$27*$C$28,0)</f>
        <v>91440</v>
      </c>
      <c r="T74" s="23" t="n">
        <f aca="false">T52*$D52*$C$13*INDEX(Assumptions!$B$44:$B$46,MATCH($C52,Assumptions!$A$44:$A$46,0))+IF(T$45&gt;=$G52,INDEX(Assumptions!$C$44:$C$46,MATCH($C52,Assumptions!$A$44:$A$46,0)),0)+IF($C52="Assured",T52*$D52*$C$13*$C$26*$C$27*$C$28,0)</f>
        <v>91440</v>
      </c>
      <c r="U74" s="23" t="n">
        <f aca="false">U52*$D52*$C$13*INDEX(Assumptions!$B$44:$B$46,MATCH($C52,Assumptions!$A$44:$A$46,0))+IF(U$45&gt;=$G52,INDEX(Assumptions!$C$44:$C$46,MATCH($C52,Assumptions!$A$44:$A$46,0)),0)+IF($C52="Assured",U52*$D52*$C$13*$C$26*$C$27*$C$28,0)</f>
        <v>91440</v>
      </c>
      <c r="V74" s="23" t="n">
        <f aca="false">V52*$D52*$C$13*INDEX(Assumptions!$B$44:$B$46,MATCH($C52,Assumptions!$A$44:$A$46,0))+IF(V$45&gt;=$G52,INDEX(Assumptions!$C$44:$C$46,MATCH($C52,Assumptions!$A$44:$A$46,0)),0)+IF($C52="Assured",V52*$D52*$C$13*$C$26*$C$27*$C$28,0)</f>
        <v>91440</v>
      </c>
      <c r="W74" s="23" t="n">
        <f aca="false">W52*$D52*$C$13*INDEX(Assumptions!$B$44:$B$46,MATCH($C52,Assumptions!$A$44:$A$46,0))+IF(W$45&gt;=$G52,INDEX(Assumptions!$C$44:$C$46,MATCH($C52,Assumptions!$A$44:$A$46,0)),0)+IF($C52="Assured",W52*$D52*$C$13*$C$26*$C$27*$C$28,0)</f>
        <v>91440</v>
      </c>
      <c r="X74" s="23" t="n">
        <f aca="false">X52*$D52*$C$13*INDEX(Assumptions!$B$44:$B$46,MATCH($C52,Assumptions!$A$44:$A$46,0))+IF(X$45&gt;=$G52,INDEX(Assumptions!$C$44:$C$46,MATCH($C52,Assumptions!$A$44:$A$46,0)),0)+IF($C52="Assured",X52*$D52*$C$13*$C$26*$C$27*$C$28,0)</f>
        <v>91440</v>
      </c>
      <c r="Y74" s="23" t="n">
        <f aca="false">Y52*$D52*$C$13*INDEX(Assumptions!$B$44:$B$46,MATCH($C52,Assumptions!$A$44:$A$46,0))+IF(Y$45&gt;=$G52,INDEX(Assumptions!$C$44:$C$46,MATCH($C52,Assumptions!$A$44:$A$46,0)),0)+IF($C52="Assured",Y52*$D52*$C$13*$C$26*$C$27*$C$28,0)</f>
        <v>91440</v>
      </c>
    </row>
    <row r="75" customFormat="false" ht="15" hidden="false" customHeight="false" outlineLevel="0" collapsed="false">
      <c r="A75" s="2" t="n">
        <f aca="false">A53</f>
        <v>6</v>
      </c>
      <c r="B75" s="2" t="str">
        <f aca="false">B53</f>
        <v>A</v>
      </c>
      <c r="C75" s="2" t="str">
        <f aca="false">C53</f>
        <v>Assured</v>
      </c>
      <c r="D75" s="2"/>
      <c r="E75" s="2"/>
      <c r="F75" s="2"/>
      <c r="G75" s="2"/>
      <c r="H75" s="23" t="n">
        <f aca="false">H53*$D53*$C$13*INDEX(Assumptions!$B$44:$B$46,MATCH($C53,Assumptions!$A$44:$A$46,0))+IF(H$45&gt;=$G53,INDEX(Assumptions!$C$44:$C$46,MATCH($C53,Assumptions!$A$44:$A$46,0)),0)+IF($C53="Assured",H53*$D53*$C$13*$C$26*$C$27*$C$28,0)</f>
        <v>0</v>
      </c>
      <c r="I75" s="23" t="n">
        <f aca="false">I53*$D53*$C$13*INDEX(Assumptions!$B$44:$B$46,MATCH($C53,Assumptions!$A$44:$A$46,0))+IF(I$45&gt;=$G53,INDEX(Assumptions!$C$44:$C$46,MATCH($C53,Assumptions!$A$44:$A$46,0)),0)+IF($C53="Assured",I53*$D53*$C$13*$C$26*$C$27*$C$28,0)</f>
        <v>0</v>
      </c>
      <c r="J75" s="23" t="n">
        <f aca="false">J53*$D53*$C$13*INDEX(Assumptions!$B$44:$B$46,MATCH($C53,Assumptions!$A$44:$A$46,0))+IF(J$45&gt;=$G53,INDEX(Assumptions!$C$44:$C$46,MATCH($C53,Assumptions!$A$44:$A$46,0)),0)+IF($C53="Assured",J53*$D53*$C$13*$C$26*$C$27*$C$28,0)</f>
        <v>27432</v>
      </c>
      <c r="K75" s="23" t="n">
        <f aca="false">K53*$D53*$C$13*INDEX(Assumptions!$B$44:$B$46,MATCH($C53,Assumptions!$A$44:$A$46,0))+IF(K$45&gt;=$G53,INDEX(Assumptions!$C$44:$C$46,MATCH($C53,Assumptions!$A$44:$A$46,0)),0)+IF($C53="Assured",K53*$D53*$C$13*$C$26*$C$27*$C$28,0)</f>
        <v>54864</v>
      </c>
      <c r="L75" s="23" t="n">
        <f aca="false">L53*$D53*$C$13*INDEX(Assumptions!$B$44:$B$46,MATCH($C53,Assumptions!$A$44:$A$46,0))+IF(L$45&gt;=$G53,INDEX(Assumptions!$C$44:$C$46,MATCH($C53,Assumptions!$A$44:$A$46,0)),0)+IF($C53="Assured",L53*$D53*$C$13*$C$26*$C$27*$C$28,0)</f>
        <v>77724</v>
      </c>
      <c r="M75" s="23" t="n">
        <f aca="false">M53*$D53*$C$13*INDEX(Assumptions!$B$44:$B$46,MATCH($C53,Assumptions!$A$44:$A$46,0))+IF(M$45&gt;=$G53,INDEX(Assumptions!$C$44:$C$46,MATCH($C53,Assumptions!$A$44:$A$46,0)),0)+IF($C53="Assured",M53*$D53*$C$13*$C$26*$C$27*$C$28,0)</f>
        <v>91440</v>
      </c>
      <c r="N75" s="23" t="n">
        <f aca="false">N53*$D53*$C$13*INDEX(Assumptions!$B$44:$B$46,MATCH($C53,Assumptions!$A$44:$A$46,0))+IF(N$45&gt;=$G53,INDEX(Assumptions!$C$44:$C$46,MATCH($C53,Assumptions!$A$44:$A$46,0)),0)+IF($C53="Assured",N53*$D53*$C$13*$C$26*$C$27*$C$28,0)</f>
        <v>91440</v>
      </c>
      <c r="O75" s="23" t="n">
        <f aca="false">O53*$D53*$C$13*INDEX(Assumptions!$B$44:$B$46,MATCH($C53,Assumptions!$A$44:$A$46,0))+IF(O$45&gt;=$G53,INDEX(Assumptions!$C$44:$C$46,MATCH($C53,Assumptions!$A$44:$A$46,0)),0)+IF($C53="Assured",O53*$D53*$C$13*$C$26*$C$27*$C$28,0)</f>
        <v>91440</v>
      </c>
      <c r="P75" s="23" t="n">
        <f aca="false">P53*$D53*$C$13*INDEX(Assumptions!$B$44:$B$46,MATCH($C53,Assumptions!$A$44:$A$46,0))+IF(P$45&gt;=$G53,INDEX(Assumptions!$C$44:$C$46,MATCH($C53,Assumptions!$A$44:$A$46,0)),0)+IF($C53="Assured",P53*$D53*$C$13*$C$26*$C$27*$C$28,0)</f>
        <v>91440</v>
      </c>
      <c r="Q75" s="23" t="n">
        <f aca="false">Q53*$D53*$C$13*INDEX(Assumptions!$B$44:$B$46,MATCH($C53,Assumptions!$A$44:$A$46,0))+IF(Q$45&gt;=$G53,INDEX(Assumptions!$C$44:$C$46,MATCH($C53,Assumptions!$A$44:$A$46,0)),0)+IF($C53="Assured",Q53*$D53*$C$13*$C$26*$C$27*$C$28,0)</f>
        <v>91440</v>
      </c>
      <c r="R75" s="23" t="n">
        <f aca="false">R53*$D53*$C$13*INDEX(Assumptions!$B$44:$B$46,MATCH($C53,Assumptions!$A$44:$A$46,0))+IF(R$45&gt;=$G53,INDEX(Assumptions!$C$44:$C$46,MATCH($C53,Assumptions!$A$44:$A$46,0)),0)+IF($C53="Assured",R53*$D53*$C$13*$C$26*$C$27*$C$28,0)</f>
        <v>91440</v>
      </c>
      <c r="S75" s="23" t="n">
        <f aca="false">S53*$D53*$C$13*INDEX(Assumptions!$B$44:$B$46,MATCH($C53,Assumptions!$A$44:$A$46,0))+IF(S$45&gt;=$G53,INDEX(Assumptions!$C$44:$C$46,MATCH($C53,Assumptions!$A$44:$A$46,0)),0)+IF($C53="Assured",S53*$D53*$C$13*$C$26*$C$27*$C$28,0)</f>
        <v>91440</v>
      </c>
      <c r="T75" s="23" t="n">
        <f aca="false">T53*$D53*$C$13*INDEX(Assumptions!$B$44:$B$46,MATCH($C53,Assumptions!$A$44:$A$46,0))+IF(T$45&gt;=$G53,INDEX(Assumptions!$C$44:$C$46,MATCH($C53,Assumptions!$A$44:$A$46,0)),0)+IF($C53="Assured",T53*$D53*$C$13*$C$26*$C$27*$C$28,0)</f>
        <v>91440</v>
      </c>
      <c r="U75" s="23" t="n">
        <f aca="false">U53*$D53*$C$13*INDEX(Assumptions!$B$44:$B$46,MATCH($C53,Assumptions!$A$44:$A$46,0))+IF(U$45&gt;=$G53,INDEX(Assumptions!$C$44:$C$46,MATCH($C53,Assumptions!$A$44:$A$46,0)),0)+IF($C53="Assured",U53*$D53*$C$13*$C$26*$C$27*$C$28,0)</f>
        <v>91440</v>
      </c>
      <c r="V75" s="23" t="n">
        <f aca="false">V53*$D53*$C$13*INDEX(Assumptions!$B$44:$B$46,MATCH($C53,Assumptions!$A$44:$A$46,0))+IF(V$45&gt;=$G53,INDEX(Assumptions!$C$44:$C$46,MATCH($C53,Assumptions!$A$44:$A$46,0)),0)+IF($C53="Assured",V53*$D53*$C$13*$C$26*$C$27*$C$28,0)</f>
        <v>91440</v>
      </c>
      <c r="W75" s="23" t="n">
        <f aca="false">W53*$D53*$C$13*INDEX(Assumptions!$B$44:$B$46,MATCH($C53,Assumptions!$A$44:$A$46,0))+IF(W$45&gt;=$G53,INDEX(Assumptions!$C$44:$C$46,MATCH($C53,Assumptions!$A$44:$A$46,0)),0)+IF($C53="Assured",W53*$D53*$C$13*$C$26*$C$27*$C$28,0)</f>
        <v>91440</v>
      </c>
      <c r="X75" s="23" t="n">
        <f aca="false">X53*$D53*$C$13*INDEX(Assumptions!$B$44:$B$46,MATCH($C53,Assumptions!$A$44:$A$46,0))+IF(X$45&gt;=$G53,INDEX(Assumptions!$C$44:$C$46,MATCH($C53,Assumptions!$A$44:$A$46,0)),0)+IF($C53="Assured",X53*$D53*$C$13*$C$26*$C$27*$C$28,0)</f>
        <v>91440</v>
      </c>
      <c r="Y75" s="23" t="n">
        <f aca="false">Y53*$D53*$C$13*INDEX(Assumptions!$B$44:$B$46,MATCH($C53,Assumptions!$A$44:$A$46,0))+IF(Y$45&gt;=$G53,INDEX(Assumptions!$C$44:$C$46,MATCH($C53,Assumptions!$A$44:$A$46,0)),0)+IF($C53="Assured",Y53*$D53*$C$13*$C$26*$C$27*$C$28,0)</f>
        <v>91440</v>
      </c>
    </row>
    <row r="76" customFormat="false" ht="15" hidden="false" customHeight="false" outlineLevel="0" collapsed="false">
      <c r="A76" s="2" t="n">
        <f aca="false">A54</f>
        <v>7</v>
      </c>
      <c r="B76" s="2" t="str">
        <f aca="false">B54</f>
        <v>A</v>
      </c>
      <c r="C76" s="2" t="str">
        <f aca="false">C54</f>
        <v>Assured</v>
      </c>
      <c r="D76" s="2"/>
      <c r="E76" s="2"/>
      <c r="F76" s="2"/>
      <c r="G76" s="2"/>
      <c r="H76" s="23" t="n">
        <f aca="false">H54*$D54*$C$13*INDEX(Assumptions!$B$44:$B$46,MATCH($C54,Assumptions!$A$44:$A$46,0))+IF(H$45&gt;=$G54,INDEX(Assumptions!$C$44:$C$46,MATCH($C54,Assumptions!$A$44:$A$46,0)),0)+IF($C54="Assured",H54*$D54*$C$13*$C$26*$C$27*$C$28,0)</f>
        <v>0</v>
      </c>
      <c r="I76" s="23" t="n">
        <f aca="false">I54*$D54*$C$13*INDEX(Assumptions!$B$44:$B$46,MATCH($C54,Assumptions!$A$44:$A$46,0))+IF(I$45&gt;=$G54,INDEX(Assumptions!$C$44:$C$46,MATCH($C54,Assumptions!$A$44:$A$46,0)),0)+IF($C54="Assured",I54*$D54*$C$13*$C$26*$C$27*$C$28,0)</f>
        <v>0</v>
      </c>
      <c r="J76" s="23" t="n">
        <f aca="false">J54*$D54*$C$13*INDEX(Assumptions!$B$44:$B$46,MATCH($C54,Assumptions!$A$44:$A$46,0))+IF(J$45&gt;=$G54,INDEX(Assumptions!$C$44:$C$46,MATCH($C54,Assumptions!$A$44:$A$46,0)),0)+IF($C54="Assured",J54*$D54*$C$13*$C$26*$C$27*$C$28,0)</f>
        <v>0</v>
      </c>
      <c r="K76" s="23" t="n">
        <f aca="false">K54*$D54*$C$13*INDEX(Assumptions!$B$44:$B$46,MATCH($C54,Assumptions!$A$44:$A$46,0))+IF(K$45&gt;=$G54,INDEX(Assumptions!$C$44:$C$46,MATCH($C54,Assumptions!$A$44:$A$46,0)),0)+IF($C54="Assured",K54*$D54*$C$13*$C$26*$C$27*$C$28,0)</f>
        <v>27432</v>
      </c>
      <c r="L76" s="23" t="n">
        <f aca="false">L54*$D54*$C$13*INDEX(Assumptions!$B$44:$B$46,MATCH($C54,Assumptions!$A$44:$A$46,0))+IF(L$45&gt;=$G54,INDEX(Assumptions!$C$44:$C$46,MATCH($C54,Assumptions!$A$44:$A$46,0)),0)+IF($C54="Assured",L54*$D54*$C$13*$C$26*$C$27*$C$28,0)</f>
        <v>54864</v>
      </c>
      <c r="M76" s="23" t="n">
        <f aca="false">M54*$D54*$C$13*INDEX(Assumptions!$B$44:$B$46,MATCH($C54,Assumptions!$A$44:$A$46,0))+IF(M$45&gt;=$G54,INDEX(Assumptions!$C$44:$C$46,MATCH($C54,Assumptions!$A$44:$A$46,0)),0)+IF($C54="Assured",M54*$D54*$C$13*$C$26*$C$27*$C$28,0)</f>
        <v>77724</v>
      </c>
      <c r="N76" s="23" t="n">
        <f aca="false">N54*$D54*$C$13*INDEX(Assumptions!$B$44:$B$46,MATCH($C54,Assumptions!$A$44:$A$46,0))+IF(N$45&gt;=$G54,INDEX(Assumptions!$C$44:$C$46,MATCH($C54,Assumptions!$A$44:$A$46,0)),0)+IF($C54="Assured",N54*$D54*$C$13*$C$26*$C$27*$C$28,0)</f>
        <v>91440</v>
      </c>
      <c r="O76" s="23" t="n">
        <f aca="false">O54*$D54*$C$13*INDEX(Assumptions!$B$44:$B$46,MATCH($C54,Assumptions!$A$44:$A$46,0))+IF(O$45&gt;=$G54,INDEX(Assumptions!$C$44:$C$46,MATCH($C54,Assumptions!$A$44:$A$46,0)),0)+IF($C54="Assured",O54*$D54*$C$13*$C$26*$C$27*$C$28,0)</f>
        <v>91440</v>
      </c>
      <c r="P76" s="23" t="n">
        <f aca="false">P54*$D54*$C$13*INDEX(Assumptions!$B$44:$B$46,MATCH($C54,Assumptions!$A$44:$A$46,0))+IF(P$45&gt;=$G54,INDEX(Assumptions!$C$44:$C$46,MATCH($C54,Assumptions!$A$44:$A$46,0)),0)+IF($C54="Assured",P54*$D54*$C$13*$C$26*$C$27*$C$28,0)</f>
        <v>91440</v>
      </c>
      <c r="Q76" s="23" t="n">
        <f aca="false">Q54*$D54*$C$13*INDEX(Assumptions!$B$44:$B$46,MATCH($C54,Assumptions!$A$44:$A$46,0))+IF(Q$45&gt;=$G54,INDEX(Assumptions!$C$44:$C$46,MATCH($C54,Assumptions!$A$44:$A$46,0)),0)+IF($C54="Assured",Q54*$D54*$C$13*$C$26*$C$27*$C$28,0)</f>
        <v>91440</v>
      </c>
      <c r="R76" s="23" t="n">
        <f aca="false">R54*$D54*$C$13*INDEX(Assumptions!$B$44:$B$46,MATCH($C54,Assumptions!$A$44:$A$46,0))+IF(R$45&gt;=$G54,INDEX(Assumptions!$C$44:$C$46,MATCH($C54,Assumptions!$A$44:$A$46,0)),0)+IF($C54="Assured",R54*$D54*$C$13*$C$26*$C$27*$C$28,0)</f>
        <v>91440</v>
      </c>
      <c r="S76" s="23" t="n">
        <f aca="false">S54*$D54*$C$13*INDEX(Assumptions!$B$44:$B$46,MATCH($C54,Assumptions!$A$44:$A$46,0))+IF(S$45&gt;=$G54,INDEX(Assumptions!$C$44:$C$46,MATCH($C54,Assumptions!$A$44:$A$46,0)),0)+IF($C54="Assured",S54*$D54*$C$13*$C$26*$C$27*$C$28,0)</f>
        <v>91440</v>
      </c>
      <c r="T76" s="23" t="n">
        <f aca="false">T54*$D54*$C$13*INDEX(Assumptions!$B$44:$B$46,MATCH($C54,Assumptions!$A$44:$A$46,0))+IF(T$45&gt;=$G54,INDEX(Assumptions!$C$44:$C$46,MATCH($C54,Assumptions!$A$44:$A$46,0)),0)+IF($C54="Assured",T54*$D54*$C$13*$C$26*$C$27*$C$28,0)</f>
        <v>91440</v>
      </c>
      <c r="U76" s="23" t="n">
        <f aca="false">U54*$D54*$C$13*INDEX(Assumptions!$B$44:$B$46,MATCH($C54,Assumptions!$A$44:$A$46,0))+IF(U$45&gt;=$G54,INDEX(Assumptions!$C$44:$C$46,MATCH($C54,Assumptions!$A$44:$A$46,0)),0)+IF($C54="Assured",U54*$D54*$C$13*$C$26*$C$27*$C$28,0)</f>
        <v>91440</v>
      </c>
      <c r="V76" s="23" t="n">
        <f aca="false">V54*$D54*$C$13*INDEX(Assumptions!$B$44:$B$46,MATCH($C54,Assumptions!$A$44:$A$46,0))+IF(V$45&gt;=$G54,INDEX(Assumptions!$C$44:$C$46,MATCH($C54,Assumptions!$A$44:$A$46,0)),0)+IF($C54="Assured",V54*$D54*$C$13*$C$26*$C$27*$C$28,0)</f>
        <v>91440</v>
      </c>
      <c r="W76" s="23" t="n">
        <f aca="false">W54*$D54*$C$13*INDEX(Assumptions!$B$44:$B$46,MATCH($C54,Assumptions!$A$44:$A$46,0))+IF(W$45&gt;=$G54,INDEX(Assumptions!$C$44:$C$46,MATCH($C54,Assumptions!$A$44:$A$46,0)),0)+IF($C54="Assured",W54*$D54*$C$13*$C$26*$C$27*$C$28,0)</f>
        <v>91440</v>
      </c>
      <c r="X76" s="23" t="n">
        <f aca="false">X54*$D54*$C$13*INDEX(Assumptions!$B$44:$B$46,MATCH($C54,Assumptions!$A$44:$A$46,0))+IF(X$45&gt;=$G54,INDEX(Assumptions!$C$44:$C$46,MATCH($C54,Assumptions!$A$44:$A$46,0)),0)+IF($C54="Assured",X54*$D54*$C$13*$C$26*$C$27*$C$28,0)</f>
        <v>91440</v>
      </c>
      <c r="Y76" s="23" t="n">
        <f aca="false">Y54*$D54*$C$13*INDEX(Assumptions!$B$44:$B$46,MATCH($C54,Assumptions!$A$44:$A$46,0))+IF(Y$45&gt;=$G54,INDEX(Assumptions!$C$44:$C$46,MATCH($C54,Assumptions!$A$44:$A$46,0)),0)+IF($C54="Assured",Y54*$D54*$C$13*$C$26*$C$27*$C$28,0)</f>
        <v>91440</v>
      </c>
    </row>
    <row r="77" customFormat="false" ht="15" hidden="false" customHeight="false" outlineLevel="0" collapsed="false">
      <c r="A77" s="2" t="n">
        <f aca="false">A55</f>
        <v>8</v>
      </c>
      <c r="B77" s="2" t="str">
        <f aca="false">B55</f>
        <v>A</v>
      </c>
      <c r="C77" s="2" t="str">
        <f aca="false">C55</f>
        <v>Assured</v>
      </c>
      <c r="D77" s="2"/>
      <c r="E77" s="2"/>
      <c r="F77" s="2"/>
      <c r="G77" s="2"/>
      <c r="H77" s="23" t="n">
        <f aca="false">H55*$D55*$C$13*INDEX(Assumptions!$B$44:$B$46,MATCH($C55,Assumptions!$A$44:$A$46,0))+IF(H$45&gt;=$G55,INDEX(Assumptions!$C$44:$C$46,MATCH($C55,Assumptions!$A$44:$A$46,0)),0)+IF($C55="Assured",H55*$D55*$C$13*$C$26*$C$27*$C$28,0)</f>
        <v>0</v>
      </c>
      <c r="I77" s="23" t="n">
        <f aca="false">I55*$D55*$C$13*INDEX(Assumptions!$B$44:$B$46,MATCH($C55,Assumptions!$A$44:$A$46,0))+IF(I$45&gt;=$G55,INDEX(Assumptions!$C$44:$C$46,MATCH($C55,Assumptions!$A$44:$A$46,0)),0)+IF($C55="Assured",I55*$D55*$C$13*$C$26*$C$27*$C$28,0)</f>
        <v>0</v>
      </c>
      <c r="J77" s="23" t="n">
        <f aca="false">J55*$D55*$C$13*INDEX(Assumptions!$B$44:$B$46,MATCH($C55,Assumptions!$A$44:$A$46,0))+IF(J$45&gt;=$G55,INDEX(Assumptions!$C$44:$C$46,MATCH($C55,Assumptions!$A$44:$A$46,0)),0)+IF($C55="Assured",J55*$D55*$C$13*$C$26*$C$27*$C$28,0)</f>
        <v>0</v>
      </c>
      <c r="K77" s="23" t="n">
        <f aca="false">K55*$D55*$C$13*INDEX(Assumptions!$B$44:$B$46,MATCH($C55,Assumptions!$A$44:$A$46,0))+IF(K$45&gt;=$G55,INDEX(Assumptions!$C$44:$C$46,MATCH($C55,Assumptions!$A$44:$A$46,0)),0)+IF($C55="Assured",K55*$D55*$C$13*$C$26*$C$27*$C$28,0)</f>
        <v>27432</v>
      </c>
      <c r="L77" s="23" t="n">
        <f aca="false">L55*$D55*$C$13*INDEX(Assumptions!$B$44:$B$46,MATCH($C55,Assumptions!$A$44:$A$46,0))+IF(L$45&gt;=$G55,INDEX(Assumptions!$C$44:$C$46,MATCH($C55,Assumptions!$A$44:$A$46,0)),0)+IF($C55="Assured",L55*$D55*$C$13*$C$26*$C$27*$C$28,0)</f>
        <v>54864</v>
      </c>
      <c r="M77" s="23" t="n">
        <f aca="false">M55*$D55*$C$13*INDEX(Assumptions!$B$44:$B$46,MATCH($C55,Assumptions!$A$44:$A$46,0))+IF(M$45&gt;=$G55,INDEX(Assumptions!$C$44:$C$46,MATCH($C55,Assumptions!$A$44:$A$46,0)),0)+IF($C55="Assured",M55*$D55*$C$13*$C$26*$C$27*$C$28,0)</f>
        <v>77724</v>
      </c>
      <c r="N77" s="23" t="n">
        <f aca="false">N55*$D55*$C$13*INDEX(Assumptions!$B$44:$B$46,MATCH($C55,Assumptions!$A$44:$A$46,0))+IF(N$45&gt;=$G55,INDEX(Assumptions!$C$44:$C$46,MATCH($C55,Assumptions!$A$44:$A$46,0)),0)+IF($C55="Assured",N55*$D55*$C$13*$C$26*$C$27*$C$28,0)</f>
        <v>91440</v>
      </c>
      <c r="O77" s="23" t="n">
        <f aca="false">O55*$D55*$C$13*INDEX(Assumptions!$B$44:$B$46,MATCH($C55,Assumptions!$A$44:$A$46,0))+IF(O$45&gt;=$G55,INDEX(Assumptions!$C$44:$C$46,MATCH($C55,Assumptions!$A$44:$A$46,0)),0)+IF($C55="Assured",O55*$D55*$C$13*$C$26*$C$27*$C$28,0)</f>
        <v>91440</v>
      </c>
      <c r="P77" s="23" t="n">
        <f aca="false">P55*$D55*$C$13*INDEX(Assumptions!$B$44:$B$46,MATCH($C55,Assumptions!$A$44:$A$46,0))+IF(P$45&gt;=$G55,INDEX(Assumptions!$C$44:$C$46,MATCH($C55,Assumptions!$A$44:$A$46,0)),0)+IF($C55="Assured",P55*$D55*$C$13*$C$26*$C$27*$C$28,0)</f>
        <v>91440</v>
      </c>
      <c r="Q77" s="23" t="n">
        <f aca="false">Q55*$D55*$C$13*INDEX(Assumptions!$B$44:$B$46,MATCH($C55,Assumptions!$A$44:$A$46,0))+IF(Q$45&gt;=$G55,INDEX(Assumptions!$C$44:$C$46,MATCH($C55,Assumptions!$A$44:$A$46,0)),0)+IF($C55="Assured",Q55*$D55*$C$13*$C$26*$C$27*$C$28,0)</f>
        <v>91440</v>
      </c>
      <c r="R77" s="23" t="n">
        <f aca="false">R55*$D55*$C$13*INDEX(Assumptions!$B$44:$B$46,MATCH($C55,Assumptions!$A$44:$A$46,0))+IF(R$45&gt;=$G55,INDEX(Assumptions!$C$44:$C$46,MATCH($C55,Assumptions!$A$44:$A$46,0)),0)+IF($C55="Assured",R55*$D55*$C$13*$C$26*$C$27*$C$28,0)</f>
        <v>91440</v>
      </c>
      <c r="S77" s="23" t="n">
        <f aca="false">S55*$D55*$C$13*INDEX(Assumptions!$B$44:$B$46,MATCH($C55,Assumptions!$A$44:$A$46,0))+IF(S$45&gt;=$G55,INDEX(Assumptions!$C$44:$C$46,MATCH($C55,Assumptions!$A$44:$A$46,0)),0)+IF($C55="Assured",S55*$D55*$C$13*$C$26*$C$27*$C$28,0)</f>
        <v>91440</v>
      </c>
      <c r="T77" s="23" t="n">
        <f aca="false">T55*$D55*$C$13*INDEX(Assumptions!$B$44:$B$46,MATCH($C55,Assumptions!$A$44:$A$46,0))+IF(T$45&gt;=$G55,INDEX(Assumptions!$C$44:$C$46,MATCH($C55,Assumptions!$A$44:$A$46,0)),0)+IF($C55="Assured",T55*$D55*$C$13*$C$26*$C$27*$C$28,0)</f>
        <v>91440</v>
      </c>
      <c r="U77" s="23" t="n">
        <f aca="false">U55*$D55*$C$13*INDEX(Assumptions!$B$44:$B$46,MATCH($C55,Assumptions!$A$44:$A$46,0))+IF(U$45&gt;=$G55,INDEX(Assumptions!$C$44:$C$46,MATCH($C55,Assumptions!$A$44:$A$46,0)),0)+IF($C55="Assured",U55*$D55*$C$13*$C$26*$C$27*$C$28,0)</f>
        <v>91440</v>
      </c>
      <c r="V77" s="23" t="n">
        <f aca="false">V55*$D55*$C$13*INDEX(Assumptions!$B$44:$B$46,MATCH($C55,Assumptions!$A$44:$A$46,0))+IF(V$45&gt;=$G55,INDEX(Assumptions!$C$44:$C$46,MATCH($C55,Assumptions!$A$44:$A$46,0)),0)+IF($C55="Assured",V55*$D55*$C$13*$C$26*$C$27*$C$28,0)</f>
        <v>91440</v>
      </c>
      <c r="W77" s="23" t="n">
        <f aca="false">W55*$D55*$C$13*INDEX(Assumptions!$B$44:$B$46,MATCH($C55,Assumptions!$A$44:$A$46,0))+IF(W$45&gt;=$G55,INDEX(Assumptions!$C$44:$C$46,MATCH($C55,Assumptions!$A$44:$A$46,0)),0)+IF($C55="Assured",W55*$D55*$C$13*$C$26*$C$27*$C$28,0)</f>
        <v>91440</v>
      </c>
      <c r="X77" s="23" t="n">
        <f aca="false">X55*$D55*$C$13*INDEX(Assumptions!$B$44:$B$46,MATCH($C55,Assumptions!$A$44:$A$46,0))+IF(X$45&gt;=$G55,INDEX(Assumptions!$C$44:$C$46,MATCH($C55,Assumptions!$A$44:$A$46,0)),0)+IF($C55="Assured",X55*$D55*$C$13*$C$26*$C$27*$C$28,0)</f>
        <v>91440</v>
      </c>
      <c r="Y77" s="23" t="n">
        <f aca="false">Y55*$D55*$C$13*INDEX(Assumptions!$B$44:$B$46,MATCH($C55,Assumptions!$A$44:$A$46,0))+IF(Y$45&gt;=$G55,INDEX(Assumptions!$C$44:$C$46,MATCH($C55,Assumptions!$A$44:$A$46,0)),0)+IF($C55="Assured",Y55*$D55*$C$13*$C$26*$C$27*$C$28,0)</f>
        <v>91440</v>
      </c>
    </row>
    <row r="78" customFormat="false" ht="15" hidden="false" customHeight="false" outlineLevel="0" collapsed="false">
      <c r="A78" s="2" t="n">
        <f aca="false">A56</f>
        <v>9</v>
      </c>
      <c r="B78" s="2" t="str">
        <f aca="false">B56</f>
        <v>A</v>
      </c>
      <c r="C78" s="2" t="str">
        <f aca="false">C56</f>
        <v>Assured</v>
      </c>
      <c r="D78" s="2"/>
      <c r="E78" s="2"/>
      <c r="F78" s="2"/>
      <c r="G78" s="2"/>
      <c r="H78" s="23" t="n">
        <f aca="false">H56*$D56*$C$13*INDEX(Assumptions!$B$44:$B$46,MATCH($C56,Assumptions!$A$44:$A$46,0))+IF(H$45&gt;=$G56,INDEX(Assumptions!$C$44:$C$46,MATCH($C56,Assumptions!$A$44:$A$46,0)),0)+IF($C56="Assured",H56*$D56*$C$13*$C$26*$C$27*$C$28,0)</f>
        <v>0</v>
      </c>
      <c r="I78" s="23" t="n">
        <f aca="false">I56*$D56*$C$13*INDEX(Assumptions!$B$44:$B$46,MATCH($C56,Assumptions!$A$44:$A$46,0))+IF(I$45&gt;=$G56,INDEX(Assumptions!$C$44:$C$46,MATCH($C56,Assumptions!$A$44:$A$46,0)),0)+IF($C56="Assured",I56*$D56*$C$13*$C$26*$C$27*$C$28,0)</f>
        <v>0</v>
      </c>
      <c r="J78" s="23" t="n">
        <f aca="false">J56*$D56*$C$13*INDEX(Assumptions!$B$44:$B$46,MATCH($C56,Assumptions!$A$44:$A$46,0))+IF(J$45&gt;=$G56,INDEX(Assumptions!$C$44:$C$46,MATCH($C56,Assumptions!$A$44:$A$46,0)),0)+IF($C56="Assured",J56*$D56*$C$13*$C$26*$C$27*$C$28,0)</f>
        <v>0</v>
      </c>
      <c r="K78" s="23" t="n">
        <f aca="false">K56*$D56*$C$13*INDEX(Assumptions!$B$44:$B$46,MATCH($C56,Assumptions!$A$44:$A$46,0))+IF(K$45&gt;=$G56,INDEX(Assumptions!$C$44:$C$46,MATCH($C56,Assumptions!$A$44:$A$46,0)),0)+IF($C56="Assured",K56*$D56*$C$13*$C$26*$C$27*$C$28,0)</f>
        <v>0</v>
      </c>
      <c r="L78" s="23" t="n">
        <f aca="false">L56*$D56*$C$13*INDEX(Assumptions!$B$44:$B$46,MATCH($C56,Assumptions!$A$44:$A$46,0))+IF(L$45&gt;=$G56,INDEX(Assumptions!$C$44:$C$46,MATCH($C56,Assumptions!$A$44:$A$46,0)),0)+IF($C56="Assured",L56*$D56*$C$13*$C$26*$C$27*$C$28,0)</f>
        <v>27432</v>
      </c>
      <c r="M78" s="23" t="n">
        <f aca="false">M56*$D56*$C$13*INDEX(Assumptions!$B$44:$B$46,MATCH($C56,Assumptions!$A$44:$A$46,0))+IF(M$45&gt;=$G56,INDEX(Assumptions!$C$44:$C$46,MATCH($C56,Assumptions!$A$44:$A$46,0)),0)+IF($C56="Assured",M56*$D56*$C$13*$C$26*$C$27*$C$28,0)</f>
        <v>54864</v>
      </c>
      <c r="N78" s="23" t="n">
        <f aca="false">N56*$D56*$C$13*INDEX(Assumptions!$B$44:$B$46,MATCH($C56,Assumptions!$A$44:$A$46,0))+IF(N$45&gt;=$G56,INDEX(Assumptions!$C$44:$C$46,MATCH($C56,Assumptions!$A$44:$A$46,0)),0)+IF($C56="Assured",N56*$D56*$C$13*$C$26*$C$27*$C$28,0)</f>
        <v>77724</v>
      </c>
      <c r="O78" s="23" t="n">
        <f aca="false">O56*$D56*$C$13*INDEX(Assumptions!$B$44:$B$46,MATCH($C56,Assumptions!$A$44:$A$46,0))+IF(O$45&gt;=$G56,INDEX(Assumptions!$C$44:$C$46,MATCH($C56,Assumptions!$A$44:$A$46,0)),0)+IF($C56="Assured",O56*$D56*$C$13*$C$26*$C$27*$C$28,0)</f>
        <v>91440</v>
      </c>
      <c r="P78" s="23" t="n">
        <f aca="false">P56*$D56*$C$13*INDEX(Assumptions!$B$44:$B$46,MATCH($C56,Assumptions!$A$44:$A$46,0))+IF(P$45&gt;=$G56,INDEX(Assumptions!$C$44:$C$46,MATCH($C56,Assumptions!$A$44:$A$46,0)),0)+IF($C56="Assured",P56*$D56*$C$13*$C$26*$C$27*$C$28,0)</f>
        <v>91440</v>
      </c>
      <c r="Q78" s="23" t="n">
        <f aca="false">Q56*$D56*$C$13*INDEX(Assumptions!$B$44:$B$46,MATCH($C56,Assumptions!$A$44:$A$46,0))+IF(Q$45&gt;=$G56,INDEX(Assumptions!$C$44:$C$46,MATCH($C56,Assumptions!$A$44:$A$46,0)),0)+IF($C56="Assured",Q56*$D56*$C$13*$C$26*$C$27*$C$28,0)</f>
        <v>91440</v>
      </c>
      <c r="R78" s="23" t="n">
        <f aca="false">R56*$D56*$C$13*INDEX(Assumptions!$B$44:$B$46,MATCH($C56,Assumptions!$A$44:$A$46,0))+IF(R$45&gt;=$G56,INDEX(Assumptions!$C$44:$C$46,MATCH($C56,Assumptions!$A$44:$A$46,0)),0)+IF($C56="Assured",R56*$D56*$C$13*$C$26*$C$27*$C$28,0)</f>
        <v>91440</v>
      </c>
      <c r="S78" s="23" t="n">
        <f aca="false">S56*$D56*$C$13*INDEX(Assumptions!$B$44:$B$46,MATCH($C56,Assumptions!$A$44:$A$46,0))+IF(S$45&gt;=$G56,INDEX(Assumptions!$C$44:$C$46,MATCH($C56,Assumptions!$A$44:$A$46,0)),0)+IF($C56="Assured",S56*$D56*$C$13*$C$26*$C$27*$C$28,0)</f>
        <v>91440</v>
      </c>
      <c r="T78" s="23" t="n">
        <f aca="false">T56*$D56*$C$13*INDEX(Assumptions!$B$44:$B$46,MATCH($C56,Assumptions!$A$44:$A$46,0))+IF(T$45&gt;=$G56,INDEX(Assumptions!$C$44:$C$46,MATCH($C56,Assumptions!$A$44:$A$46,0)),0)+IF($C56="Assured",T56*$D56*$C$13*$C$26*$C$27*$C$28,0)</f>
        <v>91440</v>
      </c>
      <c r="U78" s="23" t="n">
        <f aca="false">U56*$D56*$C$13*INDEX(Assumptions!$B$44:$B$46,MATCH($C56,Assumptions!$A$44:$A$46,0))+IF(U$45&gt;=$G56,INDEX(Assumptions!$C$44:$C$46,MATCH($C56,Assumptions!$A$44:$A$46,0)),0)+IF($C56="Assured",U56*$D56*$C$13*$C$26*$C$27*$C$28,0)</f>
        <v>91440</v>
      </c>
      <c r="V78" s="23" t="n">
        <f aca="false">V56*$D56*$C$13*INDEX(Assumptions!$B$44:$B$46,MATCH($C56,Assumptions!$A$44:$A$46,0))+IF(V$45&gt;=$G56,INDEX(Assumptions!$C$44:$C$46,MATCH($C56,Assumptions!$A$44:$A$46,0)),0)+IF($C56="Assured",V56*$D56*$C$13*$C$26*$C$27*$C$28,0)</f>
        <v>91440</v>
      </c>
      <c r="W78" s="23" t="n">
        <f aca="false">W56*$D56*$C$13*INDEX(Assumptions!$B$44:$B$46,MATCH($C56,Assumptions!$A$44:$A$46,0))+IF(W$45&gt;=$G56,INDEX(Assumptions!$C$44:$C$46,MATCH($C56,Assumptions!$A$44:$A$46,0)),0)+IF($C56="Assured",W56*$D56*$C$13*$C$26*$C$27*$C$28,0)</f>
        <v>91440</v>
      </c>
      <c r="X78" s="23" t="n">
        <f aca="false">X56*$D56*$C$13*INDEX(Assumptions!$B$44:$B$46,MATCH($C56,Assumptions!$A$44:$A$46,0))+IF(X$45&gt;=$G56,INDEX(Assumptions!$C$44:$C$46,MATCH($C56,Assumptions!$A$44:$A$46,0)),0)+IF($C56="Assured",X56*$D56*$C$13*$C$26*$C$27*$C$28,0)</f>
        <v>91440</v>
      </c>
      <c r="Y78" s="23" t="n">
        <f aca="false">Y56*$D56*$C$13*INDEX(Assumptions!$B$44:$B$46,MATCH($C56,Assumptions!$A$44:$A$46,0))+IF(Y$45&gt;=$G56,INDEX(Assumptions!$C$44:$C$46,MATCH($C56,Assumptions!$A$44:$A$46,0)),0)+IF($C56="Assured",Y56*$D56*$C$13*$C$26*$C$27*$C$28,0)</f>
        <v>91440</v>
      </c>
    </row>
    <row r="79" customFormat="false" ht="15" hidden="false" customHeight="false" outlineLevel="0" collapsed="false">
      <c r="A79" s="2" t="n">
        <f aca="false">A57</f>
        <v>10</v>
      </c>
      <c r="B79" s="2" t="str">
        <f aca="false">B57</f>
        <v>C</v>
      </c>
      <c r="C79" s="2" t="str">
        <f aca="false">C57</f>
        <v>Assured</v>
      </c>
      <c r="D79" s="2"/>
      <c r="E79" s="2"/>
      <c r="F79" s="2"/>
      <c r="G79" s="2"/>
      <c r="H79" s="23" t="n">
        <f aca="false">H57*$D57*$C$13*INDEX(Assumptions!$B$44:$B$46,MATCH($C57,Assumptions!$A$44:$A$46,0))+IF(H$45&gt;=$G57,INDEX(Assumptions!$C$44:$C$46,MATCH($C57,Assumptions!$A$44:$A$46,0)),0)+IF($C57="Assured",H57*$D57*$C$13*$C$26*$C$27*$C$28,0)</f>
        <v>0</v>
      </c>
      <c r="I79" s="23" t="n">
        <f aca="false">I57*$D57*$C$13*INDEX(Assumptions!$B$44:$B$46,MATCH($C57,Assumptions!$A$44:$A$46,0))+IF(I$45&gt;=$G57,INDEX(Assumptions!$C$44:$C$46,MATCH($C57,Assumptions!$A$44:$A$46,0)),0)+IF($C57="Assured",I57*$D57*$C$13*$C$26*$C$27*$C$28,0)</f>
        <v>0</v>
      </c>
      <c r="J79" s="23" t="n">
        <f aca="false">J57*$D57*$C$13*INDEX(Assumptions!$B$44:$B$46,MATCH($C57,Assumptions!$A$44:$A$46,0))+IF(J$45&gt;=$G57,INDEX(Assumptions!$C$44:$C$46,MATCH($C57,Assumptions!$A$44:$A$46,0)),0)+IF($C57="Assured",J57*$D57*$C$13*$C$26*$C$27*$C$28,0)</f>
        <v>0</v>
      </c>
      <c r="K79" s="23" t="n">
        <f aca="false">K57*$D57*$C$13*INDEX(Assumptions!$B$44:$B$46,MATCH($C57,Assumptions!$A$44:$A$46,0))+IF(K$45&gt;=$G57,INDEX(Assumptions!$C$44:$C$46,MATCH($C57,Assumptions!$A$44:$A$46,0)),0)+IF($C57="Assured",K57*$D57*$C$13*$C$26*$C$27*$C$28,0)</f>
        <v>0</v>
      </c>
      <c r="L79" s="23" t="n">
        <f aca="false">L57*$D57*$C$13*INDEX(Assumptions!$B$44:$B$46,MATCH($C57,Assumptions!$A$44:$A$46,0))+IF(L$45&gt;=$G57,INDEX(Assumptions!$C$44:$C$46,MATCH($C57,Assumptions!$A$44:$A$46,0)),0)+IF($C57="Assured",L57*$D57*$C$13*$C$26*$C$27*$C$28,0)</f>
        <v>0</v>
      </c>
      <c r="M79" s="23" t="n">
        <f aca="false">M57*$D57*$C$13*INDEX(Assumptions!$B$44:$B$46,MATCH($C57,Assumptions!$A$44:$A$46,0))+IF(M$45&gt;=$G57,INDEX(Assumptions!$C$44:$C$46,MATCH($C57,Assumptions!$A$44:$A$46,0)),0)+IF($C57="Assured",M57*$D57*$C$13*$C$26*$C$27*$C$28,0)</f>
        <v>19812</v>
      </c>
      <c r="N79" s="23" t="n">
        <f aca="false">N57*$D57*$C$13*INDEX(Assumptions!$B$44:$B$46,MATCH($C57,Assumptions!$A$44:$A$46,0))+IF(N$45&gt;=$G57,INDEX(Assumptions!$C$44:$C$46,MATCH($C57,Assumptions!$A$44:$A$46,0)),0)+IF($C57="Assured",N57*$D57*$C$13*$C$26*$C$27*$C$28,0)</f>
        <v>39624</v>
      </c>
      <c r="O79" s="23" t="n">
        <f aca="false">O57*$D57*$C$13*INDEX(Assumptions!$B$44:$B$46,MATCH($C57,Assumptions!$A$44:$A$46,0))+IF(O$45&gt;=$G57,INDEX(Assumptions!$C$44:$C$46,MATCH($C57,Assumptions!$A$44:$A$46,0)),0)+IF($C57="Assured",O57*$D57*$C$13*$C$26*$C$27*$C$28,0)</f>
        <v>56134</v>
      </c>
      <c r="P79" s="23" t="n">
        <f aca="false">P57*$D57*$C$13*INDEX(Assumptions!$B$44:$B$46,MATCH($C57,Assumptions!$A$44:$A$46,0))+IF(P$45&gt;=$G57,INDEX(Assumptions!$C$44:$C$46,MATCH($C57,Assumptions!$A$44:$A$46,0)),0)+IF($C57="Assured",P57*$D57*$C$13*$C$26*$C$27*$C$28,0)</f>
        <v>66040</v>
      </c>
      <c r="Q79" s="23" t="n">
        <f aca="false">Q57*$D57*$C$13*INDEX(Assumptions!$B$44:$B$46,MATCH($C57,Assumptions!$A$44:$A$46,0))+IF(Q$45&gt;=$G57,INDEX(Assumptions!$C$44:$C$46,MATCH($C57,Assumptions!$A$44:$A$46,0)),0)+IF($C57="Assured",Q57*$D57*$C$13*$C$26*$C$27*$C$28,0)</f>
        <v>66040</v>
      </c>
      <c r="R79" s="23" t="n">
        <f aca="false">R57*$D57*$C$13*INDEX(Assumptions!$B$44:$B$46,MATCH($C57,Assumptions!$A$44:$A$46,0))+IF(R$45&gt;=$G57,INDEX(Assumptions!$C$44:$C$46,MATCH($C57,Assumptions!$A$44:$A$46,0)),0)+IF($C57="Assured",R57*$D57*$C$13*$C$26*$C$27*$C$28,0)</f>
        <v>66040</v>
      </c>
      <c r="S79" s="23" t="n">
        <f aca="false">S57*$D57*$C$13*INDEX(Assumptions!$B$44:$B$46,MATCH($C57,Assumptions!$A$44:$A$46,0))+IF(S$45&gt;=$G57,INDEX(Assumptions!$C$44:$C$46,MATCH($C57,Assumptions!$A$44:$A$46,0)),0)+IF($C57="Assured",S57*$D57*$C$13*$C$26*$C$27*$C$28,0)</f>
        <v>66040</v>
      </c>
      <c r="T79" s="23" t="n">
        <f aca="false">T57*$D57*$C$13*INDEX(Assumptions!$B$44:$B$46,MATCH($C57,Assumptions!$A$44:$A$46,0))+IF(T$45&gt;=$G57,INDEX(Assumptions!$C$44:$C$46,MATCH($C57,Assumptions!$A$44:$A$46,0)),0)+IF($C57="Assured",T57*$D57*$C$13*$C$26*$C$27*$C$28,0)</f>
        <v>66040</v>
      </c>
      <c r="U79" s="23" t="n">
        <f aca="false">U57*$D57*$C$13*INDEX(Assumptions!$B$44:$B$46,MATCH($C57,Assumptions!$A$44:$A$46,0))+IF(U$45&gt;=$G57,INDEX(Assumptions!$C$44:$C$46,MATCH($C57,Assumptions!$A$44:$A$46,0)),0)+IF($C57="Assured",U57*$D57*$C$13*$C$26*$C$27*$C$28,0)</f>
        <v>66040</v>
      </c>
      <c r="V79" s="23" t="n">
        <f aca="false">V57*$D57*$C$13*INDEX(Assumptions!$B$44:$B$46,MATCH($C57,Assumptions!$A$44:$A$46,0))+IF(V$45&gt;=$G57,INDEX(Assumptions!$C$44:$C$46,MATCH($C57,Assumptions!$A$44:$A$46,0)),0)+IF($C57="Assured",V57*$D57*$C$13*$C$26*$C$27*$C$28,0)</f>
        <v>66040</v>
      </c>
      <c r="W79" s="23" t="n">
        <f aca="false">W57*$D57*$C$13*INDEX(Assumptions!$B$44:$B$46,MATCH($C57,Assumptions!$A$44:$A$46,0))+IF(W$45&gt;=$G57,INDEX(Assumptions!$C$44:$C$46,MATCH($C57,Assumptions!$A$44:$A$46,0)),0)+IF($C57="Assured",W57*$D57*$C$13*$C$26*$C$27*$C$28,0)</f>
        <v>66040</v>
      </c>
      <c r="X79" s="23" t="n">
        <f aca="false">X57*$D57*$C$13*INDEX(Assumptions!$B$44:$B$46,MATCH($C57,Assumptions!$A$44:$A$46,0))+IF(X$45&gt;=$G57,INDEX(Assumptions!$C$44:$C$46,MATCH($C57,Assumptions!$A$44:$A$46,0)),0)+IF($C57="Assured",X57*$D57*$C$13*$C$26*$C$27*$C$28,0)</f>
        <v>66040</v>
      </c>
      <c r="Y79" s="23" t="n">
        <f aca="false">Y57*$D57*$C$13*INDEX(Assumptions!$B$44:$B$46,MATCH($C57,Assumptions!$A$44:$A$46,0))+IF(Y$45&gt;=$G57,INDEX(Assumptions!$C$44:$C$46,MATCH($C57,Assumptions!$A$44:$A$46,0)),0)+IF($C57="Assured",Y57*$D57*$C$13*$C$26*$C$27*$C$28,0)</f>
        <v>66040</v>
      </c>
    </row>
    <row r="80" customFormat="false" ht="15" hidden="false" customHeight="false" outlineLevel="0" collapsed="false">
      <c r="A80" s="2" t="n">
        <f aca="false">A58</f>
        <v>11</v>
      </c>
      <c r="B80" s="2" t="str">
        <f aca="false">B58</f>
        <v>C</v>
      </c>
      <c r="C80" s="2" t="str">
        <f aca="false">C58</f>
        <v>Assured</v>
      </c>
      <c r="D80" s="2"/>
      <c r="E80" s="2"/>
      <c r="F80" s="2"/>
      <c r="G80" s="2"/>
      <c r="H80" s="23" t="n">
        <f aca="false">H58*$D58*$C$13*INDEX(Assumptions!$B$44:$B$46,MATCH($C58,Assumptions!$A$44:$A$46,0))+IF(H$45&gt;=$G58,INDEX(Assumptions!$C$44:$C$46,MATCH($C58,Assumptions!$A$44:$A$46,0)),0)+IF($C58="Assured",H58*$D58*$C$13*$C$26*$C$27*$C$28,0)</f>
        <v>0</v>
      </c>
      <c r="I80" s="23" t="n">
        <f aca="false">I58*$D58*$C$13*INDEX(Assumptions!$B$44:$B$46,MATCH($C58,Assumptions!$A$44:$A$46,0))+IF(I$45&gt;=$G58,INDEX(Assumptions!$C$44:$C$46,MATCH($C58,Assumptions!$A$44:$A$46,0)),0)+IF($C58="Assured",I58*$D58*$C$13*$C$26*$C$27*$C$28,0)</f>
        <v>0</v>
      </c>
      <c r="J80" s="23" t="n">
        <f aca="false">J58*$D58*$C$13*INDEX(Assumptions!$B$44:$B$46,MATCH($C58,Assumptions!$A$44:$A$46,0))+IF(J$45&gt;=$G58,INDEX(Assumptions!$C$44:$C$46,MATCH($C58,Assumptions!$A$44:$A$46,0)),0)+IF($C58="Assured",J58*$D58*$C$13*$C$26*$C$27*$C$28,0)</f>
        <v>0</v>
      </c>
      <c r="K80" s="23" t="n">
        <f aca="false">K58*$D58*$C$13*INDEX(Assumptions!$B$44:$B$46,MATCH($C58,Assumptions!$A$44:$A$46,0))+IF(K$45&gt;=$G58,INDEX(Assumptions!$C$44:$C$46,MATCH($C58,Assumptions!$A$44:$A$46,0)),0)+IF($C58="Assured",K58*$D58*$C$13*$C$26*$C$27*$C$28,0)</f>
        <v>0</v>
      </c>
      <c r="L80" s="23" t="n">
        <f aca="false">L58*$D58*$C$13*INDEX(Assumptions!$B$44:$B$46,MATCH($C58,Assumptions!$A$44:$A$46,0))+IF(L$45&gt;=$G58,INDEX(Assumptions!$C$44:$C$46,MATCH($C58,Assumptions!$A$44:$A$46,0)),0)+IF($C58="Assured",L58*$D58*$C$13*$C$26*$C$27*$C$28,0)</f>
        <v>0</v>
      </c>
      <c r="M80" s="23" t="n">
        <f aca="false">M58*$D58*$C$13*INDEX(Assumptions!$B$44:$B$46,MATCH($C58,Assumptions!$A$44:$A$46,0))+IF(M$45&gt;=$G58,INDEX(Assumptions!$C$44:$C$46,MATCH($C58,Assumptions!$A$44:$A$46,0)),0)+IF($C58="Assured",M58*$D58*$C$13*$C$26*$C$27*$C$28,0)</f>
        <v>0</v>
      </c>
      <c r="N80" s="23" t="n">
        <f aca="false">N58*$D58*$C$13*INDEX(Assumptions!$B$44:$B$46,MATCH($C58,Assumptions!$A$44:$A$46,0))+IF(N$45&gt;=$G58,INDEX(Assumptions!$C$44:$C$46,MATCH($C58,Assumptions!$A$44:$A$46,0)),0)+IF($C58="Assured",N58*$D58*$C$13*$C$26*$C$27*$C$28,0)</f>
        <v>19812</v>
      </c>
      <c r="O80" s="23" t="n">
        <f aca="false">O58*$D58*$C$13*INDEX(Assumptions!$B$44:$B$46,MATCH($C58,Assumptions!$A$44:$A$46,0))+IF(O$45&gt;=$G58,INDEX(Assumptions!$C$44:$C$46,MATCH($C58,Assumptions!$A$44:$A$46,0)),0)+IF($C58="Assured",O58*$D58*$C$13*$C$26*$C$27*$C$28,0)</f>
        <v>39624</v>
      </c>
      <c r="P80" s="23" t="n">
        <f aca="false">P58*$D58*$C$13*INDEX(Assumptions!$B$44:$B$46,MATCH($C58,Assumptions!$A$44:$A$46,0))+IF(P$45&gt;=$G58,INDEX(Assumptions!$C$44:$C$46,MATCH($C58,Assumptions!$A$44:$A$46,0)),0)+IF($C58="Assured",P58*$D58*$C$13*$C$26*$C$27*$C$28,0)</f>
        <v>56134</v>
      </c>
      <c r="Q80" s="23" t="n">
        <f aca="false">Q58*$D58*$C$13*INDEX(Assumptions!$B$44:$B$46,MATCH($C58,Assumptions!$A$44:$A$46,0))+IF(Q$45&gt;=$G58,INDEX(Assumptions!$C$44:$C$46,MATCH($C58,Assumptions!$A$44:$A$46,0)),0)+IF($C58="Assured",Q58*$D58*$C$13*$C$26*$C$27*$C$28,0)</f>
        <v>66040</v>
      </c>
      <c r="R80" s="23" t="n">
        <f aca="false">R58*$D58*$C$13*INDEX(Assumptions!$B$44:$B$46,MATCH($C58,Assumptions!$A$44:$A$46,0))+IF(R$45&gt;=$G58,INDEX(Assumptions!$C$44:$C$46,MATCH($C58,Assumptions!$A$44:$A$46,0)),0)+IF($C58="Assured",R58*$D58*$C$13*$C$26*$C$27*$C$28,0)</f>
        <v>66040</v>
      </c>
      <c r="S80" s="23" t="n">
        <f aca="false">S58*$D58*$C$13*INDEX(Assumptions!$B$44:$B$46,MATCH($C58,Assumptions!$A$44:$A$46,0))+IF(S$45&gt;=$G58,INDEX(Assumptions!$C$44:$C$46,MATCH($C58,Assumptions!$A$44:$A$46,0)),0)+IF($C58="Assured",S58*$D58*$C$13*$C$26*$C$27*$C$28,0)</f>
        <v>66040</v>
      </c>
      <c r="T80" s="23" t="n">
        <f aca="false">T58*$D58*$C$13*INDEX(Assumptions!$B$44:$B$46,MATCH($C58,Assumptions!$A$44:$A$46,0))+IF(T$45&gt;=$G58,INDEX(Assumptions!$C$44:$C$46,MATCH($C58,Assumptions!$A$44:$A$46,0)),0)+IF($C58="Assured",T58*$D58*$C$13*$C$26*$C$27*$C$28,0)</f>
        <v>66040</v>
      </c>
      <c r="U80" s="23" t="n">
        <f aca="false">U58*$D58*$C$13*INDEX(Assumptions!$B$44:$B$46,MATCH($C58,Assumptions!$A$44:$A$46,0))+IF(U$45&gt;=$G58,INDEX(Assumptions!$C$44:$C$46,MATCH($C58,Assumptions!$A$44:$A$46,0)),0)+IF($C58="Assured",U58*$D58*$C$13*$C$26*$C$27*$C$28,0)</f>
        <v>66040</v>
      </c>
      <c r="V80" s="23" t="n">
        <f aca="false">V58*$D58*$C$13*INDEX(Assumptions!$B$44:$B$46,MATCH($C58,Assumptions!$A$44:$A$46,0))+IF(V$45&gt;=$G58,INDEX(Assumptions!$C$44:$C$46,MATCH($C58,Assumptions!$A$44:$A$46,0)),0)+IF($C58="Assured",V58*$D58*$C$13*$C$26*$C$27*$C$28,0)</f>
        <v>66040</v>
      </c>
      <c r="W80" s="23" t="n">
        <f aca="false">W58*$D58*$C$13*INDEX(Assumptions!$B$44:$B$46,MATCH($C58,Assumptions!$A$44:$A$46,0))+IF(W$45&gt;=$G58,INDEX(Assumptions!$C$44:$C$46,MATCH($C58,Assumptions!$A$44:$A$46,0)),0)+IF($C58="Assured",W58*$D58*$C$13*$C$26*$C$27*$C$28,0)</f>
        <v>66040</v>
      </c>
      <c r="X80" s="23" t="n">
        <f aca="false">X58*$D58*$C$13*INDEX(Assumptions!$B$44:$B$46,MATCH($C58,Assumptions!$A$44:$A$46,0))+IF(X$45&gt;=$G58,INDEX(Assumptions!$C$44:$C$46,MATCH($C58,Assumptions!$A$44:$A$46,0)),0)+IF($C58="Assured",X58*$D58*$C$13*$C$26*$C$27*$C$28,0)</f>
        <v>66040</v>
      </c>
      <c r="Y80" s="23" t="n">
        <f aca="false">Y58*$D58*$C$13*INDEX(Assumptions!$B$44:$B$46,MATCH($C58,Assumptions!$A$44:$A$46,0))+IF(Y$45&gt;=$G58,INDEX(Assumptions!$C$44:$C$46,MATCH($C58,Assumptions!$A$44:$A$46,0)),0)+IF($C58="Assured",Y58*$D58*$C$13*$C$26*$C$27*$C$28,0)</f>
        <v>66040</v>
      </c>
    </row>
    <row r="81" customFormat="false" ht="15" hidden="false" customHeight="false" outlineLevel="0" collapsed="false">
      <c r="A81" s="2" t="n">
        <f aca="false">A59</f>
        <v>12</v>
      </c>
      <c r="B81" s="2" t="str">
        <f aca="false">B59</f>
        <v>C</v>
      </c>
      <c r="C81" s="2" t="str">
        <f aca="false">C59</f>
        <v>Assured</v>
      </c>
      <c r="D81" s="2"/>
      <c r="E81" s="2"/>
      <c r="F81" s="2"/>
      <c r="G81" s="2"/>
      <c r="H81" s="23" t="n">
        <f aca="false">H59*$D59*$C$13*INDEX(Assumptions!$B$44:$B$46,MATCH($C59,Assumptions!$A$44:$A$46,0))+IF(H$45&gt;=$G59,INDEX(Assumptions!$C$44:$C$46,MATCH($C59,Assumptions!$A$44:$A$46,0)),0)+IF($C59="Assured",H59*$D59*$C$13*$C$26*$C$27*$C$28,0)</f>
        <v>0</v>
      </c>
      <c r="I81" s="23" t="n">
        <f aca="false">I59*$D59*$C$13*INDEX(Assumptions!$B$44:$B$46,MATCH($C59,Assumptions!$A$44:$A$46,0))+IF(I$45&gt;=$G59,INDEX(Assumptions!$C$44:$C$46,MATCH($C59,Assumptions!$A$44:$A$46,0)),0)+IF($C59="Assured",I59*$D59*$C$13*$C$26*$C$27*$C$28,0)</f>
        <v>0</v>
      </c>
      <c r="J81" s="23" t="n">
        <f aca="false">J59*$D59*$C$13*INDEX(Assumptions!$B$44:$B$46,MATCH($C59,Assumptions!$A$44:$A$46,0))+IF(J$45&gt;=$G59,INDEX(Assumptions!$C$44:$C$46,MATCH($C59,Assumptions!$A$44:$A$46,0)),0)+IF($C59="Assured",J59*$D59*$C$13*$C$26*$C$27*$C$28,0)</f>
        <v>0</v>
      </c>
      <c r="K81" s="23" t="n">
        <f aca="false">K59*$D59*$C$13*INDEX(Assumptions!$B$44:$B$46,MATCH($C59,Assumptions!$A$44:$A$46,0))+IF(K$45&gt;=$G59,INDEX(Assumptions!$C$44:$C$46,MATCH($C59,Assumptions!$A$44:$A$46,0)),0)+IF($C59="Assured",K59*$D59*$C$13*$C$26*$C$27*$C$28,0)</f>
        <v>0</v>
      </c>
      <c r="L81" s="23" t="n">
        <f aca="false">L59*$D59*$C$13*INDEX(Assumptions!$B$44:$B$46,MATCH($C59,Assumptions!$A$44:$A$46,0))+IF(L$45&gt;=$G59,INDEX(Assumptions!$C$44:$C$46,MATCH($C59,Assumptions!$A$44:$A$46,0)),0)+IF($C59="Assured",L59*$D59*$C$13*$C$26*$C$27*$C$28,0)</f>
        <v>0</v>
      </c>
      <c r="M81" s="23" t="n">
        <f aca="false">M59*$D59*$C$13*INDEX(Assumptions!$B$44:$B$46,MATCH($C59,Assumptions!$A$44:$A$46,0))+IF(M$45&gt;=$G59,INDEX(Assumptions!$C$44:$C$46,MATCH($C59,Assumptions!$A$44:$A$46,0)),0)+IF($C59="Assured",M59*$D59*$C$13*$C$26*$C$27*$C$28,0)</f>
        <v>0</v>
      </c>
      <c r="N81" s="23" t="n">
        <f aca="false">N59*$D59*$C$13*INDEX(Assumptions!$B$44:$B$46,MATCH($C59,Assumptions!$A$44:$A$46,0))+IF(N$45&gt;=$G59,INDEX(Assumptions!$C$44:$C$46,MATCH($C59,Assumptions!$A$44:$A$46,0)),0)+IF($C59="Assured",N59*$D59*$C$13*$C$26*$C$27*$C$28,0)</f>
        <v>19812</v>
      </c>
      <c r="O81" s="23" t="n">
        <f aca="false">O59*$D59*$C$13*INDEX(Assumptions!$B$44:$B$46,MATCH($C59,Assumptions!$A$44:$A$46,0))+IF(O$45&gt;=$G59,INDEX(Assumptions!$C$44:$C$46,MATCH($C59,Assumptions!$A$44:$A$46,0)),0)+IF($C59="Assured",O59*$D59*$C$13*$C$26*$C$27*$C$28,0)</f>
        <v>39624</v>
      </c>
      <c r="P81" s="23" t="n">
        <f aca="false">P59*$D59*$C$13*INDEX(Assumptions!$B$44:$B$46,MATCH($C59,Assumptions!$A$44:$A$46,0))+IF(P$45&gt;=$G59,INDEX(Assumptions!$C$44:$C$46,MATCH($C59,Assumptions!$A$44:$A$46,0)),0)+IF($C59="Assured",P59*$D59*$C$13*$C$26*$C$27*$C$28,0)</f>
        <v>56134</v>
      </c>
      <c r="Q81" s="23" t="n">
        <f aca="false">Q59*$D59*$C$13*INDEX(Assumptions!$B$44:$B$46,MATCH($C59,Assumptions!$A$44:$A$46,0))+IF(Q$45&gt;=$G59,INDEX(Assumptions!$C$44:$C$46,MATCH($C59,Assumptions!$A$44:$A$46,0)),0)+IF($C59="Assured",Q59*$D59*$C$13*$C$26*$C$27*$C$28,0)</f>
        <v>66040</v>
      </c>
      <c r="R81" s="23" t="n">
        <f aca="false">R59*$D59*$C$13*INDEX(Assumptions!$B$44:$B$46,MATCH($C59,Assumptions!$A$44:$A$46,0))+IF(R$45&gt;=$G59,INDEX(Assumptions!$C$44:$C$46,MATCH($C59,Assumptions!$A$44:$A$46,0)),0)+IF($C59="Assured",R59*$D59*$C$13*$C$26*$C$27*$C$28,0)</f>
        <v>66040</v>
      </c>
      <c r="S81" s="23" t="n">
        <f aca="false">S59*$D59*$C$13*INDEX(Assumptions!$B$44:$B$46,MATCH($C59,Assumptions!$A$44:$A$46,0))+IF(S$45&gt;=$G59,INDEX(Assumptions!$C$44:$C$46,MATCH($C59,Assumptions!$A$44:$A$46,0)),0)+IF($C59="Assured",S59*$D59*$C$13*$C$26*$C$27*$C$28,0)</f>
        <v>66040</v>
      </c>
      <c r="T81" s="23" t="n">
        <f aca="false">T59*$D59*$C$13*INDEX(Assumptions!$B$44:$B$46,MATCH($C59,Assumptions!$A$44:$A$46,0))+IF(T$45&gt;=$G59,INDEX(Assumptions!$C$44:$C$46,MATCH($C59,Assumptions!$A$44:$A$46,0)),0)+IF($C59="Assured",T59*$D59*$C$13*$C$26*$C$27*$C$28,0)</f>
        <v>66040</v>
      </c>
      <c r="U81" s="23" t="n">
        <f aca="false">U59*$D59*$C$13*INDEX(Assumptions!$B$44:$B$46,MATCH($C59,Assumptions!$A$44:$A$46,0))+IF(U$45&gt;=$G59,INDEX(Assumptions!$C$44:$C$46,MATCH($C59,Assumptions!$A$44:$A$46,0)),0)+IF($C59="Assured",U59*$D59*$C$13*$C$26*$C$27*$C$28,0)</f>
        <v>66040</v>
      </c>
      <c r="V81" s="23" t="n">
        <f aca="false">V59*$D59*$C$13*INDEX(Assumptions!$B$44:$B$46,MATCH($C59,Assumptions!$A$44:$A$46,0))+IF(V$45&gt;=$G59,INDEX(Assumptions!$C$44:$C$46,MATCH($C59,Assumptions!$A$44:$A$46,0)),0)+IF($C59="Assured",V59*$D59*$C$13*$C$26*$C$27*$C$28,0)</f>
        <v>66040</v>
      </c>
      <c r="W81" s="23" t="n">
        <f aca="false">W59*$D59*$C$13*INDEX(Assumptions!$B$44:$B$46,MATCH($C59,Assumptions!$A$44:$A$46,0))+IF(W$45&gt;=$G59,INDEX(Assumptions!$C$44:$C$46,MATCH($C59,Assumptions!$A$44:$A$46,0)),0)+IF($C59="Assured",W59*$D59*$C$13*$C$26*$C$27*$C$28,0)</f>
        <v>66040</v>
      </c>
      <c r="X81" s="23" t="n">
        <f aca="false">X59*$D59*$C$13*INDEX(Assumptions!$B$44:$B$46,MATCH($C59,Assumptions!$A$44:$A$46,0))+IF(X$45&gt;=$G59,INDEX(Assumptions!$C$44:$C$46,MATCH($C59,Assumptions!$A$44:$A$46,0)),0)+IF($C59="Assured",X59*$D59*$C$13*$C$26*$C$27*$C$28,0)</f>
        <v>66040</v>
      </c>
      <c r="Y81" s="23" t="n">
        <f aca="false">Y59*$D59*$C$13*INDEX(Assumptions!$B$44:$B$46,MATCH($C59,Assumptions!$A$44:$A$46,0))+IF(Y$45&gt;=$G59,INDEX(Assumptions!$C$44:$C$46,MATCH($C59,Assumptions!$A$44:$A$46,0)),0)+IF($C59="Assured",Y59*$D59*$C$13*$C$26*$C$27*$C$28,0)</f>
        <v>66040</v>
      </c>
    </row>
    <row r="82" customFormat="false" ht="15" hidden="false" customHeight="false" outlineLevel="0" collapsed="false">
      <c r="A82" s="2" t="n">
        <f aca="false">A60</f>
        <v>13</v>
      </c>
      <c r="B82" s="2" t="str">
        <f aca="false">B60</f>
        <v>C</v>
      </c>
      <c r="C82" s="2" t="str">
        <f aca="false">C60</f>
        <v>Assured</v>
      </c>
      <c r="D82" s="2"/>
      <c r="E82" s="2"/>
      <c r="F82" s="2"/>
      <c r="G82" s="2"/>
      <c r="H82" s="23" t="n">
        <f aca="false">H60*$D60*$C$13*INDEX(Assumptions!$B$44:$B$46,MATCH($C60,Assumptions!$A$44:$A$46,0))+IF(H$45&gt;=$G60,INDEX(Assumptions!$C$44:$C$46,MATCH($C60,Assumptions!$A$44:$A$46,0)),0)+IF($C60="Assured",H60*$D60*$C$13*$C$26*$C$27*$C$28,0)</f>
        <v>0</v>
      </c>
      <c r="I82" s="23" t="n">
        <f aca="false">I60*$D60*$C$13*INDEX(Assumptions!$B$44:$B$46,MATCH($C60,Assumptions!$A$44:$A$46,0))+IF(I$45&gt;=$G60,INDEX(Assumptions!$C$44:$C$46,MATCH($C60,Assumptions!$A$44:$A$46,0)),0)+IF($C60="Assured",I60*$D60*$C$13*$C$26*$C$27*$C$28,0)</f>
        <v>0</v>
      </c>
      <c r="J82" s="23" t="n">
        <f aca="false">J60*$D60*$C$13*INDEX(Assumptions!$B$44:$B$46,MATCH($C60,Assumptions!$A$44:$A$46,0))+IF(J$45&gt;=$G60,INDEX(Assumptions!$C$44:$C$46,MATCH($C60,Assumptions!$A$44:$A$46,0)),0)+IF($C60="Assured",J60*$D60*$C$13*$C$26*$C$27*$C$28,0)</f>
        <v>0</v>
      </c>
      <c r="K82" s="23" t="n">
        <f aca="false">K60*$D60*$C$13*INDEX(Assumptions!$B$44:$B$46,MATCH($C60,Assumptions!$A$44:$A$46,0))+IF(K$45&gt;=$G60,INDEX(Assumptions!$C$44:$C$46,MATCH($C60,Assumptions!$A$44:$A$46,0)),0)+IF($C60="Assured",K60*$D60*$C$13*$C$26*$C$27*$C$28,0)</f>
        <v>0</v>
      </c>
      <c r="L82" s="23" t="n">
        <f aca="false">L60*$D60*$C$13*INDEX(Assumptions!$B$44:$B$46,MATCH($C60,Assumptions!$A$44:$A$46,0))+IF(L$45&gt;=$G60,INDEX(Assumptions!$C$44:$C$46,MATCH($C60,Assumptions!$A$44:$A$46,0)),0)+IF($C60="Assured",L60*$D60*$C$13*$C$26*$C$27*$C$28,0)</f>
        <v>0</v>
      </c>
      <c r="M82" s="23" t="n">
        <f aca="false">M60*$D60*$C$13*INDEX(Assumptions!$B$44:$B$46,MATCH($C60,Assumptions!$A$44:$A$46,0))+IF(M$45&gt;=$G60,INDEX(Assumptions!$C$44:$C$46,MATCH($C60,Assumptions!$A$44:$A$46,0)),0)+IF($C60="Assured",M60*$D60*$C$13*$C$26*$C$27*$C$28,0)</f>
        <v>0</v>
      </c>
      <c r="N82" s="23" t="n">
        <f aca="false">N60*$D60*$C$13*INDEX(Assumptions!$B$44:$B$46,MATCH($C60,Assumptions!$A$44:$A$46,0))+IF(N$45&gt;=$G60,INDEX(Assumptions!$C$44:$C$46,MATCH($C60,Assumptions!$A$44:$A$46,0)),0)+IF($C60="Assured",N60*$D60*$C$13*$C$26*$C$27*$C$28,0)</f>
        <v>0</v>
      </c>
      <c r="O82" s="23" t="n">
        <f aca="false">O60*$D60*$C$13*INDEX(Assumptions!$B$44:$B$46,MATCH($C60,Assumptions!$A$44:$A$46,0))+IF(O$45&gt;=$G60,INDEX(Assumptions!$C$44:$C$46,MATCH($C60,Assumptions!$A$44:$A$46,0)),0)+IF($C60="Assured",O60*$D60*$C$13*$C$26*$C$27*$C$28,0)</f>
        <v>19812</v>
      </c>
      <c r="P82" s="23" t="n">
        <f aca="false">P60*$D60*$C$13*INDEX(Assumptions!$B$44:$B$46,MATCH($C60,Assumptions!$A$44:$A$46,0))+IF(P$45&gt;=$G60,INDEX(Assumptions!$C$44:$C$46,MATCH($C60,Assumptions!$A$44:$A$46,0)),0)+IF($C60="Assured",P60*$D60*$C$13*$C$26*$C$27*$C$28,0)</f>
        <v>39624</v>
      </c>
      <c r="Q82" s="23" t="n">
        <f aca="false">Q60*$D60*$C$13*INDEX(Assumptions!$B$44:$B$46,MATCH($C60,Assumptions!$A$44:$A$46,0))+IF(Q$45&gt;=$G60,INDEX(Assumptions!$C$44:$C$46,MATCH($C60,Assumptions!$A$44:$A$46,0)),0)+IF($C60="Assured",Q60*$D60*$C$13*$C$26*$C$27*$C$28,0)</f>
        <v>56134</v>
      </c>
      <c r="R82" s="23" t="n">
        <f aca="false">R60*$D60*$C$13*INDEX(Assumptions!$B$44:$B$46,MATCH($C60,Assumptions!$A$44:$A$46,0))+IF(R$45&gt;=$G60,INDEX(Assumptions!$C$44:$C$46,MATCH($C60,Assumptions!$A$44:$A$46,0)),0)+IF($C60="Assured",R60*$D60*$C$13*$C$26*$C$27*$C$28,0)</f>
        <v>66040</v>
      </c>
      <c r="S82" s="23" t="n">
        <f aca="false">S60*$D60*$C$13*INDEX(Assumptions!$B$44:$B$46,MATCH($C60,Assumptions!$A$44:$A$46,0))+IF(S$45&gt;=$G60,INDEX(Assumptions!$C$44:$C$46,MATCH($C60,Assumptions!$A$44:$A$46,0)),0)+IF($C60="Assured",S60*$D60*$C$13*$C$26*$C$27*$C$28,0)</f>
        <v>66040</v>
      </c>
      <c r="T82" s="23" t="n">
        <f aca="false">T60*$D60*$C$13*INDEX(Assumptions!$B$44:$B$46,MATCH($C60,Assumptions!$A$44:$A$46,0))+IF(T$45&gt;=$G60,INDEX(Assumptions!$C$44:$C$46,MATCH($C60,Assumptions!$A$44:$A$46,0)),0)+IF($C60="Assured",T60*$D60*$C$13*$C$26*$C$27*$C$28,0)</f>
        <v>66040</v>
      </c>
      <c r="U82" s="23" t="n">
        <f aca="false">U60*$D60*$C$13*INDEX(Assumptions!$B$44:$B$46,MATCH($C60,Assumptions!$A$44:$A$46,0))+IF(U$45&gt;=$G60,INDEX(Assumptions!$C$44:$C$46,MATCH($C60,Assumptions!$A$44:$A$46,0)),0)+IF($C60="Assured",U60*$D60*$C$13*$C$26*$C$27*$C$28,0)</f>
        <v>66040</v>
      </c>
      <c r="V82" s="23" t="n">
        <f aca="false">V60*$D60*$C$13*INDEX(Assumptions!$B$44:$B$46,MATCH($C60,Assumptions!$A$44:$A$46,0))+IF(V$45&gt;=$G60,INDEX(Assumptions!$C$44:$C$46,MATCH($C60,Assumptions!$A$44:$A$46,0)),0)+IF($C60="Assured",V60*$D60*$C$13*$C$26*$C$27*$C$28,0)</f>
        <v>66040</v>
      </c>
      <c r="W82" s="23" t="n">
        <f aca="false">W60*$D60*$C$13*INDEX(Assumptions!$B$44:$B$46,MATCH($C60,Assumptions!$A$44:$A$46,0))+IF(W$45&gt;=$G60,INDEX(Assumptions!$C$44:$C$46,MATCH($C60,Assumptions!$A$44:$A$46,0)),0)+IF($C60="Assured",W60*$D60*$C$13*$C$26*$C$27*$C$28,0)</f>
        <v>66040</v>
      </c>
      <c r="X82" s="23" t="n">
        <f aca="false">X60*$D60*$C$13*INDEX(Assumptions!$B$44:$B$46,MATCH($C60,Assumptions!$A$44:$A$46,0))+IF(X$45&gt;=$G60,INDEX(Assumptions!$C$44:$C$46,MATCH($C60,Assumptions!$A$44:$A$46,0)),0)+IF($C60="Assured",X60*$D60*$C$13*$C$26*$C$27*$C$28,0)</f>
        <v>66040</v>
      </c>
      <c r="Y82" s="23" t="n">
        <f aca="false">Y60*$D60*$C$13*INDEX(Assumptions!$B$44:$B$46,MATCH($C60,Assumptions!$A$44:$A$46,0))+IF(Y$45&gt;=$G60,INDEX(Assumptions!$C$44:$C$46,MATCH($C60,Assumptions!$A$44:$A$46,0)),0)+IF($C60="Assured",Y60*$D60*$C$13*$C$26*$C$27*$C$28,0)</f>
        <v>66040</v>
      </c>
    </row>
    <row r="83" customFormat="false" ht="15" hidden="false" customHeight="false" outlineLevel="0" collapsed="false">
      <c r="A83" s="2" t="n">
        <f aca="false">A61</f>
        <v>14</v>
      </c>
      <c r="B83" s="2" t="str">
        <f aca="false">B61</f>
        <v>B</v>
      </c>
      <c r="C83" s="2" t="str">
        <f aca="false">C61</f>
        <v>Connect</v>
      </c>
      <c r="D83" s="2"/>
      <c r="E83" s="2"/>
      <c r="F83" s="2"/>
      <c r="G83" s="2"/>
      <c r="H83" s="23" t="n">
        <f aca="false">H61*$D61*$C$13*INDEX(Assumptions!$B$44:$B$46,MATCH($C61,Assumptions!$A$44:$A$46,0))+IF(H$45&gt;=$G61,INDEX(Assumptions!$C$44:$C$46,MATCH($C61,Assumptions!$A$44:$A$46,0)),0)+IF($C61="Assured",H61*$D61*$C$13*$C$26*$C$27*$C$28,0)</f>
        <v>0</v>
      </c>
      <c r="I83" s="23" t="n">
        <f aca="false">I61*$D61*$C$13*INDEX(Assumptions!$B$44:$B$46,MATCH($C61,Assumptions!$A$44:$A$46,0))+IF(I$45&gt;=$G61,INDEX(Assumptions!$C$44:$C$46,MATCH($C61,Assumptions!$A$44:$A$46,0)),0)+IF($C61="Assured",I61*$D61*$C$13*$C$26*$C$27*$C$28,0)</f>
        <v>0</v>
      </c>
      <c r="J83" s="23" t="n">
        <f aca="false">J61*$D61*$C$13*INDEX(Assumptions!$B$44:$B$46,MATCH($C61,Assumptions!$A$44:$A$46,0))+IF(J$45&gt;=$G61,INDEX(Assumptions!$C$44:$C$46,MATCH($C61,Assumptions!$A$44:$A$46,0)),0)+IF($C61="Assured",J61*$D61*$C$13*$C$26*$C$27*$C$28,0)</f>
        <v>0</v>
      </c>
      <c r="K83" s="23" t="n">
        <f aca="false">K61*$D61*$C$13*INDEX(Assumptions!$B$44:$B$46,MATCH($C61,Assumptions!$A$44:$A$46,0))+IF(K$45&gt;=$G61,INDEX(Assumptions!$C$44:$C$46,MATCH($C61,Assumptions!$A$44:$A$46,0)),0)+IF($C61="Assured",K61*$D61*$C$13*$C$26*$C$27*$C$28,0)</f>
        <v>0</v>
      </c>
      <c r="L83" s="23" t="n">
        <f aca="false">L61*$D61*$C$13*INDEX(Assumptions!$B$44:$B$46,MATCH($C61,Assumptions!$A$44:$A$46,0))+IF(L$45&gt;=$G61,INDEX(Assumptions!$C$44:$C$46,MATCH($C61,Assumptions!$A$44:$A$46,0)),0)+IF($C61="Assured",L61*$D61*$C$13*$C$26*$C$27*$C$28,0)</f>
        <v>0</v>
      </c>
      <c r="M83" s="23" t="n">
        <f aca="false">M61*$D61*$C$13*INDEX(Assumptions!$B$44:$B$46,MATCH($C61,Assumptions!$A$44:$A$46,0))+IF(M$45&gt;=$G61,INDEX(Assumptions!$C$44:$C$46,MATCH($C61,Assumptions!$A$44:$A$46,0)),0)+IF($C61="Assured",M61*$D61*$C$13*$C$26*$C$27*$C$28,0)</f>
        <v>0</v>
      </c>
      <c r="N83" s="23" t="n">
        <f aca="false">N61*$D61*$C$13*INDEX(Assumptions!$B$44:$B$46,MATCH($C61,Assumptions!$A$44:$A$46,0))+IF(N$45&gt;=$G61,INDEX(Assumptions!$C$44:$C$46,MATCH($C61,Assumptions!$A$44:$A$46,0)),0)+IF($C61="Assured",N61*$D61*$C$13*$C$26*$C$27*$C$28,0)</f>
        <v>0</v>
      </c>
      <c r="O83" s="23" t="n">
        <f aca="false">O61*$D61*$C$13*INDEX(Assumptions!$B$44:$B$46,MATCH($C61,Assumptions!$A$44:$A$46,0))+IF(O$45&gt;=$G61,INDEX(Assumptions!$C$44:$C$46,MATCH($C61,Assumptions!$A$44:$A$46,0)),0)+IF($C61="Assured",O61*$D61*$C$13*$C$26*$C$27*$C$28,0)</f>
        <v>0</v>
      </c>
      <c r="P83" s="23" t="n">
        <f aca="false">P61*$D61*$C$13*INDEX(Assumptions!$B$44:$B$46,MATCH($C61,Assumptions!$A$44:$A$46,0))+IF(P$45&gt;=$G61,INDEX(Assumptions!$C$44:$C$46,MATCH($C61,Assumptions!$A$44:$A$46,0)),0)+IF($C61="Assured",P61*$D61*$C$13*$C$26*$C$27*$C$28,0)</f>
        <v>16680</v>
      </c>
      <c r="Q83" s="23" t="n">
        <f aca="false">Q61*$D61*$C$13*INDEX(Assumptions!$B$44:$B$46,MATCH($C61,Assumptions!$A$44:$A$46,0))+IF(Q$45&gt;=$G61,INDEX(Assumptions!$C$44:$C$46,MATCH($C61,Assumptions!$A$44:$A$46,0)),0)+IF($C61="Assured",Q61*$D61*$C$13*$C$26*$C$27*$C$28,0)</f>
        <v>21360</v>
      </c>
      <c r="R83" s="23" t="n">
        <f aca="false">R61*$D61*$C$13*INDEX(Assumptions!$B$44:$B$46,MATCH($C61,Assumptions!$A$44:$A$46,0))+IF(R$45&gt;=$G61,INDEX(Assumptions!$C$44:$C$46,MATCH($C61,Assumptions!$A$44:$A$46,0)),0)+IF($C61="Assured",R61*$D61*$C$13*$C$26*$C$27*$C$28,0)</f>
        <v>25260</v>
      </c>
      <c r="S83" s="23" t="n">
        <f aca="false">S61*$D61*$C$13*INDEX(Assumptions!$B$44:$B$46,MATCH($C61,Assumptions!$A$44:$A$46,0))+IF(S$45&gt;=$G61,INDEX(Assumptions!$C$44:$C$46,MATCH($C61,Assumptions!$A$44:$A$46,0)),0)+IF($C61="Assured",S61*$D61*$C$13*$C$26*$C$27*$C$28,0)</f>
        <v>27600</v>
      </c>
      <c r="T83" s="23" t="n">
        <f aca="false">T61*$D61*$C$13*INDEX(Assumptions!$B$44:$B$46,MATCH($C61,Assumptions!$A$44:$A$46,0))+IF(T$45&gt;=$G61,INDEX(Assumptions!$C$44:$C$46,MATCH($C61,Assumptions!$A$44:$A$46,0)),0)+IF($C61="Assured",T61*$D61*$C$13*$C$26*$C$27*$C$28,0)</f>
        <v>27600</v>
      </c>
      <c r="U83" s="23" t="n">
        <f aca="false">U61*$D61*$C$13*INDEX(Assumptions!$B$44:$B$46,MATCH($C61,Assumptions!$A$44:$A$46,0))+IF(U$45&gt;=$G61,INDEX(Assumptions!$C$44:$C$46,MATCH($C61,Assumptions!$A$44:$A$46,0)),0)+IF($C61="Assured",U61*$D61*$C$13*$C$26*$C$27*$C$28,0)</f>
        <v>27600</v>
      </c>
      <c r="V83" s="23" t="n">
        <f aca="false">V61*$D61*$C$13*INDEX(Assumptions!$B$44:$B$46,MATCH($C61,Assumptions!$A$44:$A$46,0))+IF(V$45&gt;=$G61,INDEX(Assumptions!$C$44:$C$46,MATCH($C61,Assumptions!$A$44:$A$46,0)),0)+IF($C61="Assured",V61*$D61*$C$13*$C$26*$C$27*$C$28,0)</f>
        <v>27600</v>
      </c>
      <c r="W83" s="23" t="n">
        <f aca="false">W61*$D61*$C$13*INDEX(Assumptions!$B$44:$B$46,MATCH($C61,Assumptions!$A$44:$A$46,0))+IF(W$45&gt;=$G61,INDEX(Assumptions!$C$44:$C$46,MATCH($C61,Assumptions!$A$44:$A$46,0)),0)+IF($C61="Assured",W61*$D61*$C$13*$C$26*$C$27*$C$28,0)</f>
        <v>27600</v>
      </c>
      <c r="X83" s="23" t="n">
        <f aca="false">X61*$D61*$C$13*INDEX(Assumptions!$B$44:$B$46,MATCH($C61,Assumptions!$A$44:$A$46,0))+IF(X$45&gt;=$G61,INDEX(Assumptions!$C$44:$C$46,MATCH($C61,Assumptions!$A$44:$A$46,0)),0)+IF($C61="Assured",X61*$D61*$C$13*$C$26*$C$27*$C$28,0)</f>
        <v>27600</v>
      </c>
      <c r="Y83" s="23" t="n">
        <f aca="false">Y61*$D61*$C$13*INDEX(Assumptions!$B$44:$B$46,MATCH($C61,Assumptions!$A$44:$A$46,0))+IF(Y$45&gt;=$G61,INDEX(Assumptions!$C$44:$C$46,MATCH($C61,Assumptions!$A$44:$A$46,0)),0)+IF($C61="Assured",Y61*$D61*$C$13*$C$26*$C$27*$C$28,0)</f>
        <v>27600</v>
      </c>
    </row>
    <row r="84" customFormat="false" ht="15" hidden="false" customHeight="false" outlineLevel="0" collapsed="false">
      <c r="A84" s="2" t="n">
        <f aca="false">A62</f>
        <v>15</v>
      </c>
      <c r="B84" s="2" t="str">
        <f aca="false">B62</f>
        <v>B</v>
      </c>
      <c r="C84" s="2" t="str">
        <f aca="false">C62</f>
        <v>Connect</v>
      </c>
      <c r="D84" s="2"/>
      <c r="E84" s="2"/>
      <c r="F84" s="2"/>
      <c r="G84" s="2"/>
      <c r="H84" s="23" t="n">
        <f aca="false">H62*$D62*$C$13*INDEX(Assumptions!$B$44:$B$46,MATCH($C62,Assumptions!$A$44:$A$46,0))+IF(H$45&gt;=$G62,INDEX(Assumptions!$C$44:$C$46,MATCH($C62,Assumptions!$A$44:$A$46,0)),0)+IF($C62="Assured",H62*$D62*$C$13*$C$26*$C$27*$C$28,0)</f>
        <v>0</v>
      </c>
      <c r="I84" s="23" t="n">
        <f aca="false">I62*$D62*$C$13*INDEX(Assumptions!$B$44:$B$46,MATCH($C62,Assumptions!$A$44:$A$46,0))+IF(I$45&gt;=$G62,INDEX(Assumptions!$C$44:$C$46,MATCH($C62,Assumptions!$A$44:$A$46,0)),0)+IF($C62="Assured",I62*$D62*$C$13*$C$26*$C$27*$C$28,0)</f>
        <v>0</v>
      </c>
      <c r="J84" s="23" t="n">
        <f aca="false">J62*$D62*$C$13*INDEX(Assumptions!$B$44:$B$46,MATCH($C62,Assumptions!$A$44:$A$46,0))+IF(J$45&gt;=$G62,INDEX(Assumptions!$C$44:$C$46,MATCH($C62,Assumptions!$A$44:$A$46,0)),0)+IF($C62="Assured",J62*$D62*$C$13*$C$26*$C$27*$C$28,0)</f>
        <v>0</v>
      </c>
      <c r="K84" s="23" t="n">
        <f aca="false">K62*$D62*$C$13*INDEX(Assumptions!$B$44:$B$46,MATCH($C62,Assumptions!$A$44:$A$46,0))+IF(K$45&gt;=$G62,INDEX(Assumptions!$C$44:$C$46,MATCH($C62,Assumptions!$A$44:$A$46,0)),0)+IF($C62="Assured",K62*$D62*$C$13*$C$26*$C$27*$C$28,0)</f>
        <v>0</v>
      </c>
      <c r="L84" s="23" t="n">
        <f aca="false">L62*$D62*$C$13*INDEX(Assumptions!$B$44:$B$46,MATCH($C62,Assumptions!$A$44:$A$46,0))+IF(L$45&gt;=$G62,INDEX(Assumptions!$C$44:$C$46,MATCH($C62,Assumptions!$A$44:$A$46,0)),0)+IF($C62="Assured",L62*$D62*$C$13*$C$26*$C$27*$C$28,0)</f>
        <v>0</v>
      </c>
      <c r="M84" s="23" t="n">
        <f aca="false">M62*$D62*$C$13*INDEX(Assumptions!$B$44:$B$46,MATCH($C62,Assumptions!$A$44:$A$46,0))+IF(M$45&gt;=$G62,INDEX(Assumptions!$C$44:$C$46,MATCH($C62,Assumptions!$A$44:$A$46,0)),0)+IF($C62="Assured",M62*$D62*$C$13*$C$26*$C$27*$C$28,0)</f>
        <v>0</v>
      </c>
      <c r="N84" s="23" t="n">
        <f aca="false">N62*$D62*$C$13*INDEX(Assumptions!$B$44:$B$46,MATCH($C62,Assumptions!$A$44:$A$46,0))+IF(N$45&gt;=$G62,INDEX(Assumptions!$C$44:$C$46,MATCH($C62,Assumptions!$A$44:$A$46,0)),0)+IF($C62="Assured",N62*$D62*$C$13*$C$26*$C$27*$C$28,0)</f>
        <v>0</v>
      </c>
      <c r="O84" s="23" t="n">
        <f aca="false">O62*$D62*$C$13*INDEX(Assumptions!$B$44:$B$46,MATCH($C62,Assumptions!$A$44:$A$46,0))+IF(O$45&gt;=$G62,INDEX(Assumptions!$C$44:$C$46,MATCH($C62,Assumptions!$A$44:$A$46,0)),0)+IF($C62="Assured",O62*$D62*$C$13*$C$26*$C$27*$C$28,0)</f>
        <v>0</v>
      </c>
      <c r="P84" s="23" t="n">
        <f aca="false">P62*$D62*$C$13*INDEX(Assumptions!$B$44:$B$46,MATCH($C62,Assumptions!$A$44:$A$46,0))+IF(P$45&gt;=$G62,INDEX(Assumptions!$C$44:$C$46,MATCH($C62,Assumptions!$A$44:$A$46,0)),0)+IF($C62="Assured",P62*$D62*$C$13*$C$26*$C$27*$C$28,0)</f>
        <v>0</v>
      </c>
      <c r="Q84" s="23" t="n">
        <f aca="false">Q62*$D62*$C$13*INDEX(Assumptions!$B$44:$B$46,MATCH($C62,Assumptions!$A$44:$A$46,0))+IF(Q$45&gt;=$G62,INDEX(Assumptions!$C$44:$C$46,MATCH($C62,Assumptions!$A$44:$A$46,0)),0)+IF($C62="Assured",Q62*$D62*$C$13*$C$26*$C$27*$C$28,0)</f>
        <v>16680</v>
      </c>
      <c r="R84" s="23" t="n">
        <f aca="false">R62*$D62*$C$13*INDEX(Assumptions!$B$44:$B$46,MATCH($C62,Assumptions!$A$44:$A$46,0))+IF(R$45&gt;=$G62,INDEX(Assumptions!$C$44:$C$46,MATCH($C62,Assumptions!$A$44:$A$46,0)),0)+IF($C62="Assured",R62*$D62*$C$13*$C$26*$C$27*$C$28,0)</f>
        <v>21360</v>
      </c>
      <c r="S84" s="23" t="n">
        <f aca="false">S62*$D62*$C$13*INDEX(Assumptions!$B$44:$B$46,MATCH($C62,Assumptions!$A$44:$A$46,0))+IF(S$45&gt;=$G62,INDEX(Assumptions!$C$44:$C$46,MATCH($C62,Assumptions!$A$44:$A$46,0)),0)+IF($C62="Assured",S62*$D62*$C$13*$C$26*$C$27*$C$28,0)</f>
        <v>25260</v>
      </c>
      <c r="T84" s="23" t="n">
        <f aca="false">T62*$D62*$C$13*INDEX(Assumptions!$B$44:$B$46,MATCH($C62,Assumptions!$A$44:$A$46,0))+IF(T$45&gt;=$G62,INDEX(Assumptions!$C$44:$C$46,MATCH($C62,Assumptions!$A$44:$A$46,0)),0)+IF($C62="Assured",T62*$D62*$C$13*$C$26*$C$27*$C$28,0)</f>
        <v>27600</v>
      </c>
      <c r="U84" s="23" t="n">
        <f aca="false">U62*$D62*$C$13*INDEX(Assumptions!$B$44:$B$46,MATCH($C62,Assumptions!$A$44:$A$46,0))+IF(U$45&gt;=$G62,INDEX(Assumptions!$C$44:$C$46,MATCH($C62,Assumptions!$A$44:$A$46,0)),0)+IF($C62="Assured",U62*$D62*$C$13*$C$26*$C$27*$C$28,0)</f>
        <v>27600</v>
      </c>
      <c r="V84" s="23" t="n">
        <f aca="false">V62*$D62*$C$13*INDEX(Assumptions!$B$44:$B$46,MATCH($C62,Assumptions!$A$44:$A$46,0))+IF(V$45&gt;=$G62,INDEX(Assumptions!$C$44:$C$46,MATCH($C62,Assumptions!$A$44:$A$46,0)),0)+IF($C62="Assured",V62*$D62*$C$13*$C$26*$C$27*$C$28,0)</f>
        <v>27600</v>
      </c>
      <c r="W84" s="23" t="n">
        <f aca="false">W62*$D62*$C$13*INDEX(Assumptions!$B$44:$B$46,MATCH($C62,Assumptions!$A$44:$A$46,0))+IF(W$45&gt;=$G62,INDEX(Assumptions!$C$44:$C$46,MATCH($C62,Assumptions!$A$44:$A$46,0)),0)+IF($C62="Assured",W62*$D62*$C$13*$C$26*$C$27*$C$28,0)</f>
        <v>27600</v>
      </c>
      <c r="X84" s="23" t="n">
        <f aca="false">X62*$D62*$C$13*INDEX(Assumptions!$B$44:$B$46,MATCH($C62,Assumptions!$A$44:$A$46,0))+IF(X$45&gt;=$G62,INDEX(Assumptions!$C$44:$C$46,MATCH($C62,Assumptions!$A$44:$A$46,0)),0)+IF($C62="Assured",X62*$D62*$C$13*$C$26*$C$27*$C$28,0)</f>
        <v>27600</v>
      </c>
      <c r="Y84" s="23" t="n">
        <f aca="false">Y62*$D62*$C$13*INDEX(Assumptions!$B$44:$B$46,MATCH($C62,Assumptions!$A$44:$A$46,0))+IF(Y$45&gt;=$G62,INDEX(Assumptions!$C$44:$C$46,MATCH($C62,Assumptions!$A$44:$A$46,0)),0)+IF($C62="Assured",Y62*$D62*$C$13*$C$26*$C$27*$C$28,0)</f>
        <v>27600</v>
      </c>
    </row>
    <row r="85" customFormat="false" ht="15" hidden="false" customHeight="false" outlineLevel="0" collapsed="false">
      <c r="A85" s="2" t="n">
        <f aca="false">A63</f>
        <v>16</v>
      </c>
      <c r="B85" s="2" t="str">
        <f aca="false">B63</f>
        <v>B</v>
      </c>
      <c r="C85" s="2" t="str">
        <f aca="false">C63</f>
        <v>Connect</v>
      </c>
      <c r="D85" s="2"/>
      <c r="E85" s="2"/>
      <c r="F85" s="2"/>
      <c r="G85" s="2"/>
      <c r="H85" s="23" t="n">
        <f aca="false">H63*$D63*$C$13*INDEX(Assumptions!$B$44:$B$46,MATCH($C63,Assumptions!$A$44:$A$46,0))+IF(H$45&gt;=$G63,INDEX(Assumptions!$C$44:$C$46,MATCH($C63,Assumptions!$A$44:$A$46,0)),0)+IF($C63="Assured",H63*$D63*$C$13*$C$26*$C$27*$C$28,0)</f>
        <v>0</v>
      </c>
      <c r="I85" s="23" t="n">
        <f aca="false">I63*$D63*$C$13*INDEX(Assumptions!$B$44:$B$46,MATCH($C63,Assumptions!$A$44:$A$46,0))+IF(I$45&gt;=$G63,INDEX(Assumptions!$C$44:$C$46,MATCH($C63,Assumptions!$A$44:$A$46,0)),0)+IF($C63="Assured",I63*$D63*$C$13*$C$26*$C$27*$C$28,0)</f>
        <v>0</v>
      </c>
      <c r="J85" s="23" t="n">
        <f aca="false">J63*$D63*$C$13*INDEX(Assumptions!$B$44:$B$46,MATCH($C63,Assumptions!$A$44:$A$46,0))+IF(J$45&gt;=$G63,INDEX(Assumptions!$C$44:$C$46,MATCH($C63,Assumptions!$A$44:$A$46,0)),0)+IF($C63="Assured",J63*$D63*$C$13*$C$26*$C$27*$C$28,0)</f>
        <v>0</v>
      </c>
      <c r="K85" s="23" t="n">
        <f aca="false">K63*$D63*$C$13*INDEX(Assumptions!$B$44:$B$46,MATCH($C63,Assumptions!$A$44:$A$46,0))+IF(K$45&gt;=$G63,INDEX(Assumptions!$C$44:$C$46,MATCH($C63,Assumptions!$A$44:$A$46,0)),0)+IF($C63="Assured",K63*$D63*$C$13*$C$26*$C$27*$C$28,0)</f>
        <v>0</v>
      </c>
      <c r="L85" s="23" t="n">
        <f aca="false">L63*$D63*$C$13*INDEX(Assumptions!$B$44:$B$46,MATCH($C63,Assumptions!$A$44:$A$46,0))+IF(L$45&gt;=$G63,INDEX(Assumptions!$C$44:$C$46,MATCH($C63,Assumptions!$A$44:$A$46,0)),0)+IF($C63="Assured",L63*$D63*$C$13*$C$26*$C$27*$C$28,0)</f>
        <v>0</v>
      </c>
      <c r="M85" s="23" t="n">
        <f aca="false">M63*$D63*$C$13*INDEX(Assumptions!$B$44:$B$46,MATCH($C63,Assumptions!$A$44:$A$46,0))+IF(M$45&gt;=$G63,INDEX(Assumptions!$C$44:$C$46,MATCH($C63,Assumptions!$A$44:$A$46,0)),0)+IF($C63="Assured",M63*$D63*$C$13*$C$26*$C$27*$C$28,0)</f>
        <v>0</v>
      </c>
      <c r="N85" s="23" t="n">
        <f aca="false">N63*$D63*$C$13*INDEX(Assumptions!$B$44:$B$46,MATCH($C63,Assumptions!$A$44:$A$46,0))+IF(N$45&gt;=$G63,INDEX(Assumptions!$C$44:$C$46,MATCH($C63,Assumptions!$A$44:$A$46,0)),0)+IF($C63="Assured",N63*$D63*$C$13*$C$26*$C$27*$C$28,0)</f>
        <v>0</v>
      </c>
      <c r="O85" s="23" t="n">
        <f aca="false">O63*$D63*$C$13*INDEX(Assumptions!$B$44:$B$46,MATCH($C63,Assumptions!$A$44:$A$46,0))+IF(O$45&gt;=$G63,INDEX(Assumptions!$C$44:$C$46,MATCH($C63,Assumptions!$A$44:$A$46,0)),0)+IF($C63="Assured",O63*$D63*$C$13*$C$26*$C$27*$C$28,0)</f>
        <v>0</v>
      </c>
      <c r="P85" s="23" t="n">
        <f aca="false">P63*$D63*$C$13*INDEX(Assumptions!$B$44:$B$46,MATCH($C63,Assumptions!$A$44:$A$46,0))+IF(P$45&gt;=$G63,INDEX(Assumptions!$C$44:$C$46,MATCH($C63,Assumptions!$A$44:$A$46,0)),0)+IF($C63="Assured",P63*$D63*$C$13*$C$26*$C$27*$C$28,0)</f>
        <v>0</v>
      </c>
      <c r="Q85" s="23" t="n">
        <f aca="false">Q63*$D63*$C$13*INDEX(Assumptions!$B$44:$B$46,MATCH($C63,Assumptions!$A$44:$A$46,0))+IF(Q$45&gt;=$G63,INDEX(Assumptions!$C$44:$C$46,MATCH($C63,Assumptions!$A$44:$A$46,0)),0)+IF($C63="Assured",Q63*$D63*$C$13*$C$26*$C$27*$C$28,0)</f>
        <v>0</v>
      </c>
      <c r="R85" s="23" t="n">
        <f aca="false">R63*$D63*$C$13*INDEX(Assumptions!$B$44:$B$46,MATCH($C63,Assumptions!$A$44:$A$46,0))+IF(R$45&gt;=$G63,INDEX(Assumptions!$C$44:$C$46,MATCH($C63,Assumptions!$A$44:$A$46,0)),0)+IF($C63="Assured",R63*$D63*$C$13*$C$26*$C$27*$C$28,0)</f>
        <v>16680</v>
      </c>
      <c r="S85" s="23" t="n">
        <f aca="false">S63*$D63*$C$13*INDEX(Assumptions!$B$44:$B$46,MATCH($C63,Assumptions!$A$44:$A$46,0))+IF(S$45&gt;=$G63,INDEX(Assumptions!$C$44:$C$46,MATCH($C63,Assumptions!$A$44:$A$46,0)),0)+IF($C63="Assured",S63*$D63*$C$13*$C$26*$C$27*$C$28,0)</f>
        <v>21360</v>
      </c>
      <c r="T85" s="23" t="n">
        <f aca="false">T63*$D63*$C$13*INDEX(Assumptions!$B$44:$B$46,MATCH($C63,Assumptions!$A$44:$A$46,0))+IF(T$45&gt;=$G63,INDEX(Assumptions!$C$44:$C$46,MATCH($C63,Assumptions!$A$44:$A$46,0)),0)+IF($C63="Assured",T63*$D63*$C$13*$C$26*$C$27*$C$28,0)</f>
        <v>25260</v>
      </c>
      <c r="U85" s="23" t="n">
        <f aca="false">U63*$D63*$C$13*INDEX(Assumptions!$B$44:$B$46,MATCH($C63,Assumptions!$A$44:$A$46,0))+IF(U$45&gt;=$G63,INDEX(Assumptions!$C$44:$C$46,MATCH($C63,Assumptions!$A$44:$A$46,0)),0)+IF($C63="Assured",U63*$D63*$C$13*$C$26*$C$27*$C$28,0)</f>
        <v>27600</v>
      </c>
      <c r="V85" s="23" t="n">
        <f aca="false">V63*$D63*$C$13*INDEX(Assumptions!$B$44:$B$46,MATCH($C63,Assumptions!$A$44:$A$46,0))+IF(V$45&gt;=$G63,INDEX(Assumptions!$C$44:$C$46,MATCH($C63,Assumptions!$A$44:$A$46,0)),0)+IF($C63="Assured",V63*$D63*$C$13*$C$26*$C$27*$C$28,0)</f>
        <v>27600</v>
      </c>
      <c r="W85" s="23" t="n">
        <f aca="false">W63*$D63*$C$13*INDEX(Assumptions!$B$44:$B$46,MATCH($C63,Assumptions!$A$44:$A$46,0))+IF(W$45&gt;=$G63,INDEX(Assumptions!$C$44:$C$46,MATCH($C63,Assumptions!$A$44:$A$46,0)),0)+IF($C63="Assured",W63*$D63*$C$13*$C$26*$C$27*$C$28,0)</f>
        <v>27600</v>
      </c>
      <c r="X85" s="23" t="n">
        <f aca="false">X63*$D63*$C$13*INDEX(Assumptions!$B$44:$B$46,MATCH($C63,Assumptions!$A$44:$A$46,0))+IF(X$45&gt;=$G63,INDEX(Assumptions!$C$44:$C$46,MATCH($C63,Assumptions!$A$44:$A$46,0)),0)+IF($C63="Assured",X63*$D63*$C$13*$C$26*$C$27*$C$28,0)</f>
        <v>27600</v>
      </c>
      <c r="Y85" s="23" t="n">
        <f aca="false">Y63*$D63*$C$13*INDEX(Assumptions!$B$44:$B$46,MATCH($C63,Assumptions!$A$44:$A$46,0))+IF(Y$45&gt;=$G63,INDEX(Assumptions!$C$44:$C$46,MATCH($C63,Assumptions!$A$44:$A$46,0)),0)+IF($C63="Assured",Y63*$D63*$C$13*$C$26*$C$27*$C$28,0)</f>
        <v>27600</v>
      </c>
    </row>
    <row r="86" customFormat="false" ht="15" hidden="false" customHeight="false" outlineLevel="0" collapsed="false">
      <c r="A86" s="2" t="n">
        <f aca="false">A64</f>
        <v>17</v>
      </c>
      <c r="B86" s="2" t="str">
        <f aca="false">B64</f>
        <v>B</v>
      </c>
      <c r="C86" s="2" t="str">
        <f aca="false">C64</f>
        <v>Verified</v>
      </c>
      <c r="D86" s="2"/>
      <c r="E86" s="2"/>
      <c r="F86" s="2"/>
      <c r="G86" s="2"/>
      <c r="H86" s="23" t="n">
        <f aca="false">H64*$D64*$C$13*INDEX(Assumptions!$B$44:$B$46,MATCH($C64,Assumptions!$A$44:$A$46,0))+IF(H$45&gt;=$G64,INDEX(Assumptions!$C$44:$C$46,MATCH($C64,Assumptions!$A$44:$A$46,0)),0)+IF($C64="Assured",H64*$D64*$C$13*$C$26*$C$27*$C$28,0)</f>
        <v>0</v>
      </c>
      <c r="I86" s="23" t="n">
        <f aca="false">I64*$D64*$C$13*INDEX(Assumptions!$B$44:$B$46,MATCH($C64,Assumptions!$A$44:$A$46,0))+IF(I$45&gt;=$G64,INDEX(Assumptions!$C$44:$C$46,MATCH($C64,Assumptions!$A$44:$A$46,0)),0)+IF($C64="Assured",I64*$D64*$C$13*$C$26*$C$27*$C$28,0)</f>
        <v>0</v>
      </c>
      <c r="J86" s="23" t="n">
        <f aca="false">J64*$D64*$C$13*INDEX(Assumptions!$B$44:$B$46,MATCH($C64,Assumptions!$A$44:$A$46,0))+IF(J$45&gt;=$G64,INDEX(Assumptions!$C$44:$C$46,MATCH($C64,Assumptions!$A$44:$A$46,0)),0)+IF($C64="Assured",J64*$D64*$C$13*$C$26*$C$27*$C$28,0)</f>
        <v>0</v>
      </c>
      <c r="K86" s="23" t="n">
        <f aca="false">K64*$D64*$C$13*INDEX(Assumptions!$B$44:$B$46,MATCH($C64,Assumptions!$A$44:$A$46,0))+IF(K$45&gt;=$G64,INDEX(Assumptions!$C$44:$C$46,MATCH($C64,Assumptions!$A$44:$A$46,0)),0)+IF($C64="Assured",K64*$D64*$C$13*$C$26*$C$27*$C$28,0)</f>
        <v>0</v>
      </c>
      <c r="L86" s="23" t="n">
        <f aca="false">L64*$D64*$C$13*INDEX(Assumptions!$B$44:$B$46,MATCH($C64,Assumptions!$A$44:$A$46,0))+IF(L$45&gt;=$G64,INDEX(Assumptions!$C$44:$C$46,MATCH($C64,Assumptions!$A$44:$A$46,0)),0)+IF($C64="Assured",L64*$D64*$C$13*$C$26*$C$27*$C$28,0)</f>
        <v>0</v>
      </c>
      <c r="M86" s="23" t="n">
        <f aca="false">M64*$D64*$C$13*INDEX(Assumptions!$B$44:$B$46,MATCH($C64,Assumptions!$A$44:$A$46,0))+IF(M$45&gt;=$G64,INDEX(Assumptions!$C$44:$C$46,MATCH($C64,Assumptions!$A$44:$A$46,0)),0)+IF($C64="Assured",M64*$D64*$C$13*$C$26*$C$27*$C$28,0)</f>
        <v>0</v>
      </c>
      <c r="N86" s="23" t="n">
        <f aca="false">N64*$D64*$C$13*INDEX(Assumptions!$B$44:$B$46,MATCH($C64,Assumptions!$A$44:$A$46,0))+IF(N$45&gt;=$G64,INDEX(Assumptions!$C$44:$C$46,MATCH($C64,Assumptions!$A$44:$A$46,0)),0)+IF($C64="Assured",N64*$D64*$C$13*$C$26*$C$27*$C$28,0)</f>
        <v>0</v>
      </c>
      <c r="O86" s="23" t="n">
        <f aca="false">O64*$D64*$C$13*INDEX(Assumptions!$B$44:$B$46,MATCH($C64,Assumptions!$A$44:$A$46,0))+IF(O$45&gt;=$G64,INDEX(Assumptions!$C$44:$C$46,MATCH($C64,Assumptions!$A$44:$A$46,0)),0)+IF($C64="Assured",O64*$D64*$C$13*$C$26*$C$27*$C$28,0)</f>
        <v>0</v>
      </c>
      <c r="P86" s="23" t="n">
        <f aca="false">P64*$D64*$C$13*INDEX(Assumptions!$B$44:$B$46,MATCH($C64,Assumptions!$A$44:$A$46,0))+IF(P$45&gt;=$G64,INDEX(Assumptions!$C$44:$C$46,MATCH($C64,Assumptions!$A$44:$A$46,0)),0)+IF($C64="Assured",P64*$D64*$C$13*$C$26*$C$27*$C$28,0)</f>
        <v>0</v>
      </c>
      <c r="Q86" s="23" t="n">
        <f aca="false">Q64*$D64*$C$13*INDEX(Assumptions!$B$44:$B$46,MATCH($C64,Assumptions!$A$44:$A$46,0))+IF(Q$45&gt;=$G64,INDEX(Assumptions!$C$44:$C$46,MATCH($C64,Assumptions!$A$44:$A$46,0)),0)+IF($C64="Assured",Q64*$D64*$C$13*$C$26*$C$27*$C$28,0)</f>
        <v>0</v>
      </c>
      <c r="R86" s="23" t="n">
        <f aca="false">R64*$D64*$C$13*INDEX(Assumptions!$B$44:$B$46,MATCH($C64,Assumptions!$A$44:$A$46,0))+IF(R$45&gt;=$G64,INDEX(Assumptions!$C$44:$C$46,MATCH($C64,Assumptions!$A$44:$A$46,0)),0)+IF($C64="Assured",R64*$D64*$C$13*$C$26*$C$27*$C$28,0)</f>
        <v>0</v>
      </c>
      <c r="S86" s="23" t="n">
        <f aca="false">S64*$D64*$C$13*INDEX(Assumptions!$B$44:$B$46,MATCH($C64,Assumptions!$A$44:$A$46,0))+IF(S$45&gt;=$G64,INDEX(Assumptions!$C$44:$C$46,MATCH($C64,Assumptions!$A$44:$A$46,0)),0)+IF($C64="Assured",S64*$D64*$C$13*$C$26*$C$27*$C$28,0)</f>
        <v>10530</v>
      </c>
      <c r="T86" s="23" t="n">
        <f aca="false">T64*$D64*$C$13*INDEX(Assumptions!$B$44:$B$46,MATCH($C64,Assumptions!$A$44:$A$46,0))+IF(T$45&gt;=$G64,INDEX(Assumptions!$C$44:$C$46,MATCH($C64,Assumptions!$A$44:$A$46,0)),0)+IF($C64="Assured",T64*$D64*$C$13*$C$26*$C$27*$C$28,0)</f>
        <v>21060</v>
      </c>
      <c r="U86" s="23" t="n">
        <f aca="false">U64*$D64*$C$13*INDEX(Assumptions!$B$44:$B$46,MATCH($C64,Assumptions!$A$44:$A$46,0))+IF(U$45&gt;=$G64,INDEX(Assumptions!$C$44:$C$46,MATCH($C64,Assumptions!$A$44:$A$46,0)),0)+IF($C64="Assured",U64*$D64*$C$13*$C$26*$C$27*$C$28,0)</f>
        <v>29835</v>
      </c>
      <c r="V86" s="23" t="n">
        <f aca="false">V64*$D64*$C$13*INDEX(Assumptions!$B$44:$B$46,MATCH($C64,Assumptions!$A$44:$A$46,0))+IF(V$45&gt;=$G64,INDEX(Assumptions!$C$44:$C$46,MATCH($C64,Assumptions!$A$44:$A$46,0)),0)+IF($C64="Assured",V64*$D64*$C$13*$C$26*$C$27*$C$28,0)</f>
        <v>35100</v>
      </c>
      <c r="W86" s="23" t="n">
        <f aca="false">W64*$D64*$C$13*INDEX(Assumptions!$B$44:$B$46,MATCH($C64,Assumptions!$A$44:$A$46,0))+IF(W$45&gt;=$G64,INDEX(Assumptions!$C$44:$C$46,MATCH($C64,Assumptions!$A$44:$A$46,0)),0)+IF($C64="Assured",W64*$D64*$C$13*$C$26*$C$27*$C$28,0)</f>
        <v>35100</v>
      </c>
      <c r="X86" s="23" t="n">
        <f aca="false">X64*$D64*$C$13*INDEX(Assumptions!$B$44:$B$46,MATCH($C64,Assumptions!$A$44:$A$46,0))+IF(X$45&gt;=$G64,INDEX(Assumptions!$C$44:$C$46,MATCH($C64,Assumptions!$A$44:$A$46,0)),0)+IF($C64="Assured",X64*$D64*$C$13*$C$26*$C$27*$C$28,0)</f>
        <v>35100</v>
      </c>
      <c r="Y86" s="23" t="n">
        <f aca="false">Y64*$D64*$C$13*INDEX(Assumptions!$B$44:$B$46,MATCH($C64,Assumptions!$A$44:$A$46,0))+IF(Y$45&gt;=$G64,INDEX(Assumptions!$C$44:$C$46,MATCH($C64,Assumptions!$A$44:$A$46,0)),0)+IF($C64="Assured",Y64*$D64*$C$13*$C$26*$C$27*$C$28,0)</f>
        <v>35100</v>
      </c>
    </row>
    <row r="87" customFormat="false" ht="15" hidden="false" customHeight="false" outlineLevel="0" collapsed="false">
      <c r="A87" s="2" t="n">
        <f aca="false">A65</f>
        <v>18</v>
      </c>
      <c r="B87" s="2" t="str">
        <f aca="false">B65</f>
        <v>B</v>
      </c>
      <c r="C87" s="2" t="str">
        <f aca="false">C65</f>
        <v>Verified</v>
      </c>
      <c r="D87" s="2"/>
      <c r="E87" s="2"/>
      <c r="F87" s="2"/>
      <c r="G87" s="2"/>
      <c r="H87" s="23" t="n">
        <f aca="false">H65*$D65*$C$13*INDEX(Assumptions!$B$44:$B$46,MATCH($C65,Assumptions!$A$44:$A$46,0))+IF(H$45&gt;=$G65,INDEX(Assumptions!$C$44:$C$46,MATCH($C65,Assumptions!$A$44:$A$46,0)),0)+IF($C65="Assured",H65*$D65*$C$13*$C$26*$C$27*$C$28,0)</f>
        <v>0</v>
      </c>
      <c r="I87" s="23" t="n">
        <f aca="false">I65*$D65*$C$13*INDEX(Assumptions!$B$44:$B$46,MATCH($C65,Assumptions!$A$44:$A$46,0))+IF(I$45&gt;=$G65,INDEX(Assumptions!$C$44:$C$46,MATCH($C65,Assumptions!$A$44:$A$46,0)),0)+IF($C65="Assured",I65*$D65*$C$13*$C$26*$C$27*$C$28,0)</f>
        <v>0</v>
      </c>
      <c r="J87" s="23" t="n">
        <f aca="false">J65*$D65*$C$13*INDEX(Assumptions!$B$44:$B$46,MATCH($C65,Assumptions!$A$44:$A$46,0))+IF(J$45&gt;=$G65,INDEX(Assumptions!$C$44:$C$46,MATCH($C65,Assumptions!$A$44:$A$46,0)),0)+IF($C65="Assured",J65*$D65*$C$13*$C$26*$C$27*$C$28,0)</f>
        <v>0</v>
      </c>
      <c r="K87" s="23" t="n">
        <f aca="false">K65*$D65*$C$13*INDEX(Assumptions!$B$44:$B$46,MATCH($C65,Assumptions!$A$44:$A$46,0))+IF(K$45&gt;=$G65,INDEX(Assumptions!$C$44:$C$46,MATCH($C65,Assumptions!$A$44:$A$46,0)),0)+IF($C65="Assured",K65*$D65*$C$13*$C$26*$C$27*$C$28,0)</f>
        <v>0</v>
      </c>
      <c r="L87" s="23" t="n">
        <f aca="false">L65*$D65*$C$13*INDEX(Assumptions!$B$44:$B$46,MATCH($C65,Assumptions!$A$44:$A$46,0))+IF(L$45&gt;=$G65,INDEX(Assumptions!$C$44:$C$46,MATCH($C65,Assumptions!$A$44:$A$46,0)),0)+IF($C65="Assured",L65*$D65*$C$13*$C$26*$C$27*$C$28,0)</f>
        <v>0</v>
      </c>
      <c r="M87" s="23" t="n">
        <f aca="false">M65*$D65*$C$13*INDEX(Assumptions!$B$44:$B$46,MATCH($C65,Assumptions!$A$44:$A$46,0))+IF(M$45&gt;=$G65,INDEX(Assumptions!$C$44:$C$46,MATCH($C65,Assumptions!$A$44:$A$46,0)),0)+IF($C65="Assured",M65*$D65*$C$13*$C$26*$C$27*$C$28,0)</f>
        <v>0</v>
      </c>
      <c r="N87" s="23" t="n">
        <f aca="false">N65*$D65*$C$13*INDEX(Assumptions!$B$44:$B$46,MATCH($C65,Assumptions!$A$44:$A$46,0))+IF(N$45&gt;=$G65,INDEX(Assumptions!$C$44:$C$46,MATCH($C65,Assumptions!$A$44:$A$46,0)),0)+IF($C65="Assured",N65*$D65*$C$13*$C$26*$C$27*$C$28,0)</f>
        <v>0</v>
      </c>
      <c r="O87" s="23" t="n">
        <f aca="false">O65*$D65*$C$13*INDEX(Assumptions!$B$44:$B$46,MATCH($C65,Assumptions!$A$44:$A$46,0))+IF(O$45&gt;=$G65,INDEX(Assumptions!$C$44:$C$46,MATCH($C65,Assumptions!$A$44:$A$46,0)),0)+IF($C65="Assured",O65*$D65*$C$13*$C$26*$C$27*$C$28,0)</f>
        <v>0</v>
      </c>
      <c r="P87" s="23" t="n">
        <f aca="false">P65*$D65*$C$13*INDEX(Assumptions!$B$44:$B$46,MATCH($C65,Assumptions!$A$44:$A$46,0))+IF(P$45&gt;=$G65,INDEX(Assumptions!$C$44:$C$46,MATCH($C65,Assumptions!$A$44:$A$46,0)),0)+IF($C65="Assured",P65*$D65*$C$13*$C$26*$C$27*$C$28,0)</f>
        <v>0</v>
      </c>
      <c r="Q87" s="23" t="n">
        <f aca="false">Q65*$D65*$C$13*INDEX(Assumptions!$B$44:$B$46,MATCH($C65,Assumptions!$A$44:$A$46,0))+IF(Q$45&gt;=$G65,INDEX(Assumptions!$C$44:$C$46,MATCH($C65,Assumptions!$A$44:$A$46,0)),0)+IF($C65="Assured",Q65*$D65*$C$13*$C$26*$C$27*$C$28,0)</f>
        <v>0</v>
      </c>
      <c r="R87" s="23" t="n">
        <f aca="false">R65*$D65*$C$13*INDEX(Assumptions!$B$44:$B$46,MATCH($C65,Assumptions!$A$44:$A$46,0))+IF(R$45&gt;=$G65,INDEX(Assumptions!$C$44:$C$46,MATCH($C65,Assumptions!$A$44:$A$46,0)),0)+IF($C65="Assured",R65*$D65*$C$13*$C$26*$C$27*$C$28,0)</f>
        <v>0</v>
      </c>
      <c r="S87" s="23" t="n">
        <f aca="false">S65*$D65*$C$13*INDEX(Assumptions!$B$44:$B$46,MATCH($C65,Assumptions!$A$44:$A$46,0))+IF(S$45&gt;=$G65,INDEX(Assumptions!$C$44:$C$46,MATCH($C65,Assumptions!$A$44:$A$46,0)),0)+IF($C65="Assured",S65*$D65*$C$13*$C$26*$C$27*$C$28,0)</f>
        <v>0</v>
      </c>
      <c r="T87" s="23" t="n">
        <f aca="false">T65*$D65*$C$13*INDEX(Assumptions!$B$44:$B$46,MATCH($C65,Assumptions!$A$44:$A$46,0))+IF(T$45&gt;=$G65,INDEX(Assumptions!$C$44:$C$46,MATCH($C65,Assumptions!$A$44:$A$46,0)),0)+IF($C65="Assured",T65*$D65*$C$13*$C$26*$C$27*$C$28,0)</f>
        <v>10530</v>
      </c>
      <c r="U87" s="23" t="n">
        <f aca="false">U65*$D65*$C$13*INDEX(Assumptions!$B$44:$B$46,MATCH($C65,Assumptions!$A$44:$A$46,0))+IF(U$45&gt;=$G65,INDEX(Assumptions!$C$44:$C$46,MATCH($C65,Assumptions!$A$44:$A$46,0)),0)+IF($C65="Assured",U65*$D65*$C$13*$C$26*$C$27*$C$28,0)</f>
        <v>21060</v>
      </c>
      <c r="V87" s="23" t="n">
        <f aca="false">V65*$D65*$C$13*INDEX(Assumptions!$B$44:$B$46,MATCH($C65,Assumptions!$A$44:$A$46,0))+IF(V$45&gt;=$G65,INDEX(Assumptions!$C$44:$C$46,MATCH($C65,Assumptions!$A$44:$A$46,0)),0)+IF($C65="Assured",V65*$D65*$C$13*$C$26*$C$27*$C$28,0)</f>
        <v>29835</v>
      </c>
      <c r="W87" s="23" t="n">
        <f aca="false">W65*$D65*$C$13*INDEX(Assumptions!$B$44:$B$46,MATCH($C65,Assumptions!$A$44:$A$46,0))+IF(W$45&gt;=$G65,INDEX(Assumptions!$C$44:$C$46,MATCH($C65,Assumptions!$A$44:$A$46,0)),0)+IF($C65="Assured",W65*$D65*$C$13*$C$26*$C$27*$C$28,0)</f>
        <v>35100</v>
      </c>
      <c r="X87" s="23" t="n">
        <f aca="false">X65*$D65*$C$13*INDEX(Assumptions!$B$44:$B$46,MATCH($C65,Assumptions!$A$44:$A$46,0))+IF(X$45&gt;=$G65,INDEX(Assumptions!$C$44:$C$46,MATCH($C65,Assumptions!$A$44:$A$46,0)),0)+IF($C65="Assured",X65*$D65*$C$13*$C$26*$C$27*$C$28,0)</f>
        <v>35100</v>
      </c>
      <c r="Y87" s="23" t="n">
        <f aca="false">Y65*$D65*$C$13*INDEX(Assumptions!$B$44:$B$46,MATCH($C65,Assumptions!$A$44:$A$46,0))+IF(Y$45&gt;=$G65,INDEX(Assumptions!$C$44:$C$46,MATCH($C65,Assumptions!$A$44:$A$46,0)),0)+IF($C65="Assured",Y65*$D65*$C$13*$C$26*$C$27*$C$28,0)</f>
        <v>35100</v>
      </c>
    </row>
    <row r="88" customFormat="false" ht="15" hidden="false" customHeight="false" outlineLevel="0" collapsed="false">
      <c r="A88" s="2" t="n">
        <f aca="false">A66</f>
        <v>19</v>
      </c>
      <c r="B88" s="2" t="str">
        <f aca="false">B66</f>
        <v>B</v>
      </c>
      <c r="C88" s="2" t="str">
        <f aca="false">C66</f>
        <v>Verified</v>
      </c>
      <c r="D88" s="2"/>
      <c r="E88" s="2"/>
      <c r="F88" s="2"/>
      <c r="G88" s="2"/>
      <c r="H88" s="23" t="n">
        <f aca="false">H66*$D66*$C$13*INDEX(Assumptions!$B$44:$B$46,MATCH($C66,Assumptions!$A$44:$A$46,0))+IF(H$45&gt;=$G66,INDEX(Assumptions!$C$44:$C$46,MATCH($C66,Assumptions!$A$44:$A$46,0)),0)+IF($C66="Assured",H66*$D66*$C$13*$C$26*$C$27*$C$28,0)</f>
        <v>0</v>
      </c>
      <c r="I88" s="23" t="n">
        <f aca="false">I66*$D66*$C$13*INDEX(Assumptions!$B$44:$B$46,MATCH($C66,Assumptions!$A$44:$A$46,0))+IF(I$45&gt;=$G66,INDEX(Assumptions!$C$44:$C$46,MATCH($C66,Assumptions!$A$44:$A$46,0)),0)+IF($C66="Assured",I66*$D66*$C$13*$C$26*$C$27*$C$28,0)</f>
        <v>0</v>
      </c>
      <c r="J88" s="23" t="n">
        <f aca="false">J66*$D66*$C$13*INDEX(Assumptions!$B$44:$B$46,MATCH($C66,Assumptions!$A$44:$A$46,0))+IF(J$45&gt;=$G66,INDEX(Assumptions!$C$44:$C$46,MATCH($C66,Assumptions!$A$44:$A$46,0)),0)+IF($C66="Assured",J66*$D66*$C$13*$C$26*$C$27*$C$28,0)</f>
        <v>0</v>
      </c>
      <c r="K88" s="23" t="n">
        <f aca="false">K66*$D66*$C$13*INDEX(Assumptions!$B$44:$B$46,MATCH($C66,Assumptions!$A$44:$A$46,0))+IF(K$45&gt;=$G66,INDEX(Assumptions!$C$44:$C$46,MATCH($C66,Assumptions!$A$44:$A$46,0)),0)+IF($C66="Assured",K66*$D66*$C$13*$C$26*$C$27*$C$28,0)</f>
        <v>0</v>
      </c>
      <c r="L88" s="23" t="n">
        <f aca="false">L66*$D66*$C$13*INDEX(Assumptions!$B$44:$B$46,MATCH($C66,Assumptions!$A$44:$A$46,0))+IF(L$45&gt;=$G66,INDEX(Assumptions!$C$44:$C$46,MATCH($C66,Assumptions!$A$44:$A$46,0)),0)+IF($C66="Assured",L66*$D66*$C$13*$C$26*$C$27*$C$28,0)</f>
        <v>0</v>
      </c>
      <c r="M88" s="23" t="n">
        <f aca="false">M66*$D66*$C$13*INDEX(Assumptions!$B$44:$B$46,MATCH($C66,Assumptions!$A$44:$A$46,0))+IF(M$45&gt;=$G66,INDEX(Assumptions!$C$44:$C$46,MATCH($C66,Assumptions!$A$44:$A$46,0)),0)+IF($C66="Assured",M66*$D66*$C$13*$C$26*$C$27*$C$28,0)</f>
        <v>0</v>
      </c>
      <c r="N88" s="23" t="n">
        <f aca="false">N66*$D66*$C$13*INDEX(Assumptions!$B$44:$B$46,MATCH($C66,Assumptions!$A$44:$A$46,0))+IF(N$45&gt;=$G66,INDEX(Assumptions!$C$44:$C$46,MATCH($C66,Assumptions!$A$44:$A$46,0)),0)+IF($C66="Assured",N66*$D66*$C$13*$C$26*$C$27*$C$28,0)</f>
        <v>0</v>
      </c>
      <c r="O88" s="23" t="n">
        <f aca="false">O66*$D66*$C$13*INDEX(Assumptions!$B$44:$B$46,MATCH($C66,Assumptions!$A$44:$A$46,0))+IF(O$45&gt;=$G66,INDEX(Assumptions!$C$44:$C$46,MATCH($C66,Assumptions!$A$44:$A$46,0)),0)+IF($C66="Assured",O66*$D66*$C$13*$C$26*$C$27*$C$28,0)</f>
        <v>0</v>
      </c>
      <c r="P88" s="23" t="n">
        <f aca="false">P66*$D66*$C$13*INDEX(Assumptions!$B$44:$B$46,MATCH($C66,Assumptions!$A$44:$A$46,0))+IF(P$45&gt;=$G66,INDEX(Assumptions!$C$44:$C$46,MATCH($C66,Assumptions!$A$44:$A$46,0)),0)+IF($C66="Assured",P66*$D66*$C$13*$C$26*$C$27*$C$28,0)</f>
        <v>0</v>
      </c>
      <c r="Q88" s="23" t="n">
        <f aca="false">Q66*$D66*$C$13*INDEX(Assumptions!$B$44:$B$46,MATCH($C66,Assumptions!$A$44:$A$46,0))+IF(Q$45&gt;=$G66,INDEX(Assumptions!$C$44:$C$46,MATCH($C66,Assumptions!$A$44:$A$46,0)),0)+IF($C66="Assured",Q66*$D66*$C$13*$C$26*$C$27*$C$28,0)</f>
        <v>0</v>
      </c>
      <c r="R88" s="23" t="n">
        <f aca="false">R66*$D66*$C$13*INDEX(Assumptions!$B$44:$B$46,MATCH($C66,Assumptions!$A$44:$A$46,0))+IF(R$45&gt;=$G66,INDEX(Assumptions!$C$44:$C$46,MATCH($C66,Assumptions!$A$44:$A$46,0)),0)+IF($C66="Assured",R66*$D66*$C$13*$C$26*$C$27*$C$28,0)</f>
        <v>0</v>
      </c>
      <c r="S88" s="23" t="n">
        <f aca="false">S66*$D66*$C$13*INDEX(Assumptions!$B$44:$B$46,MATCH($C66,Assumptions!$A$44:$A$46,0))+IF(S$45&gt;=$G66,INDEX(Assumptions!$C$44:$C$46,MATCH($C66,Assumptions!$A$44:$A$46,0)),0)+IF($C66="Assured",S66*$D66*$C$13*$C$26*$C$27*$C$28,0)</f>
        <v>0</v>
      </c>
      <c r="T88" s="23" t="n">
        <f aca="false">T66*$D66*$C$13*INDEX(Assumptions!$B$44:$B$46,MATCH($C66,Assumptions!$A$44:$A$46,0))+IF(T$45&gt;=$G66,INDEX(Assumptions!$C$44:$C$46,MATCH($C66,Assumptions!$A$44:$A$46,0)),0)+IF($C66="Assured",T66*$D66*$C$13*$C$26*$C$27*$C$28,0)</f>
        <v>0</v>
      </c>
      <c r="U88" s="23" t="n">
        <f aca="false">U66*$D66*$C$13*INDEX(Assumptions!$B$44:$B$46,MATCH($C66,Assumptions!$A$44:$A$46,0))+IF(U$45&gt;=$G66,INDEX(Assumptions!$C$44:$C$46,MATCH($C66,Assumptions!$A$44:$A$46,0)),0)+IF($C66="Assured",U66*$D66*$C$13*$C$26*$C$27*$C$28,0)</f>
        <v>10530</v>
      </c>
      <c r="V88" s="23" t="n">
        <f aca="false">V66*$D66*$C$13*INDEX(Assumptions!$B$44:$B$46,MATCH($C66,Assumptions!$A$44:$A$46,0))+IF(V$45&gt;=$G66,INDEX(Assumptions!$C$44:$C$46,MATCH($C66,Assumptions!$A$44:$A$46,0)),0)+IF($C66="Assured",V66*$D66*$C$13*$C$26*$C$27*$C$28,0)</f>
        <v>21060</v>
      </c>
      <c r="W88" s="23" t="n">
        <f aca="false">W66*$D66*$C$13*INDEX(Assumptions!$B$44:$B$46,MATCH($C66,Assumptions!$A$44:$A$46,0))+IF(W$45&gt;=$G66,INDEX(Assumptions!$C$44:$C$46,MATCH($C66,Assumptions!$A$44:$A$46,0)),0)+IF($C66="Assured",W66*$D66*$C$13*$C$26*$C$27*$C$28,0)</f>
        <v>29835</v>
      </c>
      <c r="X88" s="23" t="n">
        <f aca="false">X66*$D66*$C$13*INDEX(Assumptions!$B$44:$B$46,MATCH($C66,Assumptions!$A$44:$A$46,0))+IF(X$45&gt;=$G66,INDEX(Assumptions!$C$44:$C$46,MATCH($C66,Assumptions!$A$44:$A$46,0)),0)+IF($C66="Assured",X66*$D66*$C$13*$C$26*$C$27*$C$28,0)</f>
        <v>35100</v>
      </c>
      <c r="Y88" s="23" t="n">
        <f aca="false">Y66*$D66*$C$13*INDEX(Assumptions!$B$44:$B$46,MATCH($C66,Assumptions!$A$44:$A$46,0))+IF(Y$45&gt;=$G66,INDEX(Assumptions!$C$44:$C$46,MATCH($C66,Assumptions!$A$44:$A$46,0)),0)+IF($C66="Assured",Y66*$D66*$C$13*$C$26*$C$27*$C$28,0)</f>
        <v>35100</v>
      </c>
    </row>
    <row r="89" customFormat="false" ht="15" hidden="false" customHeight="false" outlineLevel="0" collapsed="false">
      <c r="A89" s="2" t="n">
        <f aca="false">A67</f>
        <v>20</v>
      </c>
      <c r="B89" s="2" t="str">
        <f aca="false">B67</f>
        <v>B</v>
      </c>
      <c r="C89" s="2" t="str">
        <f aca="false">C67</f>
        <v>Verified</v>
      </c>
      <c r="D89" s="2"/>
      <c r="E89" s="2"/>
      <c r="F89" s="2"/>
      <c r="G89" s="2"/>
      <c r="H89" s="23" t="n">
        <f aca="false">H67*$D67*$C$13*INDEX(Assumptions!$B$44:$B$46,MATCH($C67,Assumptions!$A$44:$A$46,0))+IF(H$45&gt;=$G67,INDEX(Assumptions!$C$44:$C$46,MATCH($C67,Assumptions!$A$44:$A$46,0)),0)+IF($C67="Assured",H67*$D67*$C$13*$C$26*$C$27*$C$28,0)</f>
        <v>0</v>
      </c>
      <c r="I89" s="23" t="n">
        <f aca="false">I67*$D67*$C$13*INDEX(Assumptions!$B$44:$B$46,MATCH($C67,Assumptions!$A$44:$A$46,0))+IF(I$45&gt;=$G67,INDEX(Assumptions!$C$44:$C$46,MATCH($C67,Assumptions!$A$44:$A$46,0)),0)+IF($C67="Assured",I67*$D67*$C$13*$C$26*$C$27*$C$28,0)</f>
        <v>0</v>
      </c>
      <c r="J89" s="23" t="n">
        <f aca="false">J67*$D67*$C$13*INDEX(Assumptions!$B$44:$B$46,MATCH($C67,Assumptions!$A$44:$A$46,0))+IF(J$45&gt;=$G67,INDEX(Assumptions!$C$44:$C$46,MATCH($C67,Assumptions!$A$44:$A$46,0)),0)+IF($C67="Assured",J67*$D67*$C$13*$C$26*$C$27*$C$28,0)</f>
        <v>0</v>
      </c>
      <c r="K89" s="23" t="n">
        <f aca="false">K67*$D67*$C$13*INDEX(Assumptions!$B$44:$B$46,MATCH($C67,Assumptions!$A$44:$A$46,0))+IF(K$45&gt;=$G67,INDEX(Assumptions!$C$44:$C$46,MATCH($C67,Assumptions!$A$44:$A$46,0)),0)+IF($C67="Assured",K67*$D67*$C$13*$C$26*$C$27*$C$28,0)</f>
        <v>0</v>
      </c>
      <c r="L89" s="23" t="n">
        <f aca="false">L67*$D67*$C$13*INDEX(Assumptions!$B$44:$B$46,MATCH($C67,Assumptions!$A$44:$A$46,0))+IF(L$45&gt;=$G67,INDEX(Assumptions!$C$44:$C$46,MATCH($C67,Assumptions!$A$44:$A$46,0)),0)+IF($C67="Assured",L67*$D67*$C$13*$C$26*$C$27*$C$28,0)</f>
        <v>0</v>
      </c>
      <c r="M89" s="23" t="n">
        <f aca="false">M67*$D67*$C$13*INDEX(Assumptions!$B$44:$B$46,MATCH($C67,Assumptions!$A$44:$A$46,0))+IF(M$45&gt;=$G67,INDEX(Assumptions!$C$44:$C$46,MATCH($C67,Assumptions!$A$44:$A$46,0)),0)+IF($C67="Assured",M67*$D67*$C$13*$C$26*$C$27*$C$28,0)</f>
        <v>0</v>
      </c>
      <c r="N89" s="23" t="n">
        <f aca="false">N67*$D67*$C$13*INDEX(Assumptions!$B$44:$B$46,MATCH($C67,Assumptions!$A$44:$A$46,0))+IF(N$45&gt;=$G67,INDEX(Assumptions!$C$44:$C$46,MATCH($C67,Assumptions!$A$44:$A$46,0)),0)+IF($C67="Assured",N67*$D67*$C$13*$C$26*$C$27*$C$28,0)</f>
        <v>0</v>
      </c>
      <c r="O89" s="23" t="n">
        <f aca="false">O67*$D67*$C$13*INDEX(Assumptions!$B$44:$B$46,MATCH($C67,Assumptions!$A$44:$A$46,0))+IF(O$45&gt;=$G67,INDEX(Assumptions!$C$44:$C$46,MATCH($C67,Assumptions!$A$44:$A$46,0)),0)+IF($C67="Assured",O67*$D67*$C$13*$C$26*$C$27*$C$28,0)</f>
        <v>0</v>
      </c>
      <c r="P89" s="23" t="n">
        <f aca="false">P67*$D67*$C$13*INDEX(Assumptions!$B$44:$B$46,MATCH($C67,Assumptions!$A$44:$A$46,0))+IF(P$45&gt;=$G67,INDEX(Assumptions!$C$44:$C$46,MATCH($C67,Assumptions!$A$44:$A$46,0)),0)+IF($C67="Assured",P67*$D67*$C$13*$C$26*$C$27*$C$28,0)</f>
        <v>0</v>
      </c>
      <c r="Q89" s="23" t="n">
        <f aca="false">Q67*$D67*$C$13*INDEX(Assumptions!$B$44:$B$46,MATCH($C67,Assumptions!$A$44:$A$46,0))+IF(Q$45&gt;=$G67,INDEX(Assumptions!$C$44:$C$46,MATCH($C67,Assumptions!$A$44:$A$46,0)),0)+IF($C67="Assured",Q67*$D67*$C$13*$C$26*$C$27*$C$28,0)</f>
        <v>0</v>
      </c>
      <c r="R89" s="23" t="n">
        <f aca="false">R67*$D67*$C$13*INDEX(Assumptions!$B$44:$B$46,MATCH($C67,Assumptions!$A$44:$A$46,0))+IF(R$45&gt;=$G67,INDEX(Assumptions!$C$44:$C$46,MATCH($C67,Assumptions!$A$44:$A$46,0)),0)+IF($C67="Assured",R67*$D67*$C$13*$C$26*$C$27*$C$28,0)</f>
        <v>0</v>
      </c>
      <c r="S89" s="23" t="n">
        <f aca="false">S67*$D67*$C$13*INDEX(Assumptions!$B$44:$B$46,MATCH($C67,Assumptions!$A$44:$A$46,0))+IF(S$45&gt;=$G67,INDEX(Assumptions!$C$44:$C$46,MATCH($C67,Assumptions!$A$44:$A$46,0)),0)+IF($C67="Assured",S67*$D67*$C$13*$C$26*$C$27*$C$28,0)</f>
        <v>0</v>
      </c>
      <c r="T89" s="23" t="n">
        <f aca="false">T67*$D67*$C$13*INDEX(Assumptions!$B$44:$B$46,MATCH($C67,Assumptions!$A$44:$A$46,0))+IF(T$45&gt;=$G67,INDEX(Assumptions!$C$44:$C$46,MATCH($C67,Assumptions!$A$44:$A$46,0)),0)+IF($C67="Assured",T67*$D67*$C$13*$C$26*$C$27*$C$28,0)</f>
        <v>0</v>
      </c>
      <c r="U89" s="23" t="n">
        <f aca="false">U67*$D67*$C$13*INDEX(Assumptions!$B$44:$B$46,MATCH($C67,Assumptions!$A$44:$A$46,0))+IF(U$45&gt;=$G67,INDEX(Assumptions!$C$44:$C$46,MATCH($C67,Assumptions!$A$44:$A$46,0)),0)+IF($C67="Assured",U67*$D67*$C$13*$C$26*$C$27*$C$28,0)</f>
        <v>10530</v>
      </c>
      <c r="V89" s="23" t="n">
        <f aca="false">V67*$D67*$C$13*INDEX(Assumptions!$B$44:$B$46,MATCH($C67,Assumptions!$A$44:$A$46,0))+IF(V$45&gt;=$G67,INDEX(Assumptions!$C$44:$C$46,MATCH($C67,Assumptions!$A$44:$A$46,0)),0)+IF($C67="Assured",V67*$D67*$C$13*$C$26*$C$27*$C$28,0)</f>
        <v>21060</v>
      </c>
      <c r="W89" s="23" t="n">
        <f aca="false">W67*$D67*$C$13*INDEX(Assumptions!$B$44:$B$46,MATCH($C67,Assumptions!$A$44:$A$46,0))+IF(W$45&gt;=$G67,INDEX(Assumptions!$C$44:$C$46,MATCH($C67,Assumptions!$A$44:$A$46,0)),0)+IF($C67="Assured",W67*$D67*$C$13*$C$26*$C$27*$C$28,0)</f>
        <v>29835</v>
      </c>
      <c r="X89" s="23" t="n">
        <f aca="false">X67*$D67*$C$13*INDEX(Assumptions!$B$44:$B$46,MATCH($C67,Assumptions!$A$44:$A$46,0))+IF(X$45&gt;=$G67,INDEX(Assumptions!$C$44:$C$46,MATCH($C67,Assumptions!$A$44:$A$46,0)),0)+IF($C67="Assured",X67*$D67*$C$13*$C$26*$C$27*$C$28,0)</f>
        <v>35100</v>
      </c>
      <c r="Y89" s="23" t="n">
        <f aca="false">Y67*$D67*$C$13*INDEX(Assumptions!$B$44:$B$46,MATCH($C67,Assumptions!$A$44:$A$46,0))+IF(Y$45&gt;=$G67,INDEX(Assumptions!$C$44:$C$46,MATCH($C67,Assumptions!$A$44:$A$46,0)),0)+IF($C67="Assured",Y67*$D67*$C$13*$C$26*$C$27*$C$28,0)</f>
        <v>35100</v>
      </c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" hidden="false" customHeight="false" outlineLevel="0" collapsed="false">
      <c r="A91" s="37" t="s">
        <v>200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customFormat="false" ht="15" hidden="false" customHeight="false" outlineLevel="0" collapsed="false">
      <c r="A92" s="2" t="n">
        <f aca="false">A48</f>
        <v>1</v>
      </c>
      <c r="B92" s="2" t="str">
        <f aca="false">B48</f>
        <v>Pilot</v>
      </c>
      <c r="C92" s="2" t="str">
        <f aca="false">C48</f>
        <v>Assured</v>
      </c>
      <c r="D92" s="2"/>
      <c r="E92" s="2"/>
      <c r="F92" s="2"/>
      <c r="G92" s="2"/>
      <c r="H92" s="23" t="n">
        <f aca="false">H48*IF(AND($C48="Assured",H$45&gt;=$C$25),$C$24,INDEX(Assumptions!$D$44:$D$46,MATCH($C48,Assumptions!$A$44:$A$46,0)))</f>
        <v>23625</v>
      </c>
      <c r="I92" s="23" t="n">
        <f aca="false">I48*IF(AND($C48="Assured",I$45&gt;=$C$25),$C$24,INDEX(Assumptions!$D$44:$D$46,MATCH($C48,Assumptions!$A$44:$A$46,0)))</f>
        <v>24750</v>
      </c>
      <c r="J92" s="23" t="n">
        <f aca="false">J48*IF(AND($C48="Assured",J$45&gt;=$C$25),$C$24,INDEX(Assumptions!$D$44:$D$46,MATCH($C48,Assumptions!$A$44:$A$46,0)))</f>
        <v>25875</v>
      </c>
      <c r="K92" s="23" t="n">
        <f aca="false">K48*IF(AND($C48="Assured",K$45&gt;=$C$25),$C$24,INDEX(Assumptions!$D$44:$D$46,MATCH($C48,Assumptions!$A$44:$A$46,0)))</f>
        <v>27000</v>
      </c>
      <c r="L92" s="23" t="n">
        <f aca="false">L48*IF(AND($C48="Assured",L$45&gt;=$C$25),$C$24,INDEX(Assumptions!$D$44:$D$46,MATCH($C48,Assumptions!$A$44:$A$46,0)))</f>
        <v>27000</v>
      </c>
      <c r="M92" s="23" t="n">
        <f aca="false">M48*IF(AND($C48="Assured",M$45&gt;=$C$25),$C$24,INDEX(Assumptions!$D$44:$D$46,MATCH($C48,Assumptions!$A$44:$A$46,0)))</f>
        <v>27000</v>
      </c>
      <c r="N92" s="23" t="n">
        <f aca="false">N48*IF(AND($C48="Assured",N$45&gt;=$C$25),$C$24,INDEX(Assumptions!$D$44:$D$46,MATCH($C48,Assumptions!$A$44:$A$46,0)))</f>
        <v>27000</v>
      </c>
      <c r="O92" s="23" t="n">
        <f aca="false">O48*IF(AND($C48="Assured",O$45&gt;=$C$25),$C$24,INDEX(Assumptions!$D$44:$D$46,MATCH($C48,Assumptions!$A$44:$A$46,0)))</f>
        <v>27000</v>
      </c>
      <c r="P92" s="23" t="n">
        <f aca="false">P48*IF(AND($C48="Assured",P$45&gt;=$C$25),$C$24,INDEX(Assumptions!$D$44:$D$46,MATCH($C48,Assumptions!$A$44:$A$46,0)))</f>
        <v>27000</v>
      </c>
      <c r="Q92" s="23" t="n">
        <f aca="false">Q48*IF(AND($C48="Assured",Q$45&gt;=$C$25),$C$24,INDEX(Assumptions!$D$44:$D$46,MATCH($C48,Assumptions!$A$44:$A$46,0)))</f>
        <v>24000</v>
      </c>
      <c r="R92" s="23" t="n">
        <f aca="false">R48*IF(AND($C48="Assured",R$45&gt;=$C$25),$C$24,INDEX(Assumptions!$D$44:$D$46,MATCH($C48,Assumptions!$A$44:$A$46,0)))</f>
        <v>24000</v>
      </c>
      <c r="S92" s="23" t="n">
        <f aca="false">S48*IF(AND($C48="Assured",S$45&gt;=$C$25),$C$24,INDEX(Assumptions!$D$44:$D$46,MATCH($C48,Assumptions!$A$44:$A$46,0)))</f>
        <v>24000</v>
      </c>
      <c r="T92" s="23" t="n">
        <f aca="false">T48*IF(AND($C48="Assured",T$45&gt;=$C$25),$C$24,INDEX(Assumptions!$D$44:$D$46,MATCH($C48,Assumptions!$A$44:$A$46,0)))</f>
        <v>24000</v>
      </c>
      <c r="U92" s="23" t="n">
        <f aca="false">U48*IF(AND($C48="Assured",U$45&gt;=$C$25),$C$24,INDEX(Assumptions!$D$44:$D$46,MATCH($C48,Assumptions!$A$44:$A$46,0)))</f>
        <v>24000</v>
      </c>
      <c r="V92" s="23" t="n">
        <f aca="false">V48*IF(AND($C48="Assured",V$45&gt;=$C$25),$C$24,INDEX(Assumptions!$D$44:$D$46,MATCH($C48,Assumptions!$A$44:$A$46,0)))</f>
        <v>24000</v>
      </c>
      <c r="W92" s="23" t="n">
        <f aca="false">W48*IF(AND($C48="Assured",W$45&gt;=$C$25),$C$24,INDEX(Assumptions!$D$44:$D$46,MATCH($C48,Assumptions!$A$44:$A$46,0)))</f>
        <v>24000</v>
      </c>
      <c r="X92" s="23" t="n">
        <f aca="false">X48*IF(AND($C48="Assured",X$45&gt;=$C$25),$C$24,INDEX(Assumptions!$D$44:$D$46,MATCH($C48,Assumptions!$A$44:$A$46,0)))</f>
        <v>24000</v>
      </c>
      <c r="Y92" s="23" t="n">
        <f aca="false">Y48*IF(AND($C48="Assured",Y$45&gt;=$C$25),$C$24,INDEX(Assumptions!$D$44:$D$46,MATCH($C48,Assumptions!$A$44:$A$46,0)))</f>
        <v>24000</v>
      </c>
    </row>
    <row r="93" customFormat="false" ht="15" hidden="false" customHeight="false" outlineLevel="0" collapsed="false">
      <c r="A93" s="2" t="n">
        <f aca="false">A49</f>
        <v>2</v>
      </c>
      <c r="B93" s="2" t="str">
        <f aca="false">B49</f>
        <v>Pilot</v>
      </c>
      <c r="C93" s="2" t="str">
        <f aca="false">C49</f>
        <v>Assured</v>
      </c>
      <c r="D93" s="2"/>
      <c r="E93" s="2"/>
      <c r="F93" s="2"/>
      <c r="G93" s="2"/>
      <c r="H93" s="23" t="n">
        <f aca="false">H49*IF(AND($C49="Assured",H$45&gt;=$C$25),$C$24,INDEX(Assumptions!$D$44:$D$46,MATCH($C49,Assumptions!$A$44:$A$46,0)))</f>
        <v>23625</v>
      </c>
      <c r="I93" s="23" t="n">
        <f aca="false">I49*IF(AND($C49="Assured",I$45&gt;=$C$25),$C$24,INDEX(Assumptions!$D$44:$D$46,MATCH($C49,Assumptions!$A$44:$A$46,0)))</f>
        <v>24750</v>
      </c>
      <c r="J93" s="23" t="n">
        <f aca="false">J49*IF(AND($C49="Assured",J$45&gt;=$C$25),$C$24,INDEX(Assumptions!$D$44:$D$46,MATCH($C49,Assumptions!$A$44:$A$46,0)))</f>
        <v>25875</v>
      </c>
      <c r="K93" s="23" t="n">
        <f aca="false">K49*IF(AND($C49="Assured",K$45&gt;=$C$25),$C$24,INDEX(Assumptions!$D$44:$D$46,MATCH($C49,Assumptions!$A$44:$A$46,0)))</f>
        <v>27000</v>
      </c>
      <c r="L93" s="23" t="n">
        <f aca="false">L49*IF(AND($C49="Assured",L$45&gt;=$C$25),$C$24,INDEX(Assumptions!$D$44:$D$46,MATCH($C49,Assumptions!$A$44:$A$46,0)))</f>
        <v>27000</v>
      </c>
      <c r="M93" s="23" t="n">
        <f aca="false">M49*IF(AND($C49="Assured",M$45&gt;=$C$25),$C$24,INDEX(Assumptions!$D$44:$D$46,MATCH($C49,Assumptions!$A$44:$A$46,0)))</f>
        <v>27000</v>
      </c>
      <c r="N93" s="23" t="n">
        <f aca="false">N49*IF(AND($C49="Assured",N$45&gt;=$C$25),$C$24,INDEX(Assumptions!$D$44:$D$46,MATCH($C49,Assumptions!$A$44:$A$46,0)))</f>
        <v>27000</v>
      </c>
      <c r="O93" s="23" t="n">
        <f aca="false">O49*IF(AND($C49="Assured",O$45&gt;=$C$25),$C$24,INDEX(Assumptions!$D$44:$D$46,MATCH($C49,Assumptions!$A$44:$A$46,0)))</f>
        <v>27000</v>
      </c>
      <c r="P93" s="23" t="n">
        <f aca="false">P49*IF(AND($C49="Assured",P$45&gt;=$C$25),$C$24,INDEX(Assumptions!$D$44:$D$46,MATCH($C49,Assumptions!$A$44:$A$46,0)))</f>
        <v>27000</v>
      </c>
      <c r="Q93" s="23" t="n">
        <f aca="false">Q49*IF(AND($C49="Assured",Q$45&gt;=$C$25),$C$24,INDEX(Assumptions!$D$44:$D$46,MATCH($C49,Assumptions!$A$44:$A$46,0)))</f>
        <v>24000</v>
      </c>
      <c r="R93" s="23" t="n">
        <f aca="false">R49*IF(AND($C49="Assured",R$45&gt;=$C$25),$C$24,INDEX(Assumptions!$D$44:$D$46,MATCH($C49,Assumptions!$A$44:$A$46,0)))</f>
        <v>24000</v>
      </c>
      <c r="S93" s="23" t="n">
        <f aca="false">S49*IF(AND($C49="Assured",S$45&gt;=$C$25),$C$24,INDEX(Assumptions!$D$44:$D$46,MATCH($C49,Assumptions!$A$44:$A$46,0)))</f>
        <v>24000</v>
      </c>
      <c r="T93" s="23" t="n">
        <f aca="false">T49*IF(AND($C49="Assured",T$45&gt;=$C$25),$C$24,INDEX(Assumptions!$D$44:$D$46,MATCH($C49,Assumptions!$A$44:$A$46,0)))</f>
        <v>24000</v>
      </c>
      <c r="U93" s="23" t="n">
        <f aca="false">U49*IF(AND($C49="Assured",U$45&gt;=$C$25),$C$24,INDEX(Assumptions!$D$44:$D$46,MATCH($C49,Assumptions!$A$44:$A$46,0)))</f>
        <v>24000</v>
      </c>
      <c r="V93" s="23" t="n">
        <f aca="false">V49*IF(AND($C49="Assured",V$45&gt;=$C$25),$C$24,INDEX(Assumptions!$D$44:$D$46,MATCH($C49,Assumptions!$A$44:$A$46,0)))</f>
        <v>24000</v>
      </c>
      <c r="W93" s="23" t="n">
        <f aca="false">W49*IF(AND($C49="Assured",W$45&gt;=$C$25),$C$24,INDEX(Assumptions!$D$44:$D$46,MATCH($C49,Assumptions!$A$44:$A$46,0)))</f>
        <v>24000</v>
      </c>
      <c r="X93" s="23" t="n">
        <f aca="false">X49*IF(AND($C49="Assured",X$45&gt;=$C$25),$C$24,INDEX(Assumptions!$D$44:$D$46,MATCH($C49,Assumptions!$A$44:$A$46,0)))</f>
        <v>24000</v>
      </c>
      <c r="Y93" s="23" t="n">
        <f aca="false">Y49*IF(AND($C49="Assured",Y$45&gt;=$C$25),$C$24,INDEX(Assumptions!$D$44:$D$46,MATCH($C49,Assumptions!$A$44:$A$46,0)))</f>
        <v>24000</v>
      </c>
    </row>
    <row r="94" customFormat="false" ht="15" hidden="false" customHeight="false" outlineLevel="0" collapsed="false">
      <c r="A94" s="2" t="n">
        <f aca="false">A50</f>
        <v>3</v>
      </c>
      <c r="B94" s="2" t="str">
        <f aca="false">B50</f>
        <v>Pilot</v>
      </c>
      <c r="C94" s="2" t="str">
        <f aca="false">C50</f>
        <v>Assured</v>
      </c>
      <c r="D94" s="2"/>
      <c r="E94" s="2"/>
      <c r="F94" s="2"/>
      <c r="G94" s="2"/>
      <c r="H94" s="23" t="n">
        <f aca="false">H50*IF(AND($C50="Assured",H$45&gt;=$C$25),$C$24,INDEX(Assumptions!$D$44:$D$46,MATCH($C50,Assumptions!$A$44:$A$46,0)))</f>
        <v>23625</v>
      </c>
      <c r="I94" s="23" t="n">
        <f aca="false">I50*IF(AND($C50="Assured",I$45&gt;=$C$25),$C$24,INDEX(Assumptions!$D$44:$D$46,MATCH($C50,Assumptions!$A$44:$A$46,0)))</f>
        <v>24750</v>
      </c>
      <c r="J94" s="23" t="n">
        <f aca="false">J50*IF(AND($C50="Assured",J$45&gt;=$C$25),$C$24,INDEX(Assumptions!$D$44:$D$46,MATCH($C50,Assumptions!$A$44:$A$46,0)))</f>
        <v>25875</v>
      </c>
      <c r="K94" s="23" t="n">
        <f aca="false">K50*IF(AND($C50="Assured",K$45&gt;=$C$25),$C$24,INDEX(Assumptions!$D$44:$D$46,MATCH($C50,Assumptions!$A$44:$A$46,0)))</f>
        <v>27000</v>
      </c>
      <c r="L94" s="23" t="n">
        <f aca="false">L50*IF(AND($C50="Assured",L$45&gt;=$C$25),$C$24,INDEX(Assumptions!$D$44:$D$46,MATCH($C50,Assumptions!$A$44:$A$46,0)))</f>
        <v>27000</v>
      </c>
      <c r="M94" s="23" t="n">
        <f aca="false">M50*IF(AND($C50="Assured",M$45&gt;=$C$25),$C$24,INDEX(Assumptions!$D$44:$D$46,MATCH($C50,Assumptions!$A$44:$A$46,0)))</f>
        <v>27000</v>
      </c>
      <c r="N94" s="23" t="n">
        <f aca="false">N50*IF(AND($C50="Assured",N$45&gt;=$C$25),$C$24,INDEX(Assumptions!$D$44:$D$46,MATCH($C50,Assumptions!$A$44:$A$46,0)))</f>
        <v>27000</v>
      </c>
      <c r="O94" s="23" t="n">
        <f aca="false">O50*IF(AND($C50="Assured",O$45&gt;=$C$25),$C$24,INDEX(Assumptions!$D$44:$D$46,MATCH($C50,Assumptions!$A$44:$A$46,0)))</f>
        <v>27000</v>
      </c>
      <c r="P94" s="23" t="n">
        <f aca="false">P50*IF(AND($C50="Assured",P$45&gt;=$C$25),$C$24,INDEX(Assumptions!$D$44:$D$46,MATCH($C50,Assumptions!$A$44:$A$46,0)))</f>
        <v>27000</v>
      </c>
      <c r="Q94" s="23" t="n">
        <f aca="false">Q50*IF(AND($C50="Assured",Q$45&gt;=$C$25),$C$24,INDEX(Assumptions!$D$44:$D$46,MATCH($C50,Assumptions!$A$44:$A$46,0)))</f>
        <v>24000</v>
      </c>
      <c r="R94" s="23" t="n">
        <f aca="false">R50*IF(AND($C50="Assured",R$45&gt;=$C$25),$C$24,INDEX(Assumptions!$D$44:$D$46,MATCH($C50,Assumptions!$A$44:$A$46,0)))</f>
        <v>24000</v>
      </c>
      <c r="S94" s="23" t="n">
        <f aca="false">S50*IF(AND($C50="Assured",S$45&gt;=$C$25),$C$24,INDEX(Assumptions!$D$44:$D$46,MATCH($C50,Assumptions!$A$44:$A$46,0)))</f>
        <v>24000</v>
      </c>
      <c r="T94" s="23" t="n">
        <f aca="false">T50*IF(AND($C50="Assured",T$45&gt;=$C$25),$C$24,INDEX(Assumptions!$D$44:$D$46,MATCH($C50,Assumptions!$A$44:$A$46,0)))</f>
        <v>24000</v>
      </c>
      <c r="U94" s="23" t="n">
        <f aca="false">U50*IF(AND($C50="Assured",U$45&gt;=$C$25),$C$24,INDEX(Assumptions!$D$44:$D$46,MATCH($C50,Assumptions!$A$44:$A$46,0)))</f>
        <v>24000</v>
      </c>
      <c r="V94" s="23" t="n">
        <f aca="false">V50*IF(AND($C50="Assured",V$45&gt;=$C$25),$C$24,INDEX(Assumptions!$D$44:$D$46,MATCH($C50,Assumptions!$A$44:$A$46,0)))</f>
        <v>24000</v>
      </c>
      <c r="W94" s="23" t="n">
        <f aca="false">W50*IF(AND($C50="Assured",W$45&gt;=$C$25),$C$24,INDEX(Assumptions!$D$44:$D$46,MATCH($C50,Assumptions!$A$44:$A$46,0)))</f>
        <v>24000</v>
      </c>
      <c r="X94" s="23" t="n">
        <f aca="false">X50*IF(AND($C50="Assured",X$45&gt;=$C$25),$C$24,INDEX(Assumptions!$D$44:$D$46,MATCH($C50,Assumptions!$A$44:$A$46,0)))</f>
        <v>24000</v>
      </c>
      <c r="Y94" s="23" t="n">
        <f aca="false">Y50*IF(AND($C50="Assured",Y$45&gt;=$C$25),$C$24,INDEX(Assumptions!$D$44:$D$46,MATCH($C50,Assumptions!$A$44:$A$46,0)))</f>
        <v>24000</v>
      </c>
    </row>
    <row r="95" customFormat="false" ht="15" hidden="false" customHeight="false" outlineLevel="0" collapsed="false">
      <c r="A95" s="2" t="n">
        <f aca="false">A51</f>
        <v>4</v>
      </c>
      <c r="B95" s="2" t="str">
        <f aca="false">B51</f>
        <v>Pilot</v>
      </c>
      <c r="C95" s="2" t="str">
        <f aca="false">C51</f>
        <v>Assured</v>
      </c>
      <c r="D95" s="2"/>
      <c r="E95" s="2"/>
      <c r="F95" s="2"/>
      <c r="G95" s="2"/>
      <c r="H95" s="23" t="n">
        <f aca="false">H51*IF(AND($C51="Assured",H$45&gt;=$C$25),$C$24,INDEX(Assumptions!$D$44:$D$46,MATCH($C51,Assumptions!$A$44:$A$46,0)))</f>
        <v>23625</v>
      </c>
      <c r="I95" s="23" t="n">
        <f aca="false">I51*IF(AND($C51="Assured",I$45&gt;=$C$25),$C$24,INDEX(Assumptions!$D$44:$D$46,MATCH($C51,Assumptions!$A$44:$A$46,0)))</f>
        <v>24750</v>
      </c>
      <c r="J95" s="23" t="n">
        <f aca="false">J51*IF(AND($C51="Assured",J$45&gt;=$C$25),$C$24,INDEX(Assumptions!$D$44:$D$46,MATCH($C51,Assumptions!$A$44:$A$46,0)))</f>
        <v>25875</v>
      </c>
      <c r="K95" s="23" t="n">
        <f aca="false">K51*IF(AND($C51="Assured",K$45&gt;=$C$25),$C$24,INDEX(Assumptions!$D$44:$D$46,MATCH($C51,Assumptions!$A$44:$A$46,0)))</f>
        <v>27000</v>
      </c>
      <c r="L95" s="23" t="n">
        <f aca="false">L51*IF(AND($C51="Assured",L$45&gt;=$C$25),$C$24,INDEX(Assumptions!$D$44:$D$46,MATCH($C51,Assumptions!$A$44:$A$46,0)))</f>
        <v>27000</v>
      </c>
      <c r="M95" s="23" t="n">
        <f aca="false">M51*IF(AND($C51="Assured",M$45&gt;=$C$25),$C$24,INDEX(Assumptions!$D$44:$D$46,MATCH($C51,Assumptions!$A$44:$A$46,0)))</f>
        <v>27000</v>
      </c>
      <c r="N95" s="23" t="n">
        <f aca="false">N51*IF(AND($C51="Assured",N$45&gt;=$C$25),$C$24,INDEX(Assumptions!$D$44:$D$46,MATCH($C51,Assumptions!$A$44:$A$46,0)))</f>
        <v>27000</v>
      </c>
      <c r="O95" s="23" t="n">
        <f aca="false">O51*IF(AND($C51="Assured",O$45&gt;=$C$25),$C$24,INDEX(Assumptions!$D$44:$D$46,MATCH($C51,Assumptions!$A$44:$A$46,0)))</f>
        <v>27000</v>
      </c>
      <c r="P95" s="23" t="n">
        <f aca="false">P51*IF(AND($C51="Assured",P$45&gt;=$C$25),$C$24,INDEX(Assumptions!$D$44:$D$46,MATCH($C51,Assumptions!$A$44:$A$46,0)))</f>
        <v>27000</v>
      </c>
      <c r="Q95" s="23" t="n">
        <f aca="false">Q51*IF(AND($C51="Assured",Q$45&gt;=$C$25),$C$24,INDEX(Assumptions!$D$44:$D$46,MATCH($C51,Assumptions!$A$44:$A$46,0)))</f>
        <v>24000</v>
      </c>
      <c r="R95" s="23" t="n">
        <f aca="false">R51*IF(AND($C51="Assured",R$45&gt;=$C$25),$C$24,INDEX(Assumptions!$D$44:$D$46,MATCH($C51,Assumptions!$A$44:$A$46,0)))</f>
        <v>24000</v>
      </c>
      <c r="S95" s="23" t="n">
        <f aca="false">S51*IF(AND($C51="Assured",S$45&gt;=$C$25),$C$24,INDEX(Assumptions!$D$44:$D$46,MATCH($C51,Assumptions!$A$44:$A$46,0)))</f>
        <v>24000</v>
      </c>
      <c r="T95" s="23" t="n">
        <f aca="false">T51*IF(AND($C51="Assured",T$45&gt;=$C$25),$C$24,INDEX(Assumptions!$D$44:$D$46,MATCH($C51,Assumptions!$A$44:$A$46,0)))</f>
        <v>24000</v>
      </c>
      <c r="U95" s="23" t="n">
        <f aca="false">U51*IF(AND($C51="Assured",U$45&gt;=$C$25),$C$24,INDEX(Assumptions!$D$44:$D$46,MATCH($C51,Assumptions!$A$44:$A$46,0)))</f>
        <v>24000</v>
      </c>
      <c r="V95" s="23" t="n">
        <f aca="false">V51*IF(AND($C51="Assured",V$45&gt;=$C$25),$C$24,INDEX(Assumptions!$D$44:$D$46,MATCH($C51,Assumptions!$A$44:$A$46,0)))</f>
        <v>24000</v>
      </c>
      <c r="W95" s="23" t="n">
        <f aca="false">W51*IF(AND($C51="Assured",W$45&gt;=$C$25),$C$24,INDEX(Assumptions!$D$44:$D$46,MATCH($C51,Assumptions!$A$44:$A$46,0)))</f>
        <v>24000</v>
      </c>
      <c r="X95" s="23" t="n">
        <f aca="false">X51*IF(AND($C51="Assured",X$45&gt;=$C$25),$C$24,INDEX(Assumptions!$D$44:$D$46,MATCH($C51,Assumptions!$A$44:$A$46,0)))</f>
        <v>24000</v>
      </c>
      <c r="Y95" s="23" t="n">
        <f aca="false">Y51*IF(AND($C51="Assured",Y$45&gt;=$C$25),$C$24,INDEX(Assumptions!$D$44:$D$46,MATCH($C51,Assumptions!$A$44:$A$46,0)))</f>
        <v>24000</v>
      </c>
    </row>
    <row r="96" customFormat="false" ht="15" hidden="false" customHeight="false" outlineLevel="0" collapsed="false">
      <c r="A96" s="2" t="n">
        <f aca="false">A52</f>
        <v>5</v>
      </c>
      <c r="B96" s="2" t="str">
        <f aca="false">B52</f>
        <v>A</v>
      </c>
      <c r="C96" s="2" t="str">
        <f aca="false">C52</f>
        <v>Assured</v>
      </c>
      <c r="D96" s="2"/>
      <c r="E96" s="2"/>
      <c r="F96" s="2"/>
      <c r="G96" s="2"/>
      <c r="H96" s="23" t="n">
        <f aca="false">H52*IF(AND($C52="Assured",H$45&gt;=$C$25),$C$24,INDEX(Assumptions!$D$44:$D$46,MATCH($C52,Assumptions!$A$44:$A$46,0)))</f>
        <v>0</v>
      </c>
      <c r="I96" s="23" t="n">
        <f aca="false">I52*IF(AND($C52="Assured",I$45&gt;=$C$25),$C$24,INDEX(Assumptions!$D$44:$D$46,MATCH($C52,Assumptions!$A$44:$A$46,0)))</f>
        <v>0</v>
      </c>
      <c r="J96" s="23" t="n">
        <f aca="false">J52*IF(AND($C52="Assured",J$45&gt;=$C$25),$C$24,INDEX(Assumptions!$D$44:$D$46,MATCH($C52,Assumptions!$A$44:$A$46,0)))</f>
        <v>9720</v>
      </c>
      <c r="K96" s="23" t="n">
        <f aca="false">K52*IF(AND($C52="Assured",K$45&gt;=$C$25),$C$24,INDEX(Assumptions!$D$44:$D$46,MATCH($C52,Assumptions!$A$44:$A$46,0)))</f>
        <v>19440</v>
      </c>
      <c r="L96" s="23" t="n">
        <f aca="false">L52*IF(AND($C52="Assured",L$45&gt;=$C$25),$C$24,INDEX(Assumptions!$D$44:$D$46,MATCH($C52,Assumptions!$A$44:$A$46,0)))</f>
        <v>27540</v>
      </c>
      <c r="M96" s="23" t="n">
        <f aca="false">M52*IF(AND($C52="Assured",M$45&gt;=$C$25),$C$24,INDEX(Assumptions!$D$44:$D$46,MATCH($C52,Assumptions!$A$44:$A$46,0)))</f>
        <v>32400</v>
      </c>
      <c r="N96" s="23" t="n">
        <f aca="false">N52*IF(AND($C52="Assured",N$45&gt;=$C$25),$C$24,INDEX(Assumptions!$D$44:$D$46,MATCH($C52,Assumptions!$A$44:$A$46,0)))</f>
        <v>32400</v>
      </c>
      <c r="O96" s="23" t="n">
        <f aca="false">O52*IF(AND($C52="Assured",O$45&gt;=$C$25),$C$24,INDEX(Assumptions!$D$44:$D$46,MATCH($C52,Assumptions!$A$44:$A$46,0)))</f>
        <v>32400</v>
      </c>
      <c r="P96" s="23" t="n">
        <f aca="false">P52*IF(AND($C52="Assured",P$45&gt;=$C$25),$C$24,INDEX(Assumptions!$D$44:$D$46,MATCH($C52,Assumptions!$A$44:$A$46,0)))</f>
        <v>32400</v>
      </c>
      <c r="Q96" s="23" t="n">
        <f aca="false">Q52*IF(AND($C52="Assured",Q$45&gt;=$C$25),$C$24,INDEX(Assumptions!$D$44:$D$46,MATCH($C52,Assumptions!$A$44:$A$46,0)))</f>
        <v>28800</v>
      </c>
      <c r="R96" s="23" t="n">
        <f aca="false">R52*IF(AND($C52="Assured",R$45&gt;=$C$25),$C$24,INDEX(Assumptions!$D$44:$D$46,MATCH($C52,Assumptions!$A$44:$A$46,0)))</f>
        <v>28800</v>
      </c>
      <c r="S96" s="23" t="n">
        <f aca="false">S52*IF(AND($C52="Assured",S$45&gt;=$C$25),$C$24,INDEX(Assumptions!$D$44:$D$46,MATCH($C52,Assumptions!$A$44:$A$46,0)))</f>
        <v>28800</v>
      </c>
      <c r="T96" s="23" t="n">
        <f aca="false">T52*IF(AND($C52="Assured",T$45&gt;=$C$25),$C$24,INDEX(Assumptions!$D$44:$D$46,MATCH($C52,Assumptions!$A$44:$A$46,0)))</f>
        <v>28800</v>
      </c>
      <c r="U96" s="23" t="n">
        <f aca="false">U52*IF(AND($C52="Assured",U$45&gt;=$C$25),$C$24,INDEX(Assumptions!$D$44:$D$46,MATCH($C52,Assumptions!$A$44:$A$46,0)))</f>
        <v>28800</v>
      </c>
      <c r="V96" s="23" t="n">
        <f aca="false">V52*IF(AND($C52="Assured",V$45&gt;=$C$25),$C$24,INDEX(Assumptions!$D$44:$D$46,MATCH($C52,Assumptions!$A$44:$A$46,0)))</f>
        <v>28800</v>
      </c>
      <c r="W96" s="23" t="n">
        <f aca="false">W52*IF(AND($C52="Assured",W$45&gt;=$C$25),$C$24,INDEX(Assumptions!$D$44:$D$46,MATCH($C52,Assumptions!$A$44:$A$46,0)))</f>
        <v>28800</v>
      </c>
      <c r="X96" s="23" t="n">
        <f aca="false">X52*IF(AND($C52="Assured",X$45&gt;=$C$25),$C$24,INDEX(Assumptions!$D$44:$D$46,MATCH($C52,Assumptions!$A$44:$A$46,0)))</f>
        <v>28800</v>
      </c>
      <c r="Y96" s="23" t="n">
        <f aca="false">Y52*IF(AND($C52="Assured",Y$45&gt;=$C$25),$C$24,INDEX(Assumptions!$D$44:$D$46,MATCH($C52,Assumptions!$A$44:$A$46,0)))</f>
        <v>28800</v>
      </c>
    </row>
    <row r="97" customFormat="false" ht="15" hidden="false" customHeight="false" outlineLevel="0" collapsed="false">
      <c r="A97" s="2" t="n">
        <f aca="false">A53</f>
        <v>6</v>
      </c>
      <c r="B97" s="2" t="str">
        <f aca="false">B53</f>
        <v>A</v>
      </c>
      <c r="C97" s="2" t="str">
        <f aca="false">C53</f>
        <v>Assured</v>
      </c>
      <c r="D97" s="2"/>
      <c r="E97" s="2"/>
      <c r="F97" s="2"/>
      <c r="G97" s="2"/>
      <c r="H97" s="23" t="n">
        <f aca="false">H53*IF(AND($C53="Assured",H$45&gt;=$C$25),$C$24,INDEX(Assumptions!$D$44:$D$46,MATCH($C53,Assumptions!$A$44:$A$46,0)))</f>
        <v>0</v>
      </c>
      <c r="I97" s="23" t="n">
        <f aca="false">I53*IF(AND($C53="Assured",I$45&gt;=$C$25),$C$24,INDEX(Assumptions!$D$44:$D$46,MATCH($C53,Assumptions!$A$44:$A$46,0)))</f>
        <v>0</v>
      </c>
      <c r="J97" s="23" t="n">
        <f aca="false">J53*IF(AND($C53="Assured",J$45&gt;=$C$25),$C$24,INDEX(Assumptions!$D$44:$D$46,MATCH($C53,Assumptions!$A$44:$A$46,0)))</f>
        <v>9720</v>
      </c>
      <c r="K97" s="23" t="n">
        <f aca="false">K53*IF(AND($C53="Assured",K$45&gt;=$C$25),$C$24,INDEX(Assumptions!$D$44:$D$46,MATCH($C53,Assumptions!$A$44:$A$46,0)))</f>
        <v>19440</v>
      </c>
      <c r="L97" s="23" t="n">
        <f aca="false">L53*IF(AND($C53="Assured",L$45&gt;=$C$25),$C$24,INDEX(Assumptions!$D$44:$D$46,MATCH($C53,Assumptions!$A$44:$A$46,0)))</f>
        <v>27540</v>
      </c>
      <c r="M97" s="23" t="n">
        <f aca="false">M53*IF(AND($C53="Assured",M$45&gt;=$C$25),$C$24,INDEX(Assumptions!$D$44:$D$46,MATCH($C53,Assumptions!$A$44:$A$46,0)))</f>
        <v>32400</v>
      </c>
      <c r="N97" s="23" t="n">
        <f aca="false">N53*IF(AND($C53="Assured",N$45&gt;=$C$25),$C$24,INDEX(Assumptions!$D$44:$D$46,MATCH($C53,Assumptions!$A$44:$A$46,0)))</f>
        <v>32400</v>
      </c>
      <c r="O97" s="23" t="n">
        <f aca="false">O53*IF(AND($C53="Assured",O$45&gt;=$C$25),$C$24,INDEX(Assumptions!$D$44:$D$46,MATCH($C53,Assumptions!$A$44:$A$46,0)))</f>
        <v>32400</v>
      </c>
      <c r="P97" s="23" t="n">
        <f aca="false">P53*IF(AND($C53="Assured",P$45&gt;=$C$25),$C$24,INDEX(Assumptions!$D$44:$D$46,MATCH($C53,Assumptions!$A$44:$A$46,0)))</f>
        <v>32400</v>
      </c>
      <c r="Q97" s="23" t="n">
        <f aca="false">Q53*IF(AND($C53="Assured",Q$45&gt;=$C$25),$C$24,INDEX(Assumptions!$D$44:$D$46,MATCH($C53,Assumptions!$A$44:$A$46,0)))</f>
        <v>28800</v>
      </c>
      <c r="R97" s="23" t="n">
        <f aca="false">R53*IF(AND($C53="Assured",R$45&gt;=$C$25),$C$24,INDEX(Assumptions!$D$44:$D$46,MATCH($C53,Assumptions!$A$44:$A$46,0)))</f>
        <v>28800</v>
      </c>
      <c r="S97" s="23" t="n">
        <f aca="false">S53*IF(AND($C53="Assured",S$45&gt;=$C$25),$C$24,INDEX(Assumptions!$D$44:$D$46,MATCH($C53,Assumptions!$A$44:$A$46,0)))</f>
        <v>28800</v>
      </c>
      <c r="T97" s="23" t="n">
        <f aca="false">T53*IF(AND($C53="Assured",T$45&gt;=$C$25),$C$24,INDEX(Assumptions!$D$44:$D$46,MATCH($C53,Assumptions!$A$44:$A$46,0)))</f>
        <v>28800</v>
      </c>
      <c r="U97" s="23" t="n">
        <f aca="false">U53*IF(AND($C53="Assured",U$45&gt;=$C$25),$C$24,INDEX(Assumptions!$D$44:$D$46,MATCH($C53,Assumptions!$A$44:$A$46,0)))</f>
        <v>28800</v>
      </c>
      <c r="V97" s="23" t="n">
        <f aca="false">V53*IF(AND($C53="Assured",V$45&gt;=$C$25),$C$24,INDEX(Assumptions!$D$44:$D$46,MATCH($C53,Assumptions!$A$44:$A$46,0)))</f>
        <v>28800</v>
      </c>
      <c r="W97" s="23" t="n">
        <f aca="false">W53*IF(AND($C53="Assured",W$45&gt;=$C$25),$C$24,INDEX(Assumptions!$D$44:$D$46,MATCH($C53,Assumptions!$A$44:$A$46,0)))</f>
        <v>28800</v>
      </c>
      <c r="X97" s="23" t="n">
        <f aca="false">X53*IF(AND($C53="Assured",X$45&gt;=$C$25),$C$24,INDEX(Assumptions!$D$44:$D$46,MATCH($C53,Assumptions!$A$44:$A$46,0)))</f>
        <v>28800</v>
      </c>
      <c r="Y97" s="23" t="n">
        <f aca="false">Y53*IF(AND($C53="Assured",Y$45&gt;=$C$25),$C$24,INDEX(Assumptions!$D$44:$D$46,MATCH($C53,Assumptions!$A$44:$A$46,0)))</f>
        <v>28800</v>
      </c>
    </row>
    <row r="98" customFormat="false" ht="15" hidden="false" customHeight="false" outlineLevel="0" collapsed="false">
      <c r="A98" s="2" t="n">
        <f aca="false">A54</f>
        <v>7</v>
      </c>
      <c r="B98" s="2" t="str">
        <f aca="false">B54</f>
        <v>A</v>
      </c>
      <c r="C98" s="2" t="str">
        <f aca="false">C54</f>
        <v>Assured</v>
      </c>
      <c r="D98" s="2"/>
      <c r="E98" s="2"/>
      <c r="F98" s="2"/>
      <c r="G98" s="2"/>
      <c r="H98" s="23" t="n">
        <f aca="false">H54*IF(AND($C54="Assured",H$45&gt;=$C$25),$C$24,INDEX(Assumptions!$D$44:$D$46,MATCH($C54,Assumptions!$A$44:$A$46,0)))</f>
        <v>0</v>
      </c>
      <c r="I98" s="23" t="n">
        <f aca="false">I54*IF(AND($C54="Assured",I$45&gt;=$C$25),$C$24,INDEX(Assumptions!$D$44:$D$46,MATCH($C54,Assumptions!$A$44:$A$46,0)))</f>
        <v>0</v>
      </c>
      <c r="J98" s="23" t="n">
        <f aca="false">J54*IF(AND($C54="Assured",J$45&gt;=$C$25),$C$24,INDEX(Assumptions!$D$44:$D$46,MATCH($C54,Assumptions!$A$44:$A$46,0)))</f>
        <v>0</v>
      </c>
      <c r="K98" s="23" t="n">
        <f aca="false">K54*IF(AND($C54="Assured",K$45&gt;=$C$25),$C$24,INDEX(Assumptions!$D$44:$D$46,MATCH($C54,Assumptions!$A$44:$A$46,0)))</f>
        <v>9720</v>
      </c>
      <c r="L98" s="23" t="n">
        <f aca="false">L54*IF(AND($C54="Assured",L$45&gt;=$C$25),$C$24,INDEX(Assumptions!$D$44:$D$46,MATCH($C54,Assumptions!$A$44:$A$46,0)))</f>
        <v>19440</v>
      </c>
      <c r="M98" s="23" t="n">
        <f aca="false">M54*IF(AND($C54="Assured",M$45&gt;=$C$25),$C$24,INDEX(Assumptions!$D$44:$D$46,MATCH($C54,Assumptions!$A$44:$A$46,0)))</f>
        <v>27540</v>
      </c>
      <c r="N98" s="23" t="n">
        <f aca="false">N54*IF(AND($C54="Assured",N$45&gt;=$C$25),$C$24,INDEX(Assumptions!$D$44:$D$46,MATCH($C54,Assumptions!$A$44:$A$46,0)))</f>
        <v>32400</v>
      </c>
      <c r="O98" s="23" t="n">
        <f aca="false">O54*IF(AND($C54="Assured",O$45&gt;=$C$25),$C$24,INDEX(Assumptions!$D$44:$D$46,MATCH($C54,Assumptions!$A$44:$A$46,0)))</f>
        <v>32400</v>
      </c>
      <c r="P98" s="23" t="n">
        <f aca="false">P54*IF(AND($C54="Assured",P$45&gt;=$C$25),$C$24,INDEX(Assumptions!$D$44:$D$46,MATCH($C54,Assumptions!$A$44:$A$46,0)))</f>
        <v>32400</v>
      </c>
      <c r="Q98" s="23" t="n">
        <f aca="false">Q54*IF(AND($C54="Assured",Q$45&gt;=$C$25),$C$24,INDEX(Assumptions!$D$44:$D$46,MATCH($C54,Assumptions!$A$44:$A$46,0)))</f>
        <v>28800</v>
      </c>
      <c r="R98" s="23" t="n">
        <f aca="false">R54*IF(AND($C54="Assured",R$45&gt;=$C$25),$C$24,INDEX(Assumptions!$D$44:$D$46,MATCH($C54,Assumptions!$A$44:$A$46,0)))</f>
        <v>28800</v>
      </c>
      <c r="S98" s="23" t="n">
        <f aca="false">S54*IF(AND($C54="Assured",S$45&gt;=$C$25),$C$24,INDEX(Assumptions!$D$44:$D$46,MATCH($C54,Assumptions!$A$44:$A$46,0)))</f>
        <v>28800</v>
      </c>
      <c r="T98" s="23" t="n">
        <f aca="false">T54*IF(AND($C54="Assured",T$45&gt;=$C$25),$C$24,INDEX(Assumptions!$D$44:$D$46,MATCH($C54,Assumptions!$A$44:$A$46,0)))</f>
        <v>28800</v>
      </c>
      <c r="U98" s="23" t="n">
        <f aca="false">U54*IF(AND($C54="Assured",U$45&gt;=$C$25),$C$24,INDEX(Assumptions!$D$44:$D$46,MATCH($C54,Assumptions!$A$44:$A$46,0)))</f>
        <v>28800</v>
      </c>
      <c r="V98" s="23" t="n">
        <f aca="false">V54*IF(AND($C54="Assured",V$45&gt;=$C$25),$C$24,INDEX(Assumptions!$D$44:$D$46,MATCH($C54,Assumptions!$A$44:$A$46,0)))</f>
        <v>28800</v>
      </c>
      <c r="W98" s="23" t="n">
        <f aca="false">W54*IF(AND($C54="Assured",W$45&gt;=$C$25),$C$24,INDEX(Assumptions!$D$44:$D$46,MATCH($C54,Assumptions!$A$44:$A$46,0)))</f>
        <v>28800</v>
      </c>
      <c r="X98" s="23" t="n">
        <f aca="false">X54*IF(AND($C54="Assured",X$45&gt;=$C$25),$C$24,INDEX(Assumptions!$D$44:$D$46,MATCH($C54,Assumptions!$A$44:$A$46,0)))</f>
        <v>28800</v>
      </c>
      <c r="Y98" s="23" t="n">
        <f aca="false">Y54*IF(AND($C54="Assured",Y$45&gt;=$C$25),$C$24,INDEX(Assumptions!$D$44:$D$46,MATCH($C54,Assumptions!$A$44:$A$46,0)))</f>
        <v>28800</v>
      </c>
    </row>
    <row r="99" customFormat="false" ht="15" hidden="false" customHeight="false" outlineLevel="0" collapsed="false">
      <c r="A99" s="2" t="n">
        <f aca="false">A55</f>
        <v>8</v>
      </c>
      <c r="B99" s="2" t="str">
        <f aca="false">B55</f>
        <v>A</v>
      </c>
      <c r="C99" s="2" t="str">
        <f aca="false">C55</f>
        <v>Assured</v>
      </c>
      <c r="D99" s="2"/>
      <c r="E99" s="2"/>
      <c r="F99" s="2"/>
      <c r="G99" s="2"/>
      <c r="H99" s="23" t="n">
        <f aca="false">H55*IF(AND($C55="Assured",H$45&gt;=$C$25),$C$24,INDEX(Assumptions!$D$44:$D$46,MATCH($C55,Assumptions!$A$44:$A$46,0)))</f>
        <v>0</v>
      </c>
      <c r="I99" s="23" t="n">
        <f aca="false">I55*IF(AND($C55="Assured",I$45&gt;=$C$25),$C$24,INDEX(Assumptions!$D$44:$D$46,MATCH($C55,Assumptions!$A$44:$A$46,0)))</f>
        <v>0</v>
      </c>
      <c r="J99" s="23" t="n">
        <f aca="false">J55*IF(AND($C55="Assured",J$45&gt;=$C$25),$C$24,INDEX(Assumptions!$D$44:$D$46,MATCH($C55,Assumptions!$A$44:$A$46,0)))</f>
        <v>0</v>
      </c>
      <c r="K99" s="23" t="n">
        <f aca="false">K55*IF(AND($C55="Assured",K$45&gt;=$C$25),$C$24,INDEX(Assumptions!$D$44:$D$46,MATCH($C55,Assumptions!$A$44:$A$46,0)))</f>
        <v>9720</v>
      </c>
      <c r="L99" s="23" t="n">
        <f aca="false">L55*IF(AND($C55="Assured",L$45&gt;=$C$25),$C$24,INDEX(Assumptions!$D$44:$D$46,MATCH($C55,Assumptions!$A$44:$A$46,0)))</f>
        <v>19440</v>
      </c>
      <c r="M99" s="23" t="n">
        <f aca="false">M55*IF(AND($C55="Assured",M$45&gt;=$C$25),$C$24,INDEX(Assumptions!$D$44:$D$46,MATCH($C55,Assumptions!$A$44:$A$46,0)))</f>
        <v>27540</v>
      </c>
      <c r="N99" s="23" t="n">
        <f aca="false">N55*IF(AND($C55="Assured",N$45&gt;=$C$25),$C$24,INDEX(Assumptions!$D$44:$D$46,MATCH($C55,Assumptions!$A$44:$A$46,0)))</f>
        <v>32400</v>
      </c>
      <c r="O99" s="23" t="n">
        <f aca="false">O55*IF(AND($C55="Assured",O$45&gt;=$C$25),$C$24,INDEX(Assumptions!$D$44:$D$46,MATCH($C55,Assumptions!$A$44:$A$46,0)))</f>
        <v>32400</v>
      </c>
      <c r="P99" s="23" t="n">
        <f aca="false">P55*IF(AND($C55="Assured",P$45&gt;=$C$25),$C$24,INDEX(Assumptions!$D$44:$D$46,MATCH($C55,Assumptions!$A$44:$A$46,0)))</f>
        <v>32400</v>
      </c>
      <c r="Q99" s="23" t="n">
        <f aca="false">Q55*IF(AND($C55="Assured",Q$45&gt;=$C$25),$C$24,INDEX(Assumptions!$D$44:$D$46,MATCH($C55,Assumptions!$A$44:$A$46,0)))</f>
        <v>28800</v>
      </c>
      <c r="R99" s="23" t="n">
        <f aca="false">R55*IF(AND($C55="Assured",R$45&gt;=$C$25),$C$24,INDEX(Assumptions!$D$44:$D$46,MATCH($C55,Assumptions!$A$44:$A$46,0)))</f>
        <v>28800</v>
      </c>
      <c r="S99" s="23" t="n">
        <f aca="false">S55*IF(AND($C55="Assured",S$45&gt;=$C$25),$C$24,INDEX(Assumptions!$D$44:$D$46,MATCH($C55,Assumptions!$A$44:$A$46,0)))</f>
        <v>28800</v>
      </c>
      <c r="T99" s="23" t="n">
        <f aca="false">T55*IF(AND($C55="Assured",T$45&gt;=$C$25),$C$24,INDEX(Assumptions!$D$44:$D$46,MATCH($C55,Assumptions!$A$44:$A$46,0)))</f>
        <v>28800</v>
      </c>
      <c r="U99" s="23" t="n">
        <f aca="false">U55*IF(AND($C55="Assured",U$45&gt;=$C$25),$C$24,INDEX(Assumptions!$D$44:$D$46,MATCH($C55,Assumptions!$A$44:$A$46,0)))</f>
        <v>28800</v>
      </c>
      <c r="V99" s="23" t="n">
        <f aca="false">V55*IF(AND($C55="Assured",V$45&gt;=$C$25),$C$24,INDEX(Assumptions!$D$44:$D$46,MATCH($C55,Assumptions!$A$44:$A$46,0)))</f>
        <v>28800</v>
      </c>
      <c r="W99" s="23" t="n">
        <f aca="false">W55*IF(AND($C55="Assured",W$45&gt;=$C$25),$C$24,INDEX(Assumptions!$D$44:$D$46,MATCH($C55,Assumptions!$A$44:$A$46,0)))</f>
        <v>28800</v>
      </c>
      <c r="X99" s="23" t="n">
        <f aca="false">X55*IF(AND($C55="Assured",X$45&gt;=$C$25),$C$24,INDEX(Assumptions!$D$44:$D$46,MATCH($C55,Assumptions!$A$44:$A$46,0)))</f>
        <v>28800</v>
      </c>
      <c r="Y99" s="23" t="n">
        <f aca="false">Y55*IF(AND($C55="Assured",Y$45&gt;=$C$25),$C$24,INDEX(Assumptions!$D$44:$D$46,MATCH($C55,Assumptions!$A$44:$A$46,0)))</f>
        <v>28800</v>
      </c>
    </row>
    <row r="100" customFormat="false" ht="15" hidden="false" customHeight="false" outlineLevel="0" collapsed="false">
      <c r="A100" s="2" t="n">
        <f aca="false">A56</f>
        <v>9</v>
      </c>
      <c r="B100" s="2" t="str">
        <f aca="false">B56</f>
        <v>A</v>
      </c>
      <c r="C100" s="2" t="str">
        <f aca="false">C56</f>
        <v>Assured</v>
      </c>
      <c r="D100" s="2"/>
      <c r="E100" s="2"/>
      <c r="F100" s="2"/>
      <c r="G100" s="2"/>
      <c r="H100" s="23" t="n">
        <f aca="false">H56*IF(AND($C56="Assured",H$45&gt;=$C$25),$C$24,INDEX(Assumptions!$D$44:$D$46,MATCH($C56,Assumptions!$A$44:$A$46,0)))</f>
        <v>0</v>
      </c>
      <c r="I100" s="23" t="n">
        <f aca="false">I56*IF(AND($C56="Assured",I$45&gt;=$C$25),$C$24,INDEX(Assumptions!$D$44:$D$46,MATCH($C56,Assumptions!$A$44:$A$46,0)))</f>
        <v>0</v>
      </c>
      <c r="J100" s="23" t="n">
        <f aca="false">J56*IF(AND($C56="Assured",J$45&gt;=$C$25),$C$24,INDEX(Assumptions!$D$44:$D$46,MATCH($C56,Assumptions!$A$44:$A$46,0)))</f>
        <v>0</v>
      </c>
      <c r="K100" s="23" t="n">
        <f aca="false">K56*IF(AND($C56="Assured",K$45&gt;=$C$25),$C$24,INDEX(Assumptions!$D$44:$D$46,MATCH($C56,Assumptions!$A$44:$A$46,0)))</f>
        <v>0</v>
      </c>
      <c r="L100" s="23" t="n">
        <f aca="false">L56*IF(AND($C56="Assured",L$45&gt;=$C$25),$C$24,INDEX(Assumptions!$D$44:$D$46,MATCH($C56,Assumptions!$A$44:$A$46,0)))</f>
        <v>9720</v>
      </c>
      <c r="M100" s="23" t="n">
        <f aca="false">M56*IF(AND($C56="Assured",M$45&gt;=$C$25),$C$24,INDEX(Assumptions!$D$44:$D$46,MATCH($C56,Assumptions!$A$44:$A$46,0)))</f>
        <v>19440</v>
      </c>
      <c r="N100" s="23" t="n">
        <f aca="false">N56*IF(AND($C56="Assured",N$45&gt;=$C$25),$C$24,INDEX(Assumptions!$D$44:$D$46,MATCH($C56,Assumptions!$A$44:$A$46,0)))</f>
        <v>27540</v>
      </c>
      <c r="O100" s="23" t="n">
        <f aca="false">O56*IF(AND($C56="Assured",O$45&gt;=$C$25),$C$24,INDEX(Assumptions!$D$44:$D$46,MATCH($C56,Assumptions!$A$44:$A$46,0)))</f>
        <v>32400</v>
      </c>
      <c r="P100" s="23" t="n">
        <f aca="false">P56*IF(AND($C56="Assured",P$45&gt;=$C$25),$C$24,INDEX(Assumptions!$D$44:$D$46,MATCH($C56,Assumptions!$A$44:$A$46,0)))</f>
        <v>32400</v>
      </c>
      <c r="Q100" s="23" t="n">
        <f aca="false">Q56*IF(AND($C56="Assured",Q$45&gt;=$C$25),$C$24,INDEX(Assumptions!$D$44:$D$46,MATCH($C56,Assumptions!$A$44:$A$46,0)))</f>
        <v>28800</v>
      </c>
      <c r="R100" s="23" t="n">
        <f aca="false">R56*IF(AND($C56="Assured",R$45&gt;=$C$25),$C$24,INDEX(Assumptions!$D$44:$D$46,MATCH($C56,Assumptions!$A$44:$A$46,0)))</f>
        <v>28800</v>
      </c>
      <c r="S100" s="23" t="n">
        <f aca="false">S56*IF(AND($C56="Assured",S$45&gt;=$C$25),$C$24,INDEX(Assumptions!$D$44:$D$46,MATCH($C56,Assumptions!$A$44:$A$46,0)))</f>
        <v>28800</v>
      </c>
      <c r="T100" s="23" t="n">
        <f aca="false">T56*IF(AND($C56="Assured",T$45&gt;=$C$25),$C$24,INDEX(Assumptions!$D$44:$D$46,MATCH($C56,Assumptions!$A$44:$A$46,0)))</f>
        <v>28800</v>
      </c>
      <c r="U100" s="23" t="n">
        <f aca="false">U56*IF(AND($C56="Assured",U$45&gt;=$C$25),$C$24,INDEX(Assumptions!$D$44:$D$46,MATCH($C56,Assumptions!$A$44:$A$46,0)))</f>
        <v>28800</v>
      </c>
      <c r="V100" s="23" t="n">
        <f aca="false">V56*IF(AND($C56="Assured",V$45&gt;=$C$25),$C$24,INDEX(Assumptions!$D$44:$D$46,MATCH($C56,Assumptions!$A$44:$A$46,0)))</f>
        <v>28800</v>
      </c>
      <c r="W100" s="23" t="n">
        <f aca="false">W56*IF(AND($C56="Assured",W$45&gt;=$C$25),$C$24,INDEX(Assumptions!$D$44:$D$46,MATCH($C56,Assumptions!$A$44:$A$46,0)))</f>
        <v>28800</v>
      </c>
      <c r="X100" s="23" t="n">
        <f aca="false">X56*IF(AND($C56="Assured",X$45&gt;=$C$25),$C$24,INDEX(Assumptions!$D$44:$D$46,MATCH($C56,Assumptions!$A$44:$A$46,0)))</f>
        <v>28800</v>
      </c>
      <c r="Y100" s="23" t="n">
        <f aca="false">Y56*IF(AND($C56="Assured",Y$45&gt;=$C$25),$C$24,INDEX(Assumptions!$D$44:$D$46,MATCH($C56,Assumptions!$A$44:$A$46,0)))</f>
        <v>28800</v>
      </c>
    </row>
    <row r="101" customFormat="false" ht="15" hidden="false" customHeight="false" outlineLevel="0" collapsed="false">
      <c r="A101" s="2" t="n">
        <f aca="false">A57</f>
        <v>10</v>
      </c>
      <c r="B101" s="2" t="str">
        <f aca="false">B57</f>
        <v>C</v>
      </c>
      <c r="C101" s="2" t="str">
        <f aca="false">C57</f>
        <v>Assured</v>
      </c>
      <c r="D101" s="2"/>
      <c r="E101" s="2"/>
      <c r="F101" s="2"/>
      <c r="G101" s="2"/>
      <c r="H101" s="23" t="n">
        <f aca="false">H57*IF(AND($C57="Assured",H$45&gt;=$C$25),$C$24,INDEX(Assumptions!$D$44:$D$46,MATCH($C57,Assumptions!$A$44:$A$46,0)))</f>
        <v>0</v>
      </c>
      <c r="I101" s="23" t="n">
        <f aca="false">I57*IF(AND($C57="Assured",I$45&gt;=$C$25),$C$24,INDEX(Assumptions!$D$44:$D$46,MATCH($C57,Assumptions!$A$44:$A$46,0)))</f>
        <v>0</v>
      </c>
      <c r="J101" s="23" t="n">
        <f aca="false">J57*IF(AND($C57="Assured",J$45&gt;=$C$25),$C$24,INDEX(Assumptions!$D$44:$D$46,MATCH($C57,Assumptions!$A$44:$A$46,0)))</f>
        <v>0</v>
      </c>
      <c r="K101" s="23" t="n">
        <f aca="false">K57*IF(AND($C57="Assured",K$45&gt;=$C$25),$C$24,INDEX(Assumptions!$D$44:$D$46,MATCH($C57,Assumptions!$A$44:$A$46,0)))</f>
        <v>0</v>
      </c>
      <c r="L101" s="23" t="n">
        <f aca="false">L57*IF(AND($C57="Assured",L$45&gt;=$C$25),$C$24,INDEX(Assumptions!$D$44:$D$46,MATCH($C57,Assumptions!$A$44:$A$46,0)))</f>
        <v>0</v>
      </c>
      <c r="M101" s="23" t="n">
        <f aca="false">M57*IF(AND($C57="Assured",M$45&gt;=$C$25),$C$24,INDEX(Assumptions!$D$44:$D$46,MATCH($C57,Assumptions!$A$44:$A$46,0)))</f>
        <v>10530</v>
      </c>
      <c r="N101" s="23" t="n">
        <f aca="false">N57*IF(AND($C57="Assured",N$45&gt;=$C$25),$C$24,INDEX(Assumptions!$D$44:$D$46,MATCH($C57,Assumptions!$A$44:$A$46,0)))</f>
        <v>21060</v>
      </c>
      <c r="O101" s="23" t="n">
        <f aca="false">O57*IF(AND($C57="Assured",O$45&gt;=$C$25),$C$24,INDEX(Assumptions!$D$44:$D$46,MATCH($C57,Assumptions!$A$44:$A$46,0)))</f>
        <v>29835</v>
      </c>
      <c r="P101" s="23" t="n">
        <f aca="false">P57*IF(AND($C57="Assured",P$45&gt;=$C$25),$C$24,INDEX(Assumptions!$D$44:$D$46,MATCH($C57,Assumptions!$A$44:$A$46,0)))</f>
        <v>35100</v>
      </c>
      <c r="Q101" s="23" t="n">
        <f aca="false">Q57*IF(AND($C57="Assured",Q$45&gt;=$C$25),$C$24,INDEX(Assumptions!$D$44:$D$46,MATCH($C57,Assumptions!$A$44:$A$46,0)))</f>
        <v>31200</v>
      </c>
      <c r="R101" s="23" t="n">
        <f aca="false">R57*IF(AND($C57="Assured",R$45&gt;=$C$25),$C$24,INDEX(Assumptions!$D$44:$D$46,MATCH($C57,Assumptions!$A$44:$A$46,0)))</f>
        <v>31200</v>
      </c>
      <c r="S101" s="23" t="n">
        <f aca="false">S57*IF(AND($C57="Assured",S$45&gt;=$C$25),$C$24,INDEX(Assumptions!$D$44:$D$46,MATCH($C57,Assumptions!$A$44:$A$46,0)))</f>
        <v>31200</v>
      </c>
      <c r="T101" s="23" t="n">
        <f aca="false">T57*IF(AND($C57="Assured",T$45&gt;=$C$25),$C$24,INDEX(Assumptions!$D$44:$D$46,MATCH($C57,Assumptions!$A$44:$A$46,0)))</f>
        <v>31200</v>
      </c>
      <c r="U101" s="23" t="n">
        <f aca="false">U57*IF(AND($C57="Assured",U$45&gt;=$C$25),$C$24,INDEX(Assumptions!$D$44:$D$46,MATCH($C57,Assumptions!$A$44:$A$46,0)))</f>
        <v>31200</v>
      </c>
      <c r="V101" s="23" t="n">
        <f aca="false">V57*IF(AND($C57="Assured",V$45&gt;=$C$25),$C$24,INDEX(Assumptions!$D$44:$D$46,MATCH($C57,Assumptions!$A$44:$A$46,0)))</f>
        <v>31200</v>
      </c>
      <c r="W101" s="23" t="n">
        <f aca="false">W57*IF(AND($C57="Assured",W$45&gt;=$C$25),$C$24,INDEX(Assumptions!$D$44:$D$46,MATCH($C57,Assumptions!$A$44:$A$46,0)))</f>
        <v>31200</v>
      </c>
      <c r="X101" s="23" t="n">
        <f aca="false">X57*IF(AND($C57="Assured",X$45&gt;=$C$25),$C$24,INDEX(Assumptions!$D$44:$D$46,MATCH($C57,Assumptions!$A$44:$A$46,0)))</f>
        <v>31200</v>
      </c>
      <c r="Y101" s="23" t="n">
        <f aca="false">Y57*IF(AND($C57="Assured",Y$45&gt;=$C$25),$C$24,INDEX(Assumptions!$D$44:$D$46,MATCH($C57,Assumptions!$A$44:$A$46,0)))</f>
        <v>31200</v>
      </c>
    </row>
    <row r="102" customFormat="false" ht="15" hidden="false" customHeight="false" outlineLevel="0" collapsed="false">
      <c r="A102" s="2" t="n">
        <f aca="false">A58</f>
        <v>11</v>
      </c>
      <c r="B102" s="2" t="str">
        <f aca="false">B58</f>
        <v>C</v>
      </c>
      <c r="C102" s="2" t="str">
        <f aca="false">C58</f>
        <v>Assured</v>
      </c>
      <c r="D102" s="2"/>
      <c r="E102" s="2"/>
      <c r="F102" s="2"/>
      <c r="G102" s="2"/>
      <c r="H102" s="23" t="n">
        <f aca="false">H58*IF(AND($C58="Assured",H$45&gt;=$C$25),$C$24,INDEX(Assumptions!$D$44:$D$46,MATCH($C58,Assumptions!$A$44:$A$46,0)))</f>
        <v>0</v>
      </c>
      <c r="I102" s="23" t="n">
        <f aca="false">I58*IF(AND($C58="Assured",I$45&gt;=$C$25),$C$24,INDEX(Assumptions!$D$44:$D$46,MATCH($C58,Assumptions!$A$44:$A$46,0)))</f>
        <v>0</v>
      </c>
      <c r="J102" s="23" t="n">
        <f aca="false">J58*IF(AND($C58="Assured",J$45&gt;=$C$25),$C$24,INDEX(Assumptions!$D$44:$D$46,MATCH($C58,Assumptions!$A$44:$A$46,0)))</f>
        <v>0</v>
      </c>
      <c r="K102" s="23" t="n">
        <f aca="false">K58*IF(AND($C58="Assured",K$45&gt;=$C$25),$C$24,INDEX(Assumptions!$D$44:$D$46,MATCH($C58,Assumptions!$A$44:$A$46,0)))</f>
        <v>0</v>
      </c>
      <c r="L102" s="23" t="n">
        <f aca="false">L58*IF(AND($C58="Assured",L$45&gt;=$C$25),$C$24,INDEX(Assumptions!$D$44:$D$46,MATCH($C58,Assumptions!$A$44:$A$46,0)))</f>
        <v>0</v>
      </c>
      <c r="M102" s="23" t="n">
        <f aca="false">M58*IF(AND($C58="Assured",M$45&gt;=$C$25),$C$24,INDEX(Assumptions!$D$44:$D$46,MATCH($C58,Assumptions!$A$44:$A$46,0)))</f>
        <v>0</v>
      </c>
      <c r="N102" s="23" t="n">
        <f aca="false">N58*IF(AND($C58="Assured",N$45&gt;=$C$25),$C$24,INDEX(Assumptions!$D$44:$D$46,MATCH($C58,Assumptions!$A$44:$A$46,0)))</f>
        <v>10530</v>
      </c>
      <c r="O102" s="23" t="n">
        <f aca="false">O58*IF(AND($C58="Assured",O$45&gt;=$C$25),$C$24,INDEX(Assumptions!$D$44:$D$46,MATCH($C58,Assumptions!$A$44:$A$46,0)))</f>
        <v>21060</v>
      </c>
      <c r="P102" s="23" t="n">
        <f aca="false">P58*IF(AND($C58="Assured",P$45&gt;=$C$25),$C$24,INDEX(Assumptions!$D$44:$D$46,MATCH($C58,Assumptions!$A$44:$A$46,0)))</f>
        <v>29835</v>
      </c>
      <c r="Q102" s="23" t="n">
        <f aca="false">Q58*IF(AND($C58="Assured",Q$45&gt;=$C$25),$C$24,INDEX(Assumptions!$D$44:$D$46,MATCH($C58,Assumptions!$A$44:$A$46,0)))</f>
        <v>31200</v>
      </c>
      <c r="R102" s="23" t="n">
        <f aca="false">R58*IF(AND($C58="Assured",R$45&gt;=$C$25),$C$24,INDEX(Assumptions!$D$44:$D$46,MATCH($C58,Assumptions!$A$44:$A$46,0)))</f>
        <v>31200</v>
      </c>
      <c r="S102" s="23" t="n">
        <f aca="false">S58*IF(AND($C58="Assured",S$45&gt;=$C$25),$C$24,INDEX(Assumptions!$D$44:$D$46,MATCH($C58,Assumptions!$A$44:$A$46,0)))</f>
        <v>31200</v>
      </c>
      <c r="T102" s="23" t="n">
        <f aca="false">T58*IF(AND($C58="Assured",T$45&gt;=$C$25),$C$24,INDEX(Assumptions!$D$44:$D$46,MATCH($C58,Assumptions!$A$44:$A$46,0)))</f>
        <v>31200</v>
      </c>
      <c r="U102" s="23" t="n">
        <f aca="false">U58*IF(AND($C58="Assured",U$45&gt;=$C$25),$C$24,INDEX(Assumptions!$D$44:$D$46,MATCH($C58,Assumptions!$A$44:$A$46,0)))</f>
        <v>31200</v>
      </c>
      <c r="V102" s="23" t="n">
        <f aca="false">V58*IF(AND($C58="Assured",V$45&gt;=$C$25),$C$24,INDEX(Assumptions!$D$44:$D$46,MATCH($C58,Assumptions!$A$44:$A$46,0)))</f>
        <v>31200</v>
      </c>
      <c r="W102" s="23" t="n">
        <f aca="false">W58*IF(AND($C58="Assured",W$45&gt;=$C$25),$C$24,INDEX(Assumptions!$D$44:$D$46,MATCH($C58,Assumptions!$A$44:$A$46,0)))</f>
        <v>31200</v>
      </c>
      <c r="X102" s="23" t="n">
        <f aca="false">X58*IF(AND($C58="Assured",X$45&gt;=$C$25),$C$24,INDEX(Assumptions!$D$44:$D$46,MATCH($C58,Assumptions!$A$44:$A$46,0)))</f>
        <v>31200</v>
      </c>
      <c r="Y102" s="23" t="n">
        <f aca="false">Y58*IF(AND($C58="Assured",Y$45&gt;=$C$25),$C$24,INDEX(Assumptions!$D$44:$D$46,MATCH($C58,Assumptions!$A$44:$A$46,0)))</f>
        <v>31200</v>
      </c>
    </row>
    <row r="103" customFormat="false" ht="15" hidden="false" customHeight="false" outlineLevel="0" collapsed="false">
      <c r="A103" s="2" t="n">
        <f aca="false">A59</f>
        <v>12</v>
      </c>
      <c r="B103" s="2" t="str">
        <f aca="false">B59</f>
        <v>C</v>
      </c>
      <c r="C103" s="2" t="str">
        <f aca="false">C59</f>
        <v>Assured</v>
      </c>
      <c r="D103" s="2"/>
      <c r="E103" s="2"/>
      <c r="F103" s="2"/>
      <c r="G103" s="2"/>
      <c r="H103" s="23" t="n">
        <f aca="false">H59*IF(AND($C59="Assured",H$45&gt;=$C$25),$C$24,INDEX(Assumptions!$D$44:$D$46,MATCH($C59,Assumptions!$A$44:$A$46,0)))</f>
        <v>0</v>
      </c>
      <c r="I103" s="23" t="n">
        <f aca="false">I59*IF(AND($C59="Assured",I$45&gt;=$C$25),$C$24,INDEX(Assumptions!$D$44:$D$46,MATCH($C59,Assumptions!$A$44:$A$46,0)))</f>
        <v>0</v>
      </c>
      <c r="J103" s="23" t="n">
        <f aca="false">J59*IF(AND($C59="Assured",J$45&gt;=$C$25),$C$24,INDEX(Assumptions!$D$44:$D$46,MATCH($C59,Assumptions!$A$44:$A$46,0)))</f>
        <v>0</v>
      </c>
      <c r="K103" s="23" t="n">
        <f aca="false">K59*IF(AND($C59="Assured",K$45&gt;=$C$25),$C$24,INDEX(Assumptions!$D$44:$D$46,MATCH($C59,Assumptions!$A$44:$A$46,0)))</f>
        <v>0</v>
      </c>
      <c r="L103" s="23" t="n">
        <f aca="false">L59*IF(AND($C59="Assured",L$45&gt;=$C$25),$C$24,INDEX(Assumptions!$D$44:$D$46,MATCH($C59,Assumptions!$A$44:$A$46,0)))</f>
        <v>0</v>
      </c>
      <c r="M103" s="23" t="n">
        <f aca="false">M59*IF(AND($C59="Assured",M$45&gt;=$C$25),$C$24,INDEX(Assumptions!$D$44:$D$46,MATCH($C59,Assumptions!$A$44:$A$46,0)))</f>
        <v>0</v>
      </c>
      <c r="N103" s="23" t="n">
        <f aca="false">N59*IF(AND($C59="Assured",N$45&gt;=$C$25),$C$24,INDEX(Assumptions!$D$44:$D$46,MATCH($C59,Assumptions!$A$44:$A$46,0)))</f>
        <v>10530</v>
      </c>
      <c r="O103" s="23" t="n">
        <f aca="false">O59*IF(AND($C59="Assured",O$45&gt;=$C$25),$C$24,INDEX(Assumptions!$D$44:$D$46,MATCH($C59,Assumptions!$A$44:$A$46,0)))</f>
        <v>21060</v>
      </c>
      <c r="P103" s="23" t="n">
        <f aca="false">P59*IF(AND($C59="Assured",P$45&gt;=$C$25),$C$24,INDEX(Assumptions!$D$44:$D$46,MATCH($C59,Assumptions!$A$44:$A$46,0)))</f>
        <v>29835</v>
      </c>
      <c r="Q103" s="23" t="n">
        <f aca="false">Q59*IF(AND($C59="Assured",Q$45&gt;=$C$25),$C$24,INDEX(Assumptions!$D$44:$D$46,MATCH($C59,Assumptions!$A$44:$A$46,0)))</f>
        <v>31200</v>
      </c>
      <c r="R103" s="23" t="n">
        <f aca="false">R59*IF(AND($C59="Assured",R$45&gt;=$C$25),$C$24,INDEX(Assumptions!$D$44:$D$46,MATCH($C59,Assumptions!$A$44:$A$46,0)))</f>
        <v>31200</v>
      </c>
      <c r="S103" s="23" t="n">
        <f aca="false">S59*IF(AND($C59="Assured",S$45&gt;=$C$25),$C$24,INDEX(Assumptions!$D$44:$D$46,MATCH($C59,Assumptions!$A$44:$A$46,0)))</f>
        <v>31200</v>
      </c>
      <c r="T103" s="23" t="n">
        <f aca="false">T59*IF(AND($C59="Assured",T$45&gt;=$C$25),$C$24,INDEX(Assumptions!$D$44:$D$46,MATCH($C59,Assumptions!$A$44:$A$46,0)))</f>
        <v>31200</v>
      </c>
      <c r="U103" s="23" t="n">
        <f aca="false">U59*IF(AND($C59="Assured",U$45&gt;=$C$25),$C$24,INDEX(Assumptions!$D$44:$D$46,MATCH($C59,Assumptions!$A$44:$A$46,0)))</f>
        <v>31200</v>
      </c>
      <c r="V103" s="23" t="n">
        <f aca="false">V59*IF(AND($C59="Assured",V$45&gt;=$C$25),$C$24,INDEX(Assumptions!$D$44:$D$46,MATCH($C59,Assumptions!$A$44:$A$46,0)))</f>
        <v>31200</v>
      </c>
      <c r="W103" s="23" t="n">
        <f aca="false">W59*IF(AND($C59="Assured",W$45&gt;=$C$25),$C$24,INDEX(Assumptions!$D$44:$D$46,MATCH($C59,Assumptions!$A$44:$A$46,0)))</f>
        <v>31200</v>
      </c>
      <c r="X103" s="23" t="n">
        <f aca="false">X59*IF(AND($C59="Assured",X$45&gt;=$C$25),$C$24,INDEX(Assumptions!$D$44:$D$46,MATCH($C59,Assumptions!$A$44:$A$46,0)))</f>
        <v>31200</v>
      </c>
      <c r="Y103" s="23" t="n">
        <f aca="false">Y59*IF(AND($C59="Assured",Y$45&gt;=$C$25),$C$24,INDEX(Assumptions!$D$44:$D$46,MATCH($C59,Assumptions!$A$44:$A$46,0)))</f>
        <v>31200</v>
      </c>
    </row>
    <row r="104" customFormat="false" ht="15" hidden="false" customHeight="false" outlineLevel="0" collapsed="false">
      <c r="A104" s="2" t="n">
        <f aca="false">A60</f>
        <v>13</v>
      </c>
      <c r="B104" s="2" t="str">
        <f aca="false">B60</f>
        <v>C</v>
      </c>
      <c r="C104" s="2" t="str">
        <f aca="false">C60</f>
        <v>Assured</v>
      </c>
      <c r="D104" s="2"/>
      <c r="E104" s="2"/>
      <c r="F104" s="2"/>
      <c r="G104" s="2"/>
      <c r="H104" s="23" t="n">
        <f aca="false">H60*IF(AND($C60="Assured",H$45&gt;=$C$25),$C$24,INDEX(Assumptions!$D$44:$D$46,MATCH($C60,Assumptions!$A$44:$A$46,0)))</f>
        <v>0</v>
      </c>
      <c r="I104" s="23" t="n">
        <f aca="false">I60*IF(AND($C60="Assured",I$45&gt;=$C$25),$C$24,INDEX(Assumptions!$D$44:$D$46,MATCH($C60,Assumptions!$A$44:$A$46,0)))</f>
        <v>0</v>
      </c>
      <c r="J104" s="23" t="n">
        <f aca="false">J60*IF(AND($C60="Assured",J$45&gt;=$C$25),$C$24,INDEX(Assumptions!$D$44:$D$46,MATCH($C60,Assumptions!$A$44:$A$46,0)))</f>
        <v>0</v>
      </c>
      <c r="K104" s="23" t="n">
        <f aca="false">K60*IF(AND($C60="Assured",K$45&gt;=$C$25),$C$24,INDEX(Assumptions!$D$44:$D$46,MATCH($C60,Assumptions!$A$44:$A$46,0)))</f>
        <v>0</v>
      </c>
      <c r="L104" s="23" t="n">
        <f aca="false">L60*IF(AND($C60="Assured",L$45&gt;=$C$25),$C$24,INDEX(Assumptions!$D$44:$D$46,MATCH($C60,Assumptions!$A$44:$A$46,0)))</f>
        <v>0</v>
      </c>
      <c r="M104" s="23" t="n">
        <f aca="false">M60*IF(AND($C60="Assured",M$45&gt;=$C$25),$C$24,INDEX(Assumptions!$D$44:$D$46,MATCH($C60,Assumptions!$A$44:$A$46,0)))</f>
        <v>0</v>
      </c>
      <c r="N104" s="23" t="n">
        <f aca="false">N60*IF(AND($C60="Assured",N$45&gt;=$C$25),$C$24,INDEX(Assumptions!$D$44:$D$46,MATCH($C60,Assumptions!$A$44:$A$46,0)))</f>
        <v>0</v>
      </c>
      <c r="O104" s="23" t="n">
        <f aca="false">O60*IF(AND($C60="Assured",O$45&gt;=$C$25),$C$24,INDEX(Assumptions!$D$44:$D$46,MATCH($C60,Assumptions!$A$44:$A$46,0)))</f>
        <v>10530</v>
      </c>
      <c r="P104" s="23" t="n">
        <f aca="false">P60*IF(AND($C60="Assured",P$45&gt;=$C$25),$C$24,INDEX(Assumptions!$D$44:$D$46,MATCH($C60,Assumptions!$A$44:$A$46,0)))</f>
        <v>21060</v>
      </c>
      <c r="Q104" s="23" t="n">
        <f aca="false">Q60*IF(AND($C60="Assured",Q$45&gt;=$C$25),$C$24,INDEX(Assumptions!$D$44:$D$46,MATCH($C60,Assumptions!$A$44:$A$46,0)))</f>
        <v>26520</v>
      </c>
      <c r="R104" s="23" t="n">
        <f aca="false">R60*IF(AND($C60="Assured",R$45&gt;=$C$25),$C$24,INDEX(Assumptions!$D$44:$D$46,MATCH($C60,Assumptions!$A$44:$A$46,0)))</f>
        <v>31200</v>
      </c>
      <c r="S104" s="23" t="n">
        <f aca="false">S60*IF(AND($C60="Assured",S$45&gt;=$C$25),$C$24,INDEX(Assumptions!$D$44:$D$46,MATCH($C60,Assumptions!$A$44:$A$46,0)))</f>
        <v>31200</v>
      </c>
      <c r="T104" s="23" t="n">
        <f aca="false">T60*IF(AND($C60="Assured",T$45&gt;=$C$25),$C$24,INDEX(Assumptions!$D$44:$D$46,MATCH($C60,Assumptions!$A$44:$A$46,0)))</f>
        <v>31200</v>
      </c>
      <c r="U104" s="23" t="n">
        <f aca="false">U60*IF(AND($C60="Assured",U$45&gt;=$C$25),$C$24,INDEX(Assumptions!$D$44:$D$46,MATCH($C60,Assumptions!$A$44:$A$46,0)))</f>
        <v>31200</v>
      </c>
      <c r="V104" s="23" t="n">
        <f aca="false">V60*IF(AND($C60="Assured",V$45&gt;=$C$25),$C$24,INDEX(Assumptions!$D$44:$D$46,MATCH($C60,Assumptions!$A$44:$A$46,0)))</f>
        <v>31200</v>
      </c>
      <c r="W104" s="23" t="n">
        <f aca="false">W60*IF(AND($C60="Assured",W$45&gt;=$C$25),$C$24,INDEX(Assumptions!$D$44:$D$46,MATCH($C60,Assumptions!$A$44:$A$46,0)))</f>
        <v>31200</v>
      </c>
      <c r="X104" s="23" t="n">
        <f aca="false">X60*IF(AND($C60="Assured",X$45&gt;=$C$25),$C$24,INDEX(Assumptions!$D$44:$D$46,MATCH($C60,Assumptions!$A$44:$A$46,0)))</f>
        <v>31200</v>
      </c>
      <c r="Y104" s="23" t="n">
        <f aca="false">Y60*IF(AND($C60="Assured",Y$45&gt;=$C$25),$C$24,INDEX(Assumptions!$D$44:$D$46,MATCH($C60,Assumptions!$A$44:$A$46,0)))</f>
        <v>31200</v>
      </c>
    </row>
    <row r="105" customFormat="false" ht="15" hidden="false" customHeight="false" outlineLevel="0" collapsed="false">
      <c r="A105" s="2" t="n">
        <f aca="false">A61</f>
        <v>14</v>
      </c>
      <c r="B105" s="2" t="str">
        <f aca="false">B61</f>
        <v>B</v>
      </c>
      <c r="C105" s="2" t="str">
        <f aca="false">C61</f>
        <v>Connect</v>
      </c>
      <c r="D105" s="2"/>
      <c r="E105" s="2"/>
      <c r="F105" s="2"/>
      <c r="G105" s="2"/>
      <c r="H105" s="23" t="n">
        <f aca="false">H61*IF(AND($C61="Assured",H$45&gt;=$C$25),$C$24,INDEX(Assumptions!$D$44:$D$46,MATCH($C61,Assumptions!$A$44:$A$46,0)))</f>
        <v>0</v>
      </c>
      <c r="I105" s="23" t="n">
        <f aca="false">I61*IF(AND($C61="Assured",I$45&gt;=$C$25),$C$24,INDEX(Assumptions!$D$44:$D$46,MATCH($C61,Assumptions!$A$44:$A$46,0)))</f>
        <v>0</v>
      </c>
      <c r="J105" s="23" t="n">
        <f aca="false">J61*IF(AND($C61="Assured",J$45&gt;=$C$25),$C$24,INDEX(Assumptions!$D$44:$D$46,MATCH($C61,Assumptions!$A$44:$A$46,0)))</f>
        <v>0</v>
      </c>
      <c r="K105" s="23" t="n">
        <f aca="false">K61*IF(AND($C61="Assured",K$45&gt;=$C$25),$C$24,INDEX(Assumptions!$D$44:$D$46,MATCH($C61,Assumptions!$A$44:$A$46,0)))</f>
        <v>0</v>
      </c>
      <c r="L105" s="23" t="n">
        <f aca="false">L61*IF(AND($C61="Assured",L$45&gt;=$C$25),$C$24,INDEX(Assumptions!$D$44:$D$46,MATCH($C61,Assumptions!$A$44:$A$46,0)))</f>
        <v>0</v>
      </c>
      <c r="M105" s="23" t="n">
        <f aca="false">M61*IF(AND($C61="Assured",M$45&gt;=$C$25),$C$24,INDEX(Assumptions!$D$44:$D$46,MATCH($C61,Assumptions!$A$44:$A$46,0)))</f>
        <v>0</v>
      </c>
      <c r="N105" s="23" t="n">
        <f aca="false">N61*IF(AND($C61="Assured",N$45&gt;=$C$25),$C$24,INDEX(Assumptions!$D$44:$D$46,MATCH($C61,Assumptions!$A$44:$A$46,0)))</f>
        <v>0</v>
      </c>
      <c r="O105" s="23" t="n">
        <f aca="false">O61*IF(AND($C61="Assured",O$45&gt;=$C$25),$C$24,INDEX(Assumptions!$D$44:$D$46,MATCH($C61,Assumptions!$A$44:$A$46,0)))</f>
        <v>0</v>
      </c>
      <c r="P105" s="23" t="n">
        <f aca="false">P61*IF(AND($C61="Assured",P$45&gt;=$C$25),$C$24,INDEX(Assumptions!$D$44:$D$46,MATCH($C61,Assumptions!$A$44:$A$46,0)))</f>
        <v>3600</v>
      </c>
      <c r="Q105" s="23" t="n">
        <f aca="false">Q61*IF(AND($C61="Assured",Q$45&gt;=$C$25),$C$24,INDEX(Assumptions!$D$44:$D$46,MATCH($C61,Assumptions!$A$44:$A$46,0)))</f>
        <v>7200</v>
      </c>
      <c r="R105" s="23" t="n">
        <f aca="false">R61*IF(AND($C61="Assured",R$45&gt;=$C$25),$C$24,INDEX(Assumptions!$D$44:$D$46,MATCH($C61,Assumptions!$A$44:$A$46,0)))</f>
        <v>10200</v>
      </c>
      <c r="S105" s="23" t="n">
        <f aca="false">S61*IF(AND($C61="Assured",S$45&gt;=$C$25),$C$24,INDEX(Assumptions!$D$44:$D$46,MATCH($C61,Assumptions!$A$44:$A$46,0)))</f>
        <v>12000</v>
      </c>
      <c r="T105" s="23" t="n">
        <f aca="false">T61*IF(AND($C61="Assured",T$45&gt;=$C$25),$C$24,INDEX(Assumptions!$D$44:$D$46,MATCH($C61,Assumptions!$A$44:$A$46,0)))</f>
        <v>12000</v>
      </c>
      <c r="U105" s="23" t="n">
        <f aca="false">U61*IF(AND($C61="Assured",U$45&gt;=$C$25),$C$24,INDEX(Assumptions!$D$44:$D$46,MATCH($C61,Assumptions!$A$44:$A$46,0)))</f>
        <v>12000</v>
      </c>
      <c r="V105" s="23" t="n">
        <f aca="false">V61*IF(AND($C61="Assured",V$45&gt;=$C$25),$C$24,INDEX(Assumptions!$D$44:$D$46,MATCH($C61,Assumptions!$A$44:$A$46,0)))</f>
        <v>12000</v>
      </c>
      <c r="W105" s="23" t="n">
        <f aca="false">W61*IF(AND($C61="Assured",W$45&gt;=$C$25),$C$24,INDEX(Assumptions!$D$44:$D$46,MATCH($C61,Assumptions!$A$44:$A$46,0)))</f>
        <v>12000</v>
      </c>
      <c r="X105" s="23" t="n">
        <f aca="false">X61*IF(AND($C61="Assured",X$45&gt;=$C$25),$C$24,INDEX(Assumptions!$D$44:$D$46,MATCH($C61,Assumptions!$A$44:$A$46,0)))</f>
        <v>12000</v>
      </c>
      <c r="Y105" s="23" t="n">
        <f aca="false">Y61*IF(AND($C61="Assured",Y$45&gt;=$C$25),$C$24,INDEX(Assumptions!$D$44:$D$46,MATCH($C61,Assumptions!$A$44:$A$46,0)))</f>
        <v>12000</v>
      </c>
    </row>
    <row r="106" customFormat="false" ht="15" hidden="false" customHeight="false" outlineLevel="0" collapsed="false">
      <c r="A106" s="2" t="n">
        <f aca="false">A62</f>
        <v>15</v>
      </c>
      <c r="B106" s="2" t="str">
        <f aca="false">B62</f>
        <v>B</v>
      </c>
      <c r="C106" s="2" t="str">
        <f aca="false">C62</f>
        <v>Connect</v>
      </c>
      <c r="D106" s="2"/>
      <c r="E106" s="2"/>
      <c r="F106" s="2"/>
      <c r="G106" s="2"/>
      <c r="H106" s="23" t="n">
        <f aca="false">H62*IF(AND($C62="Assured",H$45&gt;=$C$25),$C$24,INDEX(Assumptions!$D$44:$D$46,MATCH($C62,Assumptions!$A$44:$A$46,0)))</f>
        <v>0</v>
      </c>
      <c r="I106" s="23" t="n">
        <f aca="false">I62*IF(AND($C62="Assured",I$45&gt;=$C$25),$C$24,INDEX(Assumptions!$D$44:$D$46,MATCH($C62,Assumptions!$A$44:$A$46,0)))</f>
        <v>0</v>
      </c>
      <c r="J106" s="23" t="n">
        <f aca="false">J62*IF(AND($C62="Assured",J$45&gt;=$C$25),$C$24,INDEX(Assumptions!$D$44:$D$46,MATCH($C62,Assumptions!$A$44:$A$46,0)))</f>
        <v>0</v>
      </c>
      <c r="K106" s="23" t="n">
        <f aca="false">K62*IF(AND($C62="Assured",K$45&gt;=$C$25),$C$24,INDEX(Assumptions!$D$44:$D$46,MATCH($C62,Assumptions!$A$44:$A$46,0)))</f>
        <v>0</v>
      </c>
      <c r="L106" s="23" t="n">
        <f aca="false">L62*IF(AND($C62="Assured",L$45&gt;=$C$25),$C$24,INDEX(Assumptions!$D$44:$D$46,MATCH($C62,Assumptions!$A$44:$A$46,0)))</f>
        <v>0</v>
      </c>
      <c r="M106" s="23" t="n">
        <f aca="false">M62*IF(AND($C62="Assured",M$45&gt;=$C$25),$C$24,INDEX(Assumptions!$D$44:$D$46,MATCH($C62,Assumptions!$A$44:$A$46,0)))</f>
        <v>0</v>
      </c>
      <c r="N106" s="23" t="n">
        <f aca="false">N62*IF(AND($C62="Assured",N$45&gt;=$C$25),$C$24,INDEX(Assumptions!$D$44:$D$46,MATCH($C62,Assumptions!$A$44:$A$46,0)))</f>
        <v>0</v>
      </c>
      <c r="O106" s="23" t="n">
        <f aca="false">O62*IF(AND($C62="Assured",O$45&gt;=$C$25),$C$24,INDEX(Assumptions!$D$44:$D$46,MATCH($C62,Assumptions!$A$44:$A$46,0)))</f>
        <v>0</v>
      </c>
      <c r="P106" s="23" t="n">
        <f aca="false">P62*IF(AND($C62="Assured",P$45&gt;=$C$25),$C$24,INDEX(Assumptions!$D$44:$D$46,MATCH($C62,Assumptions!$A$44:$A$46,0)))</f>
        <v>0</v>
      </c>
      <c r="Q106" s="23" t="n">
        <f aca="false">Q62*IF(AND($C62="Assured",Q$45&gt;=$C$25),$C$24,INDEX(Assumptions!$D$44:$D$46,MATCH($C62,Assumptions!$A$44:$A$46,0)))</f>
        <v>3600</v>
      </c>
      <c r="R106" s="23" t="n">
        <f aca="false">R62*IF(AND($C62="Assured",R$45&gt;=$C$25),$C$24,INDEX(Assumptions!$D$44:$D$46,MATCH($C62,Assumptions!$A$44:$A$46,0)))</f>
        <v>7200</v>
      </c>
      <c r="S106" s="23" t="n">
        <f aca="false">S62*IF(AND($C62="Assured",S$45&gt;=$C$25),$C$24,INDEX(Assumptions!$D$44:$D$46,MATCH($C62,Assumptions!$A$44:$A$46,0)))</f>
        <v>10200</v>
      </c>
      <c r="T106" s="23" t="n">
        <f aca="false">T62*IF(AND($C62="Assured",T$45&gt;=$C$25),$C$24,INDEX(Assumptions!$D$44:$D$46,MATCH($C62,Assumptions!$A$44:$A$46,0)))</f>
        <v>12000</v>
      </c>
      <c r="U106" s="23" t="n">
        <f aca="false">U62*IF(AND($C62="Assured",U$45&gt;=$C$25),$C$24,INDEX(Assumptions!$D$44:$D$46,MATCH($C62,Assumptions!$A$44:$A$46,0)))</f>
        <v>12000</v>
      </c>
      <c r="V106" s="23" t="n">
        <f aca="false">V62*IF(AND($C62="Assured",V$45&gt;=$C$25),$C$24,INDEX(Assumptions!$D$44:$D$46,MATCH($C62,Assumptions!$A$44:$A$46,0)))</f>
        <v>12000</v>
      </c>
      <c r="W106" s="23" t="n">
        <f aca="false">W62*IF(AND($C62="Assured",W$45&gt;=$C$25),$C$24,INDEX(Assumptions!$D$44:$D$46,MATCH($C62,Assumptions!$A$44:$A$46,0)))</f>
        <v>12000</v>
      </c>
      <c r="X106" s="23" t="n">
        <f aca="false">X62*IF(AND($C62="Assured",X$45&gt;=$C$25),$C$24,INDEX(Assumptions!$D$44:$D$46,MATCH($C62,Assumptions!$A$44:$A$46,0)))</f>
        <v>12000</v>
      </c>
      <c r="Y106" s="23" t="n">
        <f aca="false">Y62*IF(AND($C62="Assured",Y$45&gt;=$C$25),$C$24,INDEX(Assumptions!$D$44:$D$46,MATCH($C62,Assumptions!$A$44:$A$46,0)))</f>
        <v>12000</v>
      </c>
    </row>
    <row r="107" customFormat="false" ht="15" hidden="false" customHeight="false" outlineLevel="0" collapsed="false">
      <c r="A107" s="2" t="n">
        <f aca="false">A63</f>
        <v>16</v>
      </c>
      <c r="B107" s="2" t="str">
        <f aca="false">B63</f>
        <v>B</v>
      </c>
      <c r="C107" s="2" t="str">
        <f aca="false">C63</f>
        <v>Connect</v>
      </c>
      <c r="D107" s="2"/>
      <c r="E107" s="2"/>
      <c r="F107" s="2"/>
      <c r="G107" s="2"/>
      <c r="H107" s="23" t="n">
        <f aca="false">H63*IF(AND($C63="Assured",H$45&gt;=$C$25),$C$24,INDEX(Assumptions!$D$44:$D$46,MATCH($C63,Assumptions!$A$44:$A$46,0)))</f>
        <v>0</v>
      </c>
      <c r="I107" s="23" t="n">
        <f aca="false">I63*IF(AND($C63="Assured",I$45&gt;=$C$25),$C$24,INDEX(Assumptions!$D$44:$D$46,MATCH($C63,Assumptions!$A$44:$A$46,0)))</f>
        <v>0</v>
      </c>
      <c r="J107" s="23" t="n">
        <f aca="false">J63*IF(AND($C63="Assured",J$45&gt;=$C$25),$C$24,INDEX(Assumptions!$D$44:$D$46,MATCH($C63,Assumptions!$A$44:$A$46,0)))</f>
        <v>0</v>
      </c>
      <c r="K107" s="23" t="n">
        <f aca="false">K63*IF(AND($C63="Assured",K$45&gt;=$C$25),$C$24,INDEX(Assumptions!$D$44:$D$46,MATCH($C63,Assumptions!$A$44:$A$46,0)))</f>
        <v>0</v>
      </c>
      <c r="L107" s="23" t="n">
        <f aca="false">L63*IF(AND($C63="Assured",L$45&gt;=$C$25),$C$24,INDEX(Assumptions!$D$44:$D$46,MATCH($C63,Assumptions!$A$44:$A$46,0)))</f>
        <v>0</v>
      </c>
      <c r="M107" s="23" t="n">
        <f aca="false">M63*IF(AND($C63="Assured",M$45&gt;=$C$25),$C$24,INDEX(Assumptions!$D$44:$D$46,MATCH($C63,Assumptions!$A$44:$A$46,0)))</f>
        <v>0</v>
      </c>
      <c r="N107" s="23" t="n">
        <f aca="false">N63*IF(AND($C63="Assured",N$45&gt;=$C$25),$C$24,INDEX(Assumptions!$D$44:$D$46,MATCH($C63,Assumptions!$A$44:$A$46,0)))</f>
        <v>0</v>
      </c>
      <c r="O107" s="23" t="n">
        <f aca="false">O63*IF(AND($C63="Assured",O$45&gt;=$C$25),$C$24,INDEX(Assumptions!$D$44:$D$46,MATCH($C63,Assumptions!$A$44:$A$46,0)))</f>
        <v>0</v>
      </c>
      <c r="P107" s="23" t="n">
        <f aca="false">P63*IF(AND($C63="Assured",P$45&gt;=$C$25),$C$24,INDEX(Assumptions!$D$44:$D$46,MATCH($C63,Assumptions!$A$44:$A$46,0)))</f>
        <v>0</v>
      </c>
      <c r="Q107" s="23" t="n">
        <f aca="false">Q63*IF(AND($C63="Assured",Q$45&gt;=$C$25),$C$24,INDEX(Assumptions!$D$44:$D$46,MATCH($C63,Assumptions!$A$44:$A$46,0)))</f>
        <v>0</v>
      </c>
      <c r="R107" s="23" t="n">
        <f aca="false">R63*IF(AND($C63="Assured",R$45&gt;=$C$25),$C$24,INDEX(Assumptions!$D$44:$D$46,MATCH($C63,Assumptions!$A$44:$A$46,0)))</f>
        <v>3600</v>
      </c>
      <c r="S107" s="23" t="n">
        <f aca="false">S63*IF(AND($C63="Assured",S$45&gt;=$C$25),$C$24,INDEX(Assumptions!$D$44:$D$46,MATCH($C63,Assumptions!$A$44:$A$46,0)))</f>
        <v>7200</v>
      </c>
      <c r="T107" s="23" t="n">
        <f aca="false">T63*IF(AND($C63="Assured",T$45&gt;=$C$25),$C$24,INDEX(Assumptions!$D$44:$D$46,MATCH($C63,Assumptions!$A$44:$A$46,0)))</f>
        <v>10200</v>
      </c>
      <c r="U107" s="23" t="n">
        <f aca="false">U63*IF(AND($C63="Assured",U$45&gt;=$C$25),$C$24,INDEX(Assumptions!$D$44:$D$46,MATCH($C63,Assumptions!$A$44:$A$46,0)))</f>
        <v>12000</v>
      </c>
      <c r="V107" s="23" t="n">
        <f aca="false">V63*IF(AND($C63="Assured",V$45&gt;=$C$25),$C$24,INDEX(Assumptions!$D$44:$D$46,MATCH($C63,Assumptions!$A$44:$A$46,0)))</f>
        <v>12000</v>
      </c>
      <c r="W107" s="23" t="n">
        <f aca="false">W63*IF(AND($C63="Assured",W$45&gt;=$C$25),$C$24,INDEX(Assumptions!$D$44:$D$46,MATCH($C63,Assumptions!$A$44:$A$46,0)))</f>
        <v>12000</v>
      </c>
      <c r="X107" s="23" t="n">
        <f aca="false">X63*IF(AND($C63="Assured",X$45&gt;=$C$25),$C$24,INDEX(Assumptions!$D$44:$D$46,MATCH($C63,Assumptions!$A$44:$A$46,0)))</f>
        <v>12000</v>
      </c>
      <c r="Y107" s="23" t="n">
        <f aca="false">Y63*IF(AND($C63="Assured",Y$45&gt;=$C$25),$C$24,INDEX(Assumptions!$D$44:$D$46,MATCH($C63,Assumptions!$A$44:$A$46,0)))</f>
        <v>12000</v>
      </c>
    </row>
    <row r="108" customFormat="false" ht="15" hidden="false" customHeight="false" outlineLevel="0" collapsed="false">
      <c r="A108" s="2" t="n">
        <f aca="false">A64</f>
        <v>17</v>
      </c>
      <c r="B108" s="2" t="str">
        <f aca="false">B64</f>
        <v>B</v>
      </c>
      <c r="C108" s="2" t="str">
        <f aca="false">C64</f>
        <v>Verified</v>
      </c>
      <c r="D108" s="2"/>
      <c r="E108" s="2"/>
      <c r="F108" s="2"/>
      <c r="G108" s="2"/>
      <c r="H108" s="23" t="n">
        <f aca="false">H64*IF(AND($C64="Assured",H$45&gt;=$C$25),$C$24,INDEX(Assumptions!$D$44:$D$46,MATCH($C64,Assumptions!$A$44:$A$46,0)))</f>
        <v>0</v>
      </c>
      <c r="I108" s="23" t="n">
        <f aca="false">I64*IF(AND($C64="Assured",I$45&gt;=$C$25),$C$24,INDEX(Assumptions!$D$44:$D$46,MATCH($C64,Assumptions!$A$44:$A$46,0)))</f>
        <v>0</v>
      </c>
      <c r="J108" s="23" t="n">
        <f aca="false">J64*IF(AND($C64="Assured",J$45&gt;=$C$25),$C$24,INDEX(Assumptions!$D$44:$D$46,MATCH($C64,Assumptions!$A$44:$A$46,0)))</f>
        <v>0</v>
      </c>
      <c r="K108" s="23" t="n">
        <f aca="false">K64*IF(AND($C64="Assured",K$45&gt;=$C$25),$C$24,INDEX(Assumptions!$D$44:$D$46,MATCH($C64,Assumptions!$A$44:$A$46,0)))</f>
        <v>0</v>
      </c>
      <c r="L108" s="23" t="n">
        <f aca="false">L64*IF(AND($C64="Assured",L$45&gt;=$C$25),$C$24,INDEX(Assumptions!$D$44:$D$46,MATCH($C64,Assumptions!$A$44:$A$46,0)))</f>
        <v>0</v>
      </c>
      <c r="M108" s="23" t="n">
        <f aca="false">M64*IF(AND($C64="Assured",M$45&gt;=$C$25),$C$24,INDEX(Assumptions!$D$44:$D$46,MATCH($C64,Assumptions!$A$44:$A$46,0)))</f>
        <v>0</v>
      </c>
      <c r="N108" s="23" t="n">
        <f aca="false">N64*IF(AND($C64="Assured",N$45&gt;=$C$25),$C$24,INDEX(Assumptions!$D$44:$D$46,MATCH($C64,Assumptions!$A$44:$A$46,0)))</f>
        <v>0</v>
      </c>
      <c r="O108" s="23" t="n">
        <f aca="false">O64*IF(AND($C64="Assured",O$45&gt;=$C$25),$C$24,INDEX(Assumptions!$D$44:$D$46,MATCH($C64,Assumptions!$A$44:$A$46,0)))</f>
        <v>0</v>
      </c>
      <c r="P108" s="23" t="n">
        <f aca="false">P64*IF(AND($C64="Assured",P$45&gt;=$C$25),$C$24,INDEX(Assumptions!$D$44:$D$46,MATCH($C64,Assumptions!$A$44:$A$46,0)))</f>
        <v>0</v>
      </c>
      <c r="Q108" s="23" t="n">
        <f aca="false">Q64*IF(AND($C64="Assured",Q$45&gt;=$C$25),$C$24,INDEX(Assumptions!$D$44:$D$46,MATCH($C64,Assumptions!$A$44:$A$46,0)))</f>
        <v>0</v>
      </c>
      <c r="R108" s="23" t="n">
        <f aca="false">R64*IF(AND($C64="Assured",R$45&gt;=$C$25),$C$24,INDEX(Assumptions!$D$44:$D$46,MATCH($C64,Assumptions!$A$44:$A$46,0)))</f>
        <v>0</v>
      </c>
      <c r="S108" s="23" t="n">
        <f aca="false">S64*IF(AND($C64="Assured",S$45&gt;=$C$25),$C$24,INDEX(Assumptions!$D$44:$D$46,MATCH($C64,Assumptions!$A$44:$A$46,0)))</f>
        <v>5400</v>
      </c>
      <c r="T108" s="23" t="n">
        <f aca="false">T64*IF(AND($C64="Assured",T$45&gt;=$C$25),$C$24,INDEX(Assumptions!$D$44:$D$46,MATCH($C64,Assumptions!$A$44:$A$46,0)))</f>
        <v>10800</v>
      </c>
      <c r="U108" s="23" t="n">
        <f aca="false">U64*IF(AND($C64="Assured",U$45&gt;=$C$25),$C$24,INDEX(Assumptions!$D$44:$D$46,MATCH($C64,Assumptions!$A$44:$A$46,0)))</f>
        <v>15300</v>
      </c>
      <c r="V108" s="23" t="n">
        <f aca="false">V64*IF(AND($C64="Assured",V$45&gt;=$C$25),$C$24,INDEX(Assumptions!$D$44:$D$46,MATCH($C64,Assumptions!$A$44:$A$46,0)))</f>
        <v>18000</v>
      </c>
      <c r="W108" s="23" t="n">
        <f aca="false">W64*IF(AND($C64="Assured",W$45&gt;=$C$25),$C$24,INDEX(Assumptions!$D$44:$D$46,MATCH($C64,Assumptions!$A$44:$A$46,0)))</f>
        <v>18000</v>
      </c>
      <c r="X108" s="23" t="n">
        <f aca="false">X64*IF(AND($C64="Assured",X$45&gt;=$C$25),$C$24,INDEX(Assumptions!$D$44:$D$46,MATCH($C64,Assumptions!$A$44:$A$46,0)))</f>
        <v>18000</v>
      </c>
      <c r="Y108" s="23" t="n">
        <f aca="false">Y64*IF(AND($C64="Assured",Y$45&gt;=$C$25),$C$24,INDEX(Assumptions!$D$44:$D$46,MATCH($C64,Assumptions!$A$44:$A$46,0)))</f>
        <v>18000</v>
      </c>
    </row>
    <row r="109" customFormat="false" ht="15" hidden="false" customHeight="false" outlineLevel="0" collapsed="false">
      <c r="A109" s="2" t="n">
        <f aca="false">A65</f>
        <v>18</v>
      </c>
      <c r="B109" s="2" t="str">
        <f aca="false">B65</f>
        <v>B</v>
      </c>
      <c r="C109" s="2" t="str">
        <f aca="false">C65</f>
        <v>Verified</v>
      </c>
      <c r="D109" s="2"/>
      <c r="E109" s="2"/>
      <c r="F109" s="2"/>
      <c r="G109" s="2"/>
      <c r="H109" s="23" t="n">
        <f aca="false">H65*IF(AND($C65="Assured",H$45&gt;=$C$25),$C$24,INDEX(Assumptions!$D$44:$D$46,MATCH($C65,Assumptions!$A$44:$A$46,0)))</f>
        <v>0</v>
      </c>
      <c r="I109" s="23" t="n">
        <f aca="false">I65*IF(AND($C65="Assured",I$45&gt;=$C$25),$C$24,INDEX(Assumptions!$D$44:$D$46,MATCH($C65,Assumptions!$A$44:$A$46,0)))</f>
        <v>0</v>
      </c>
      <c r="J109" s="23" t="n">
        <f aca="false">J65*IF(AND($C65="Assured",J$45&gt;=$C$25),$C$24,INDEX(Assumptions!$D$44:$D$46,MATCH($C65,Assumptions!$A$44:$A$46,0)))</f>
        <v>0</v>
      </c>
      <c r="K109" s="23" t="n">
        <f aca="false">K65*IF(AND($C65="Assured",K$45&gt;=$C$25),$C$24,INDEX(Assumptions!$D$44:$D$46,MATCH($C65,Assumptions!$A$44:$A$46,0)))</f>
        <v>0</v>
      </c>
      <c r="L109" s="23" t="n">
        <f aca="false">L65*IF(AND($C65="Assured",L$45&gt;=$C$25),$C$24,INDEX(Assumptions!$D$44:$D$46,MATCH($C65,Assumptions!$A$44:$A$46,0)))</f>
        <v>0</v>
      </c>
      <c r="M109" s="23" t="n">
        <f aca="false">M65*IF(AND($C65="Assured",M$45&gt;=$C$25),$C$24,INDEX(Assumptions!$D$44:$D$46,MATCH($C65,Assumptions!$A$44:$A$46,0)))</f>
        <v>0</v>
      </c>
      <c r="N109" s="23" t="n">
        <f aca="false">N65*IF(AND($C65="Assured",N$45&gt;=$C$25),$C$24,INDEX(Assumptions!$D$44:$D$46,MATCH($C65,Assumptions!$A$44:$A$46,0)))</f>
        <v>0</v>
      </c>
      <c r="O109" s="23" t="n">
        <f aca="false">O65*IF(AND($C65="Assured",O$45&gt;=$C$25),$C$24,INDEX(Assumptions!$D$44:$D$46,MATCH($C65,Assumptions!$A$44:$A$46,0)))</f>
        <v>0</v>
      </c>
      <c r="P109" s="23" t="n">
        <f aca="false">P65*IF(AND($C65="Assured",P$45&gt;=$C$25),$C$24,INDEX(Assumptions!$D$44:$D$46,MATCH($C65,Assumptions!$A$44:$A$46,0)))</f>
        <v>0</v>
      </c>
      <c r="Q109" s="23" t="n">
        <f aca="false">Q65*IF(AND($C65="Assured",Q$45&gt;=$C$25),$C$24,INDEX(Assumptions!$D$44:$D$46,MATCH($C65,Assumptions!$A$44:$A$46,0)))</f>
        <v>0</v>
      </c>
      <c r="R109" s="23" t="n">
        <f aca="false">R65*IF(AND($C65="Assured",R$45&gt;=$C$25),$C$24,INDEX(Assumptions!$D$44:$D$46,MATCH($C65,Assumptions!$A$44:$A$46,0)))</f>
        <v>0</v>
      </c>
      <c r="S109" s="23" t="n">
        <f aca="false">S65*IF(AND($C65="Assured",S$45&gt;=$C$25),$C$24,INDEX(Assumptions!$D$44:$D$46,MATCH($C65,Assumptions!$A$44:$A$46,0)))</f>
        <v>0</v>
      </c>
      <c r="T109" s="23" t="n">
        <f aca="false">T65*IF(AND($C65="Assured",T$45&gt;=$C$25),$C$24,INDEX(Assumptions!$D$44:$D$46,MATCH($C65,Assumptions!$A$44:$A$46,0)))</f>
        <v>5400</v>
      </c>
      <c r="U109" s="23" t="n">
        <f aca="false">U65*IF(AND($C65="Assured",U$45&gt;=$C$25),$C$24,INDEX(Assumptions!$D$44:$D$46,MATCH($C65,Assumptions!$A$44:$A$46,0)))</f>
        <v>10800</v>
      </c>
      <c r="V109" s="23" t="n">
        <f aca="false">V65*IF(AND($C65="Assured",V$45&gt;=$C$25),$C$24,INDEX(Assumptions!$D$44:$D$46,MATCH($C65,Assumptions!$A$44:$A$46,0)))</f>
        <v>15300</v>
      </c>
      <c r="W109" s="23" t="n">
        <f aca="false">W65*IF(AND($C65="Assured",W$45&gt;=$C$25),$C$24,INDEX(Assumptions!$D$44:$D$46,MATCH($C65,Assumptions!$A$44:$A$46,0)))</f>
        <v>18000</v>
      </c>
      <c r="X109" s="23" t="n">
        <f aca="false">X65*IF(AND($C65="Assured",X$45&gt;=$C$25),$C$24,INDEX(Assumptions!$D$44:$D$46,MATCH($C65,Assumptions!$A$44:$A$46,0)))</f>
        <v>18000</v>
      </c>
      <c r="Y109" s="23" t="n">
        <f aca="false">Y65*IF(AND($C65="Assured",Y$45&gt;=$C$25),$C$24,INDEX(Assumptions!$D$44:$D$46,MATCH($C65,Assumptions!$A$44:$A$46,0)))</f>
        <v>18000</v>
      </c>
    </row>
    <row r="110" customFormat="false" ht="15" hidden="false" customHeight="false" outlineLevel="0" collapsed="false">
      <c r="A110" s="2" t="n">
        <f aca="false">A66</f>
        <v>19</v>
      </c>
      <c r="B110" s="2" t="str">
        <f aca="false">B66</f>
        <v>B</v>
      </c>
      <c r="C110" s="2" t="str">
        <f aca="false">C66</f>
        <v>Verified</v>
      </c>
      <c r="D110" s="2"/>
      <c r="E110" s="2"/>
      <c r="F110" s="2"/>
      <c r="G110" s="2"/>
      <c r="H110" s="23" t="n">
        <f aca="false">H66*IF(AND($C66="Assured",H$45&gt;=$C$25),$C$24,INDEX(Assumptions!$D$44:$D$46,MATCH($C66,Assumptions!$A$44:$A$46,0)))</f>
        <v>0</v>
      </c>
      <c r="I110" s="23" t="n">
        <f aca="false">I66*IF(AND($C66="Assured",I$45&gt;=$C$25),$C$24,INDEX(Assumptions!$D$44:$D$46,MATCH($C66,Assumptions!$A$44:$A$46,0)))</f>
        <v>0</v>
      </c>
      <c r="J110" s="23" t="n">
        <f aca="false">J66*IF(AND($C66="Assured",J$45&gt;=$C$25),$C$24,INDEX(Assumptions!$D$44:$D$46,MATCH($C66,Assumptions!$A$44:$A$46,0)))</f>
        <v>0</v>
      </c>
      <c r="K110" s="23" t="n">
        <f aca="false">K66*IF(AND($C66="Assured",K$45&gt;=$C$25),$C$24,INDEX(Assumptions!$D$44:$D$46,MATCH($C66,Assumptions!$A$44:$A$46,0)))</f>
        <v>0</v>
      </c>
      <c r="L110" s="23" t="n">
        <f aca="false">L66*IF(AND($C66="Assured",L$45&gt;=$C$25),$C$24,INDEX(Assumptions!$D$44:$D$46,MATCH($C66,Assumptions!$A$44:$A$46,0)))</f>
        <v>0</v>
      </c>
      <c r="M110" s="23" t="n">
        <f aca="false">M66*IF(AND($C66="Assured",M$45&gt;=$C$25),$C$24,INDEX(Assumptions!$D$44:$D$46,MATCH($C66,Assumptions!$A$44:$A$46,0)))</f>
        <v>0</v>
      </c>
      <c r="N110" s="23" t="n">
        <f aca="false">N66*IF(AND($C66="Assured",N$45&gt;=$C$25),$C$24,INDEX(Assumptions!$D$44:$D$46,MATCH($C66,Assumptions!$A$44:$A$46,0)))</f>
        <v>0</v>
      </c>
      <c r="O110" s="23" t="n">
        <f aca="false">O66*IF(AND($C66="Assured",O$45&gt;=$C$25),$C$24,INDEX(Assumptions!$D$44:$D$46,MATCH($C66,Assumptions!$A$44:$A$46,0)))</f>
        <v>0</v>
      </c>
      <c r="P110" s="23" t="n">
        <f aca="false">P66*IF(AND($C66="Assured",P$45&gt;=$C$25),$C$24,INDEX(Assumptions!$D$44:$D$46,MATCH($C66,Assumptions!$A$44:$A$46,0)))</f>
        <v>0</v>
      </c>
      <c r="Q110" s="23" t="n">
        <f aca="false">Q66*IF(AND($C66="Assured",Q$45&gt;=$C$25),$C$24,INDEX(Assumptions!$D$44:$D$46,MATCH($C66,Assumptions!$A$44:$A$46,0)))</f>
        <v>0</v>
      </c>
      <c r="R110" s="23" t="n">
        <f aca="false">R66*IF(AND($C66="Assured",R$45&gt;=$C$25),$C$24,INDEX(Assumptions!$D$44:$D$46,MATCH($C66,Assumptions!$A$44:$A$46,0)))</f>
        <v>0</v>
      </c>
      <c r="S110" s="23" t="n">
        <f aca="false">S66*IF(AND($C66="Assured",S$45&gt;=$C$25),$C$24,INDEX(Assumptions!$D$44:$D$46,MATCH($C66,Assumptions!$A$44:$A$46,0)))</f>
        <v>0</v>
      </c>
      <c r="T110" s="23" t="n">
        <f aca="false">T66*IF(AND($C66="Assured",T$45&gt;=$C$25),$C$24,INDEX(Assumptions!$D$44:$D$46,MATCH($C66,Assumptions!$A$44:$A$46,0)))</f>
        <v>0</v>
      </c>
      <c r="U110" s="23" t="n">
        <f aca="false">U66*IF(AND($C66="Assured",U$45&gt;=$C$25),$C$24,INDEX(Assumptions!$D$44:$D$46,MATCH($C66,Assumptions!$A$44:$A$46,0)))</f>
        <v>5400</v>
      </c>
      <c r="V110" s="23" t="n">
        <f aca="false">V66*IF(AND($C66="Assured",V$45&gt;=$C$25),$C$24,INDEX(Assumptions!$D$44:$D$46,MATCH($C66,Assumptions!$A$44:$A$46,0)))</f>
        <v>10800</v>
      </c>
      <c r="W110" s="23" t="n">
        <f aca="false">W66*IF(AND($C66="Assured",W$45&gt;=$C$25),$C$24,INDEX(Assumptions!$D$44:$D$46,MATCH($C66,Assumptions!$A$44:$A$46,0)))</f>
        <v>15300</v>
      </c>
      <c r="X110" s="23" t="n">
        <f aca="false">X66*IF(AND($C66="Assured",X$45&gt;=$C$25),$C$24,INDEX(Assumptions!$D$44:$D$46,MATCH($C66,Assumptions!$A$44:$A$46,0)))</f>
        <v>18000</v>
      </c>
      <c r="Y110" s="23" t="n">
        <f aca="false">Y66*IF(AND($C66="Assured",Y$45&gt;=$C$25),$C$24,INDEX(Assumptions!$D$44:$D$46,MATCH($C66,Assumptions!$A$44:$A$46,0)))</f>
        <v>18000</v>
      </c>
    </row>
    <row r="111" customFormat="false" ht="15" hidden="false" customHeight="false" outlineLevel="0" collapsed="false">
      <c r="A111" s="2" t="n">
        <f aca="false">A67</f>
        <v>20</v>
      </c>
      <c r="B111" s="2" t="str">
        <f aca="false">B67</f>
        <v>B</v>
      </c>
      <c r="C111" s="2" t="str">
        <f aca="false">C67</f>
        <v>Verified</v>
      </c>
      <c r="D111" s="2"/>
      <c r="E111" s="2"/>
      <c r="F111" s="2"/>
      <c r="G111" s="2"/>
      <c r="H111" s="23" t="n">
        <f aca="false">H67*IF(AND($C67="Assured",H$45&gt;=$C$25),$C$24,INDEX(Assumptions!$D$44:$D$46,MATCH($C67,Assumptions!$A$44:$A$46,0)))</f>
        <v>0</v>
      </c>
      <c r="I111" s="23" t="n">
        <f aca="false">I67*IF(AND($C67="Assured",I$45&gt;=$C$25),$C$24,INDEX(Assumptions!$D$44:$D$46,MATCH($C67,Assumptions!$A$44:$A$46,0)))</f>
        <v>0</v>
      </c>
      <c r="J111" s="23" t="n">
        <f aca="false">J67*IF(AND($C67="Assured",J$45&gt;=$C$25),$C$24,INDEX(Assumptions!$D$44:$D$46,MATCH($C67,Assumptions!$A$44:$A$46,0)))</f>
        <v>0</v>
      </c>
      <c r="K111" s="23" t="n">
        <f aca="false">K67*IF(AND($C67="Assured",K$45&gt;=$C$25),$C$24,INDEX(Assumptions!$D$44:$D$46,MATCH($C67,Assumptions!$A$44:$A$46,0)))</f>
        <v>0</v>
      </c>
      <c r="L111" s="23" t="n">
        <f aca="false">L67*IF(AND($C67="Assured",L$45&gt;=$C$25),$C$24,INDEX(Assumptions!$D$44:$D$46,MATCH($C67,Assumptions!$A$44:$A$46,0)))</f>
        <v>0</v>
      </c>
      <c r="M111" s="23" t="n">
        <f aca="false">M67*IF(AND($C67="Assured",M$45&gt;=$C$25),$C$24,INDEX(Assumptions!$D$44:$D$46,MATCH($C67,Assumptions!$A$44:$A$46,0)))</f>
        <v>0</v>
      </c>
      <c r="N111" s="23" t="n">
        <f aca="false">N67*IF(AND($C67="Assured",N$45&gt;=$C$25),$C$24,INDEX(Assumptions!$D$44:$D$46,MATCH($C67,Assumptions!$A$44:$A$46,0)))</f>
        <v>0</v>
      </c>
      <c r="O111" s="23" t="n">
        <f aca="false">O67*IF(AND($C67="Assured",O$45&gt;=$C$25),$C$24,INDEX(Assumptions!$D$44:$D$46,MATCH($C67,Assumptions!$A$44:$A$46,0)))</f>
        <v>0</v>
      </c>
      <c r="P111" s="23" t="n">
        <f aca="false">P67*IF(AND($C67="Assured",P$45&gt;=$C$25),$C$24,INDEX(Assumptions!$D$44:$D$46,MATCH($C67,Assumptions!$A$44:$A$46,0)))</f>
        <v>0</v>
      </c>
      <c r="Q111" s="23" t="n">
        <f aca="false">Q67*IF(AND($C67="Assured",Q$45&gt;=$C$25),$C$24,INDEX(Assumptions!$D$44:$D$46,MATCH($C67,Assumptions!$A$44:$A$46,0)))</f>
        <v>0</v>
      </c>
      <c r="R111" s="23" t="n">
        <f aca="false">R67*IF(AND($C67="Assured",R$45&gt;=$C$25),$C$24,INDEX(Assumptions!$D$44:$D$46,MATCH($C67,Assumptions!$A$44:$A$46,0)))</f>
        <v>0</v>
      </c>
      <c r="S111" s="23" t="n">
        <f aca="false">S67*IF(AND($C67="Assured",S$45&gt;=$C$25),$C$24,INDEX(Assumptions!$D$44:$D$46,MATCH($C67,Assumptions!$A$44:$A$46,0)))</f>
        <v>0</v>
      </c>
      <c r="T111" s="23" t="n">
        <f aca="false">T67*IF(AND($C67="Assured",T$45&gt;=$C$25),$C$24,INDEX(Assumptions!$D$44:$D$46,MATCH($C67,Assumptions!$A$44:$A$46,0)))</f>
        <v>0</v>
      </c>
      <c r="U111" s="23" t="n">
        <f aca="false">U67*IF(AND($C67="Assured",U$45&gt;=$C$25),$C$24,INDEX(Assumptions!$D$44:$D$46,MATCH($C67,Assumptions!$A$44:$A$46,0)))</f>
        <v>5400</v>
      </c>
      <c r="V111" s="23" t="n">
        <f aca="false">V67*IF(AND($C67="Assured",V$45&gt;=$C$25),$C$24,INDEX(Assumptions!$D$44:$D$46,MATCH($C67,Assumptions!$A$44:$A$46,0)))</f>
        <v>10800</v>
      </c>
      <c r="W111" s="23" t="n">
        <f aca="false">W67*IF(AND($C67="Assured",W$45&gt;=$C$25),$C$24,INDEX(Assumptions!$D$44:$D$46,MATCH($C67,Assumptions!$A$44:$A$46,0)))</f>
        <v>15300</v>
      </c>
      <c r="X111" s="23" t="n">
        <f aca="false">X67*IF(AND($C67="Assured",X$45&gt;=$C$25),$C$24,INDEX(Assumptions!$D$44:$D$46,MATCH($C67,Assumptions!$A$44:$A$46,0)))</f>
        <v>18000</v>
      </c>
      <c r="Y111" s="23" t="n">
        <f aca="false">Y67*IF(AND($C67="Assured",Y$45&gt;=$C$25),$C$24,INDEX(Assumptions!$D$44:$D$46,MATCH($C67,Assumptions!$A$44:$A$46,0)))</f>
        <v>18000</v>
      </c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" hidden="false" customHeight="false" outlineLevel="0" collapsed="false">
      <c r="A113" s="37" t="s">
        <v>201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customFormat="false" ht="15" hidden="false" customHeight="false" outlineLevel="0" collapsed="false">
      <c r="A114" s="2" t="n">
        <f aca="false">A48</f>
        <v>1</v>
      </c>
      <c r="B114" s="2" t="str">
        <f aca="false">B48</f>
        <v>Pilot</v>
      </c>
      <c r="C114" s="2" t="str">
        <f aca="false">C48</f>
        <v>Assured</v>
      </c>
      <c r="D114" s="2"/>
      <c r="E114" s="2"/>
      <c r="F114" s="2"/>
      <c r="G114" s="2"/>
      <c r="H114" s="23" t="n">
        <f aca="false">IF($F48=1,IF(H$45=1,INDEX(Assumptions!$E$44:$E$46,MATCH($C48,Assumptions!$A$44:$A$46,0))*$C$34,0),IF(H$45=MAX($G48-1,1),INDEX(Assumptions!$E$44:$E$46,MATCH($C48,Assumptions!$A$44:$A$46,0)),0))*IF(AND($C48="Verified",$C$39=1),0,1)</f>
        <v>60000</v>
      </c>
      <c r="I114" s="23" t="n">
        <f aca="false">IF($F48=1,IF(I$45=1,INDEX(Assumptions!$E$44:$E$46,MATCH($C48,Assumptions!$A$44:$A$46,0))*$C$34,0),IF(I$45=MAX($G48-1,1),INDEX(Assumptions!$E$44:$E$46,MATCH($C48,Assumptions!$A$44:$A$46,0)),0))*IF(AND($C48="Verified",$C$39=1),0,1)</f>
        <v>0</v>
      </c>
      <c r="J114" s="23" t="n">
        <f aca="false">IF($F48=1,IF(J$45=1,INDEX(Assumptions!$E$44:$E$46,MATCH($C48,Assumptions!$A$44:$A$46,0))*$C$34,0),IF(J$45=MAX($G48-1,1),INDEX(Assumptions!$E$44:$E$46,MATCH($C48,Assumptions!$A$44:$A$46,0)),0))*IF(AND($C48="Verified",$C$39=1),0,1)</f>
        <v>0</v>
      </c>
      <c r="K114" s="23" t="n">
        <f aca="false">IF($F48=1,IF(K$45=1,INDEX(Assumptions!$E$44:$E$46,MATCH($C48,Assumptions!$A$44:$A$46,0))*$C$34,0),IF(K$45=MAX($G48-1,1),INDEX(Assumptions!$E$44:$E$46,MATCH($C48,Assumptions!$A$44:$A$46,0)),0))*IF(AND($C48="Verified",$C$39=1),0,1)</f>
        <v>0</v>
      </c>
      <c r="L114" s="23" t="n">
        <f aca="false">IF($F48=1,IF(L$45=1,INDEX(Assumptions!$E$44:$E$46,MATCH($C48,Assumptions!$A$44:$A$46,0))*$C$34,0),IF(L$45=MAX($G48-1,1),INDEX(Assumptions!$E$44:$E$46,MATCH($C48,Assumptions!$A$44:$A$46,0)),0))*IF(AND($C48="Verified",$C$39=1),0,1)</f>
        <v>0</v>
      </c>
      <c r="M114" s="23" t="n">
        <f aca="false">IF($F48=1,IF(M$45=1,INDEX(Assumptions!$E$44:$E$46,MATCH($C48,Assumptions!$A$44:$A$46,0))*$C$34,0),IF(M$45=MAX($G48-1,1),INDEX(Assumptions!$E$44:$E$46,MATCH($C48,Assumptions!$A$44:$A$46,0)),0))*IF(AND($C48="Verified",$C$39=1),0,1)</f>
        <v>0</v>
      </c>
      <c r="N114" s="23" t="n">
        <f aca="false">IF($F48=1,IF(N$45=1,INDEX(Assumptions!$E$44:$E$46,MATCH($C48,Assumptions!$A$44:$A$46,0))*$C$34,0),IF(N$45=MAX($G48-1,1),INDEX(Assumptions!$E$44:$E$46,MATCH($C48,Assumptions!$A$44:$A$46,0)),0))*IF(AND($C48="Verified",$C$39=1),0,1)</f>
        <v>0</v>
      </c>
      <c r="O114" s="23" t="n">
        <f aca="false">IF($F48=1,IF(O$45=1,INDEX(Assumptions!$E$44:$E$46,MATCH($C48,Assumptions!$A$44:$A$46,0))*$C$34,0),IF(O$45=MAX($G48-1,1),INDEX(Assumptions!$E$44:$E$46,MATCH($C48,Assumptions!$A$44:$A$46,0)),0))*IF(AND($C48="Verified",$C$39=1),0,1)</f>
        <v>0</v>
      </c>
      <c r="P114" s="23" t="n">
        <f aca="false">IF($F48=1,IF(P$45=1,INDEX(Assumptions!$E$44:$E$46,MATCH($C48,Assumptions!$A$44:$A$46,0))*$C$34,0),IF(P$45=MAX($G48-1,1),INDEX(Assumptions!$E$44:$E$46,MATCH($C48,Assumptions!$A$44:$A$46,0)),0))*IF(AND($C48="Verified",$C$39=1),0,1)</f>
        <v>0</v>
      </c>
      <c r="Q114" s="23" t="n">
        <f aca="false">IF($F48=1,IF(Q$45=1,INDEX(Assumptions!$E$44:$E$46,MATCH($C48,Assumptions!$A$44:$A$46,0))*$C$34,0),IF(Q$45=MAX($G48-1,1),INDEX(Assumptions!$E$44:$E$46,MATCH($C48,Assumptions!$A$44:$A$46,0)),0))*IF(AND($C48="Verified",$C$39=1),0,1)</f>
        <v>0</v>
      </c>
      <c r="R114" s="23" t="n">
        <f aca="false">IF($F48=1,IF(R$45=1,INDEX(Assumptions!$E$44:$E$46,MATCH($C48,Assumptions!$A$44:$A$46,0))*$C$34,0),IF(R$45=MAX($G48-1,1),INDEX(Assumptions!$E$44:$E$46,MATCH($C48,Assumptions!$A$44:$A$46,0)),0))*IF(AND($C48="Verified",$C$39=1),0,1)</f>
        <v>0</v>
      </c>
      <c r="S114" s="23" t="n">
        <f aca="false">IF($F48=1,IF(S$45=1,INDEX(Assumptions!$E$44:$E$46,MATCH($C48,Assumptions!$A$44:$A$46,0))*$C$34,0),IF(S$45=MAX($G48-1,1),INDEX(Assumptions!$E$44:$E$46,MATCH($C48,Assumptions!$A$44:$A$46,0)),0))*IF(AND($C48="Verified",$C$39=1),0,1)</f>
        <v>0</v>
      </c>
      <c r="T114" s="23" t="n">
        <f aca="false">IF($F48=1,IF(T$45=1,INDEX(Assumptions!$E$44:$E$46,MATCH($C48,Assumptions!$A$44:$A$46,0))*$C$34,0),IF(T$45=MAX($G48-1,1),INDEX(Assumptions!$E$44:$E$46,MATCH($C48,Assumptions!$A$44:$A$46,0)),0))*IF(AND($C48="Verified",$C$39=1),0,1)</f>
        <v>0</v>
      </c>
      <c r="U114" s="23" t="n">
        <f aca="false">IF($F48=1,IF(U$45=1,INDEX(Assumptions!$E$44:$E$46,MATCH($C48,Assumptions!$A$44:$A$46,0))*$C$34,0),IF(U$45=MAX($G48-1,1),INDEX(Assumptions!$E$44:$E$46,MATCH($C48,Assumptions!$A$44:$A$46,0)),0))*IF(AND($C48="Verified",$C$39=1),0,1)</f>
        <v>0</v>
      </c>
      <c r="V114" s="23" t="n">
        <f aca="false">IF($F48=1,IF(V$45=1,INDEX(Assumptions!$E$44:$E$46,MATCH($C48,Assumptions!$A$44:$A$46,0))*$C$34,0),IF(V$45=MAX($G48-1,1),INDEX(Assumptions!$E$44:$E$46,MATCH($C48,Assumptions!$A$44:$A$46,0)),0))*IF(AND($C48="Verified",$C$39=1),0,1)</f>
        <v>0</v>
      </c>
      <c r="W114" s="23" t="n">
        <f aca="false">IF($F48=1,IF(W$45=1,INDEX(Assumptions!$E$44:$E$46,MATCH($C48,Assumptions!$A$44:$A$46,0))*$C$34,0),IF(W$45=MAX($G48-1,1),INDEX(Assumptions!$E$44:$E$46,MATCH($C48,Assumptions!$A$44:$A$46,0)),0))*IF(AND($C48="Verified",$C$39=1),0,1)</f>
        <v>0</v>
      </c>
      <c r="X114" s="23" t="n">
        <f aca="false">IF($F48=1,IF(X$45=1,INDEX(Assumptions!$E$44:$E$46,MATCH($C48,Assumptions!$A$44:$A$46,0))*$C$34,0),IF(X$45=MAX($G48-1,1),INDEX(Assumptions!$E$44:$E$46,MATCH($C48,Assumptions!$A$44:$A$46,0)),0))*IF(AND($C48="Verified",$C$39=1),0,1)</f>
        <v>0</v>
      </c>
      <c r="Y114" s="23" t="n">
        <f aca="false">IF($F48=1,IF(Y$45=1,INDEX(Assumptions!$E$44:$E$46,MATCH($C48,Assumptions!$A$44:$A$46,0))*$C$34,0),IF(Y$45=MAX($G48-1,1),INDEX(Assumptions!$E$44:$E$46,MATCH($C48,Assumptions!$A$44:$A$46,0)),0))*IF(AND($C48="Verified",$C$39=1),0,1)</f>
        <v>0</v>
      </c>
    </row>
    <row r="115" customFormat="false" ht="15" hidden="false" customHeight="false" outlineLevel="0" collapsed="false">
      <c r="A115" s="2" t="n">
        <f aca="false">A49</f>
        <v>2</v>
      </c>
      <c r="B115" s="2" t="str">
        <f aca="false">B49</f>
        <v>Pilot</v>
      </c>
      <c r="C115" s="2" t="str">
        <f aca="false">C49</f>
        <v>Assured</v>
      </c>
      <c r="D115" s="2"/>
      <c r="E115" s="2"/>
      <c r="F115" s="2"/>
      <c r="G115" s="2"/>
      <c r="H115" s="23" t="n">
        <f aca="false">IF($F49=1,IF(H$45=1,INDEX(Assumptions!$E$44:$E$46,MATCH($C49,Assumptions!$A$44:$A$46,0))*$C$34,0),IF(H$45=MAX($G49-1,1),INDEX(Assumptions!$E$44:$E$46,MATCH($C49,Assumptions!$A$44:$A$46,0)),0))*IF(AND($C49="Verified",$C$39=1),0,1)</f>
        <v>60000</v>
      </c>
      <c r="I115" s="23" t="n">
        <f aca="false">IF($F49=1,IF(I$45=1,INDEX(Assumptions!$E$44:$E$46,MATCH($C49,Assumptions!$A$44:$A$46,0))*$C$34,0),IF(I$45=MAX($G49-1,1),INDEX(Assumptions!$E$44:$E$46,MATCH($C49,Assumptions!$A$44:$A$46,0)),0))*IF(AND($C49="Verified",$C$39=1),0,1)</f>
        <v>0</v>
      </c>
      <c r="J115" s="23" t="n">
        <f aca="false">IF($F49=1,IF(J$45=1,INDEX(Assumptions!$E$44:$E$46,MATCH($C49,Assumptions!$A$44:$A$46,0))*$C$34,0),IF(J$45=MAX($G49-1,1),INDEX(Assumptions!$E$44:$E$46,MATCH($C49,Assumptions!$A$44:$A$46,0)),0))*IF(AND($C49="Verified",$C$39=1),0,1)</f>
        <v>0</v>
      </c>
      <c r="K115" s="23" t="n">
        <f aca="false">IF($F49=1,IF(K$45=1,INDEX(Assumptions!$E$44:$E$46,MATCH($C49,Assumptions!$A$44:$A$46,0))*$C$34,0),IF(K$45=MAX($G49-1,1),INDEX(Assumptions!$E$44:$E$46,MATCH($C49,Assumptions!$A$44:$A$46,0)),0))*IF(AND($C49="Verified",$C$39=1),0,1)</f>
        <v>0</v>
      </c>
      <c r="L115" s="23" t="n">
        <f aca="false">IF($F49=1,IF(L$45=1,INDEX(Assumptions!$E$44:$E$46,MATCH($C49,Assumptions!$A$44:$A$46,0))*$C$34,0),IF(L$45=MAX($G49-1,1),INDEX(Assumptions!$E$44:$E$46,MATCH($C49,Assumptions!$A$44:$A$46,0)),0))*IF(AND($C49="Verified",$C$39=1),0,1)</f>
        <v>0</v>
      </c>
      <c r="M115" s="23" t="n">
        <f aca="false">IF($F49=1,IF(M$45=1,INDEX(Assumptions!$E$44:$E$46,MATCH($C49,Assumptions!$A$44:$A$46,0))*$C$34,0),IF(M$45=MAX($G49-1,1),INDEX(Assumptions!$E$44:$E$46,MATCH($C49,Assumptions!$A$44:$A$46,0)),0))*IF(AND($C49="Verified",$C$39=1),0,1)</f>
        <v>0</v>
      </c>
      <c r="N115" s="23" t="n">
        <f aca="false">IF($F49=1,IF(N$45=1,INDEX(Assumptions!$E$44:$E$46,MATCH($C49,Assumptions!$A$44:$A$46,0))*$C$34,0),IF(N$45=MAX($G49-1,1),INDEX(Assumptions!$E$44:$E$46,MATCH($C49,Assumptions!$A$44:$A$46,0)),0))*IF(AND($C49="Verified",$C$39=1),0,1)</f>
        <v>0</v>
      </c>
      <c r="O115" s="23" t="n">
        <f aca="false">IF($F49=1,IF(O$45=1,INDEX(Assumptions!$E$44:$E$46,MATCH($C49,Assumptions!$A$44:$A$46,0))*$C$34,0),IF(O$45=MAX($G49-1,1),INDEX(Assumptions!$E$44:$E$46,MATCH($C49,Assumptions!$A$44:$A$46,0)),0))*IF(AND($C49="Verified",$C$39=1),0,1)</f>
        <v>0</v>
      </c>
      <c r="P115" s="23" t="n">
        <f aca="false">IF($F49=1,IF(P$45=1,INDEX(Assumptions!$E$44:$E$46,MATCH($C49,Assumptions!$A$44:$A$46,0))*$C$34,0),IF(P$45=MAX($G49-1,1),INDEX(Assumptions!$E$44:$E$46,MATCH($C49,Assumptions!$A$44:$A$46,0)),0))*IF(AND($C49="Verified",$C$39=1),0,1)</f>
        <v>0</v>
      </c>
      <c r="Q115" s="23" t="n">
        <f aca="false">IF($F49=1,IF(Q$45=1,INDEX(Assumptions!$E$44:$E$46,MATCH($C49,Assumptions!$A$44:$A$46,0))*$C$34,0),IF(Q$45=MAX($G49-1,1),INDEX(Assumptions!$E$44:$E$46,MATCH($C49,Assumptions!$A$44:$A$46,0)),0))*IF(AND($C49="Verified",$C$39=1),0,1)</f>
        <v>0</v>
      </c>
      <c r="R115" s="23" t="n">
        <f aca="false">IF($F49=1,IF(R$45=1,INDEX(Assumptions!$E$44:$E$46,MATCH($C49,Assumptions!$A$44:$A$46,0))*$C$34,0),IF(R$45=MAX($G49-1,1),INDEX(Assumptions!$E$44:$E$46,MATCH($C49,Assumptions!$A$44:$A$46,0)),0))*IF(AND($C49="Verified",$C$39=1),0,1)</f>
        <v>0</v>
      </c>
      <c r="S115" s="23" t="n">
        <f aca="false">IF($F49=1,IF(S$45=1,INDEX(Assumptions!$E$44:$E$46,MATCH($C49,Assumptions!$A$44:$A$46,0))*$C$34,0),IF(S$45=MAX($G49-1,1),INDEX(Assumptions!$E$44:$E$46,MATCH($C49,Assumptions!$A$44:$A$46,0)),0))*IF(AND($C49="Verified",$C$39=1),0,1)</f>
        <v>0</v>
      </c>
      <c r="T115" s="23" t="n">
        <f aca="false">IF($F49=1,IF(T$45=1,INDEX(Assumptions!$E$44:$E$46,MATCH($C49,Assumptions!$A$44:$A$46,0))*$C$34,0),IF(T$45=MAX($G49-1,1),INDEX(Assumptions!$E$44:$E$46,MATCH($C49,Assumptions!$A$44:$A$46,0)),0))*IF(AND($C49="Verified",$C$39=1),0,1)</f>
        <v>0</v>
      </c>
      <c r="U115" s="23" t="n">
        <f aca="false">IF($F49=1,IF(U$45=1,INDEX(Assumptions!$E$44:$E$46,MATCH($C49,Assumptions!$A$44:$A$46,0))*$C$34,0),IF(U$45=MAX($G49-1,1),INDEX(Assumptions!$E$44:$E$46,MATCH($C49,Assumptions!$A$44:$A$46,0)),0))*IF(AND($C49="Verified",$C$39=1),0,1)</f>
        <v>0</v>
      </c>
      <c r="V115" s="23" t="n">
        <f aca="false">IF($F49=1,IF(V$45=1,INDEX(Assumptions!$E$44:$E$46,MATCH($C49,Assumptions!$A$44:$A$46,0))*$C$34,0),IF(V$45=MAX($G49-1,1),INDEX(Assumptions!$E$44:$E$46,MATCH($C49,Assumptions!$A$44:$A$46,0)),0))*IF(AND($C49="Verified",$C$39=1),0,1)</f>
        <v>0</v>
      </c>
      <c r="W115" s="23" t="n">
        <f aca="false">IF($F49=1,IF(W$45=1,INDEX(Assumptions!$E$44:$E$46,MATCH($C49,Assumptions!$A$44:$A$46,0))*$C$34,0),IF(W$45=MAX($G49-1,1),INDEX(Assumptions!$E$44:$E$46,MATCH($C49,Assumptions!$A$44:$A$46,0)),0))*IF(AND($C49="Verified",$C$39=1),0,1)</f>
        <v>0</v>
      </c>
      <c r="X115" s="23" t="n">
        <f aca="false">IF($F49=1,IF(X$45=1,INDEX(Assumptions!$E$44:$E$46,MATCH($C49,Assumptions!$A$44:$A$46,0))*$C$34,0),IF(X$45=MAX($G49-1,1),INDEX(Assumptions!$E$44:$E$46,MATCH($C49,Assumptions!$A$44:$A$46,0)),0))*IF(AND($C49="Verified",$C$39=1),0,1)</f>
        <v>0</v>
      </c>
      <c r="Y115" s="23" t="n">
        <f aca="false">IF($F49=1,IF(Y$45=1,INDEX(Assumptions!$E$44:$E$46,MATCH($C49,Assumptions!$A$44:$A$46,0))*$C$34,0),IF(Y$45=MAX($G49-1,1),INDEX(Assumptions!$E$44:$E$46,MATCH($C49,Assumptions!$A$44:$A$46,0)),0))*IF(AND($C49="Verified",$C$39=1),0,1)</f>
        <v>0</v>
      </c>
    </row>
    <row r="116" customFormat="false" ht="15" hidden="false" customHeight="false" outlineLevel="0" collapsed="false">
      <c r="A116" s="2" t="n">
        <f aca="false">A50</f>
        <v>3</v>
      </c>
      <c r="B116" s="2" t="str">
        <f aca="false">B50</f>
        <v>Pilot</v>
      </c>
      <c r="C116" s="2" t="str">
        <f aca="false">C50</f>
        <v>Assured</v>
      </c>
      <c r="D116" s="2"/>
      <c r="E116" s="2"/>
      <c r="F116" s="2"/>
      <c r="G116" s="2"/>
      <c r="H116" s="23" t="n">
        <f aca="false">IF($F50=1,IF(H$45=1,INDEX(Assumptions!$E$44:$E$46,MATCH($C50,Assumptions!$A$44:$A$46,0))*$C$34,0),IF(H$45=MAX($G50-1,1),INDEX(Assumptions!$E$44:$E$46,MATCH($C50,Assumptions!$A$44:$A$46,0)),0))*IF(AND($C50="Verified",$C$39=1),0,1)</f>
        <v>60000</v>
      </c>
      <c r="I116" s="23" t="n">
        <f aca="false">IF($F50=1,IF(I$45=1,INDEX(Assumptions!$E$44:$E$46,MATCH($C50,Assumptions!$A$44:$A$46,0))*$C$34,0),IF(I$45=MAX($G50-1,1),INDEX(Assumptions!$E$44:$E$46,MATCH($C50,Assumptions!$A$44:$A$46,0)),0))*IF(AND($C50="Verified",$C$39=1),0,1)</f>
        <v>0</v>
      </c>
      <c r="J116" s="23" t="n">
        <f aca="false">IF($F50=1,IF(J$45=1,INDEX(Assumptions!$E$44:$E$46,MATCH($C50,Assumptions!$A$44:$A$46,0))*$C$34,0),IF(J$45=MAX($G50-1,1),INDEX(Assumptions!$E$44:$E$46,MATCH($C50,Assumptions!$A$44:$A$46,0)),0))*IF(AND($C50="Verified",$C$39=1),0,1)</f>
        <v>0</v>
      </c>
      <c r="K116" s="23" t="n">
        <f aca="false">IF($F50=1,IF(K$45=1,INDEX(Assumptions!$E$44:$E$46,MATCH($C50,Assumptions!$A$44:$A$46,0))*$C$34,0),IF(K$45=MAX($G50-1,1),INDEX(Assumptions!$E$44:$E$46,MATCH($C50,Assumptions!$A$44:$A$46,0)),0))*IF(AND($C50="Verified",$C$39=1),0,1)</f>
        <v>0</v>
      </c>
      <c r="L116" s="23" t="n">
        <f aca="false">IF($F50=1,IF(L$45=1,INDEX(Assumptions!$E$44:$E$46,MATCH($C50,Assumptions!$A$44:$A$46,0))*$C$34,0),IF(L$45=MAX($G50-1,1),INDEX(Assumptions!$E$44:$E$46,MATCH($C50,Assumptions!$A$44:$A$46,0)),0))*IF(AND($C50="Verified",$C$39=1),0,1)</f>
        <v>0</v>
      </c>
      <c r="M116" s="23" t="n">
        <f aca="false">IF($F50=1,IF(M$45=1,INDEX(Assumptions!$E$44:$E$46,MATCH($C50,Assumptions!$A$44:$A$46,0))*$C$34,0),IF(M$45=MAX($G50-1,1),INDEX(Assumptions!$E$44:$E$46,MATCH($C50,Assumptions!$A$44:$A$46,0)),0))*IF(AND($C50="Verified",$C$39=1),0,1)</f>
        <v>0</v>
      </c>
      <c r="N116" s="23" t="n">
        <f aca="false">IF($F50=1,IF(N$45=1,INDEX(Assumptions!$E$44:$E$46,MATCH($C50,Assumptions!$A$44:$A$46,0))*$C$34,0),IF(N$45=MAX($G50-1,1),INDEX(Assumptions!$E$44:$E$46,MATCH($C50,Assumptions!$A$44:$A$46,0)),0))*IF(AND($C50="Verified",$C$39=1),0,1)</f>
        <v>0</v>
      </c>
      <c r="O116" s="23" t="n">
        <f aca="false">IF($F50=1,IF(O$45=1,INDEX(Assumptions!$E$44:$E$46,MATCH($C50,Assumptions!$A$44:$A$46,0))*$C$34,0),IF(O$45=MAX($G50-1,1),INDEX(Assumptions!$E$44:$E$46,MATCH($C50,Assumptions!$A$44:$A$46,0)),0))*IF(AND($C50="Verified",$C$39=1),0,1)</f>
        <v>0</v>
      </c>
      <c r="P116" s="23" t="n">
        <f aca="false">IF($F50=1,IF(P$45=1,INDEX(Assumptions!$E$44:$E$46,MATCH($C50,Assumptions!$A$44:$A$46,0))*$C$34,0),IF(P$45=MAX($G50-1,1),INDEX(Assumptions!$E$44:$E$46,MATCH($C50,Assumptions!$A$44:$A$46,0)),0))*IF(AND($C50="Verified",$C$39=1),0,1)</f>
        <v>0</v>
      </c>
      <c r="Q116" s="23" t="n">
        <f aca="false">IF($F50=1,IF(Q$45=1,INDEX(Assumptions!$E$44:$E$46,MATCH($C50,Assumptions!$A$44:$A$46,0))*$C$34,0),IF(Q$45=MAX($G50-1,1),INDEX(Assumptions!$E$44:$E$46,MATCH($C50,Assumptions!$A$44:$A$46,0)),0))*IF(AND($C50="Verified",$C$39=1),0,1)</f>
        <v>0</v>
      </c>
      <c r="R116" s="23" t="n">
        <f aca="false">IF($F50=1,IF(R$45=1,INDEX(Assumptions!$E$44:$E$46,MATCH($C50,Assumptions!$A$44:$A$46,0))*$C$34,0),IF(R$45=MAX($G50-1,1),INDEX(Assumptions!$E$44:$E$46,MATCH($C50,Assumptions!$A$44:$A$46,0)),0))*IF(AND($C50="Verified",$C$39=1),0,1)</f>
        <v>0</v>
      </c>
      <c r="S116" s="23" t="n">
        <f aca="false">IF($F50=1,IF(S$45=1,INDEX(Assumptions!$E$44:$E$46,MATCH($C50,Assumptions!$A$44:$A$46,0))*$C$34,0),IF(S$45=MAX($G50-1,1),INDEX(Assumptions!$E$44:$E$46,MATCH($C50,Assumptions!$A$44:$A$46,0)),0))*IF(AND($C50="Verified",$C$39=1),0,1)</f>
        <v>0</v>
      </c>
      <c r="T116" s="23" t="n">
        <f aca="false">IF($F50=1,IF(T$45=1,INDEX(Assumptions!$E$44:$E$46,MATCH($C50,Assumptions!$A$44:$A$46,0))*$C$34,0),IF(T$45=MAX($G50-1,1),INDEX(Assumptions!$E$44:$E$46,MATCH($C50,Assumptions!$A$44:$A$46,0)),0))*IF(AND($C50="Verified",$C$39=1),0,1)</f>
        <v>0</v>
      </c>
      <c r="U116" s="23" t="n">
        <f aca="false">IF($F50=1,IF(U$45=1,INDEX(Assumptions!$E$44:$E$46,MATCH($C50,Assumptions!$A$44:$A$46,0))*$C$34,0),IF(U$45=MAX($G50-1,1),INDEX(Assumptions!$E$44:$E$46,MATCH($C50,Assumptions!$A$44:$A$46,0)),0))*IF(AND($C50="Verified",$C$39=1),0,1)</f>
        <v>0</v>
      </c>
      <c r="V116" s="23" t="n">
        <f aca="false">IF($F50=1,IF(V$45=1,INDEX(Assumptions!$E$44:$E$46,MATCH($C50,Assumptions!$A$44:$A$46,0))*$C$34,0),IF(V$45=MAX($G50-1,1),INDEX(Assumptions!$E$44:$E$46,MATCH($C50,Assumptions!$A$44:$A$46,0)),0))*IF(AND($C50="Verified",$C$39=1),0,1)</f>
        <v>0</v>
      </c>
      <c r="W116" s="23" t="n">
        <f aca="false">IF($F50=1,IF(W$45=1,INDEX(Assumptions!$E$44:$E$46,MATCH($C50,Assumptions!$A$44:$A$46,0))*$C$34,0),IF(W$45=MAX($G50-1,1),INDEX(Assumptions!$E$44:$E$46,MATCH($C50,Assumptions!$A$44:$A$46,0)),0))*IF(AND($C50="Verified",$C$39=1),0,1)</f>
        <v>0</v>
      </c>
      <c r="X116" s="23" t="n">
        <f aca="false">IF($F50=1,IF(X$45=1,INDEX(Assumptions!$E$44:$E$46,MATCH($C50,Assumptions!$A$44:$A$46,0))*$C$34,0),IF(X$45=MAX($G50-1,1),INDEX(Assumptions!$E$44:$E$46,MATCH($C50,Assumptions!$A$44:$A$46,0)),0))*IF(AND($C50="Verified",$C$39=1),0,1)</f>
        <v>0</v>
      </c>
      <c r="Y116" s="23" t="n">
        <f aca="false">IF($F50=1,IF(Y$45=1,INDEX(Assumptions!$E$44:$E$46,MATCH($C50,Assumptions!$A$44:$A$46,0))*$C$34,0),IF(Y$45=MAX($G50-1,1),INDEX(Assumptions!$E$44:$E$46,MATCH($C50,Assumptions!$A$44:$A$46,0)),0))*IF(AND($C50="Verified",$C$39=1),0,1)</f>
        <v>0</v>
      </c>
    </row>
    <row r="117" customFormat="false" ht="15" hidden="false" customHeight="false" outlineLevel="0" collapsed="false">
      <c r="A117" s="2" t="n">
        <f aca="false">A51</f>
        <v>4</v>
      </c>
      <c r="B117" s="2" t="str">
        <f aca="false">B51</f>
        <v>Pilot</v>
      </c>
      <c r="C117" s="2" t="str">
        <f aca="false">C51</f>
        <v>Assured</v>
      </c>
      <c r="D117" s="2"/>
      <c r="E117" s="2"/>
      <c r="F117" s="2"/>
      <c r="G117" s="2"/>
      <c r="H117" s="23" t="n">
        <f aca="false">IF($F51=1,IF(H$45=1,INDEX(Assumptions!$E$44:$E$46,MATCH($C51,Assumptions!$A$44:$A$46,0))*$C$34,0),IF(H$45=MAX($G51-1,1),INDEX(Assumptions!$E$44:$E$46,MATCH($C51,Assumptions!$A$44:$A$46,0)),0))*IF(AND($C51="Verified",$C$39=1),0,1)</f>
        <v>60000</v>
      </c>
      <c r="I117" s="23" t="n">
        <f aca="false">IF($F51=1,IF(I$45=1,INDEX(Assumptions!$E$44:$E$46,MATCH($C51,Assumptions!$A$44:$A$46,0))*$C$34,0),IF(I$45=MAX($G51-1,1),INDEX(Assumptions!$E$44:$E$46,MATCH($C51,Assumptions!$A$44:$A$46,0)),0))*IF(AND($C51="Verified",$C$39=1),0,1)</f>
        <v>0</v>
      </c>
      <c r="J117" s="23" t="n">
        <f aca="false">IF($F51=1,IF(J$45=1,INDEX(Assumptions!$E$44:$E$46,MATCH($C51,Assumptions!$A$44:$A$46,0))*$C$34,0),IF(J$45=MAX($G51-1,1),INDEX(Assumptions!$E$44:$E$46,MATCH($C51,Assumptions!$A$44:$A$46,0)),0))*IF(AND($C51="Verified",$C$39=1),0,1)</f>
        <v>0</v>
      </c>
      <c r="K117" s="23" t="n">
        <f aca="false">IF($F51=1,IF(K$45=1,INDEX(Assumptions!$E$44:$E$46,MATCH($C51,Assumptions!$A$44:$A$46,0))*$C$34,0),IF(K$45=MAX($G51-1,1),INDEX(Assumptions!$E$44:$E$46,MATCH($C51,Assumptions!$A$44:$A$46,0)),0))*IF(AND($C51="Verified",$C$39=1),0,1)</f>
        <v>0</v>
      </c>
      <c r="L117" s="23" t="n">
        <f aca="false">IF($F51=1,IF(L$45=1,INDEX(Assumptions!$E$44:$E$46,MATCH($C51,Assumptions!$A$44:$A$46,0))*$C$34,0),IF(L$45=MAX($G51-1,1),INDEX(Assumptions!$E$44:$E$46,MATCH($C51,Assumptions!$A$44:$A$46,0)),0))*IF(AND($C51="Verified",$C$39=1),0,1)</f>
        <v>0</v>
      </c>
      <c r="M117" s="23" t="n">
        <f aca="false">IF($F51=1,IF(M$45=1,INDEX(Assumptions!$E$44:$E$46,MATCH($C51,Assumptions!$A$44:$A$46,0))*$C$34,0),IF(M$45=MAX($G51-1,1),INDEX(Assumptions!$E$44:$E$46,MATCH($C51,Assumptions!$A$44:$A$46,0)),0))*IF(AND($C51="Verified",$C$39=1),0,1)</f>
        <v>0</v>
      </c>
      <c r="N117" s="23" t="n">
        <f aca="false">IF($F51=1,IF(N$45=1,INDEX(Assumptions!$E$44:$E$46,MATCH($C51,Assumptions!$A$44:$A$46,0))*$C$34,0),IF(N$45=MAX($G51-1,1),INDEX(Assumptions!$E$44:$E$46,MATCH($C51,Assumptions!$A$44:$A$46,0)),0))*IF(AND($C51="Verified",$C$39=1),0,1)</f>
        <v>0</v>
      </c>
      <c r="O117" s="23" t="n">
        <f aca="false">IF($F51=1,IF(O$45=1,INDEX(Assumptions!$E$44:$E$46,MATCH($C51,Assumptions!$A$44:$A$46,0))*$C$34,0),IF(O$45=MAX($G51-1,1),INDEX(Assumptions!$E$44:$E$46,MATCH($C51,Assumptions!$A$44:$A$46,0)),0))*IF(AND($C51="Verified",$C$39=1),0,1)</f>
        <v>0</v>
      </c>
      <c r="P117" s="23" t="n">
        <f aca="false">IF($F51=1,IF(P$45=1,INDEX(Assumptions!$E$44:$E$46,MATCH($C51,Assumptions!$A$44:$A$46,0))*$C$34,0),IF(P$45=MAX($G51-1,1),INDEX(Assumptions!$E$44:$E$46,MATCH($C51,Assumptions!$A$44:$A$46,0)),0))*IF(AND($C51="Verified",$C$39=1),0,1)</f>
        <v>0</v>
      </c>
      <c r="Q117" s="23" t="n">
        <f aca="false">IF($F51=1,IF(Q$45=1,INDEX(Assumptions!$E$44:$E$46,MATCH($C51,Assumptions!$A$44:$A$46,0))*$C$34,0),IF(Q$45=MAX($G51-1,1),INDEX(Assumptions!$E$44:$E$46,MATCH($C51,Assumptions!$A$44:$A$46,0)),0))*IF(AND($C51="Verified",$C$39=1),0,1)</f>
        <v>0</v>
      </c>
      <c r="R117" s="23" t="n">
        <f aca="false">IF($F51=1,IF(R$45=1,INDEX(Assumptions!$E$44:$E$46,MATCH($C51,Assumptions!$A$44:$A$46,0))*$C$34,0),IF(R$45=MAX($G51-1,1),INDEX(Assumptions!$E$44:$E$46,MATCH($C51,Assumptions!$A$44:$A$46,0)),0))*IF(AND($C51="Verified",$C$39=1),0,1)</f>
        <v>0</v>
      </c>
      <c r="S117" s="23" t="n">
        <f aca="false">IF($F51=1,IF(S$45=1,INDEX(Assumptions!$E$44:$E$46,MATCH($C51,Assumptions!$A$44:$A$46,0))*$C$34,0),IF(S$45=MAX($G51-1,1),INDEX(Assumptions!$E$44:$E$46,MATCH($C51,Assumptions!$A$44:$A$46,0)),0))*IF(AND($C51="Verified",$C$39=1),0,1)</f>
        <v>0</v>
      </c>
      <c r="T117" s="23" t="n">
        <f aca="false">IF($F51=1,IF(T$45=1,INDEX(Assumptions!$E$44:$E$46,MATCH($C51,Assumptions!$A$44:$A$46,0))*$C$34,0),IF(T$45=MAX($G51-1,1),INDEX(Assumptions!$E$44:$E$46,MATCH($C51,Assumptions!$A$44:$A$46,0)),0))*IF(AND($C51="Verified",$C$39=1),0,1)</f>
        <v>0</v>
      </c>
      <c r="U117" s="23" t="n">
        <f aca="false">IF($F51=1,IF(U$45=1,INDEX(Assumptions!$E$44:$E$46,MATCH($C51,Assumptions!$A$44:$A$46,0))*$C$34,0),IF(U$45=MAX($G51-1,1),INDEX(Assumptions!$E$44:$E$46,MATCH($C51,Assumptions!$A$44:$A$46,0)),0))*IF(AND($C51="Verified",$C$39=1),0,1)</f>
        <v>0</v>
      </c>
      <c r="V117" s="23" t="n">
        <f aca="false">IF($F51=1,IF(V$45=1,INDEX(Assumptions!$E$44:$E$46,MATCH($C51,Assumptions!$A$44:$A$46,0))*$C$34,0),IF(V$45=MAX($G51-1,1),INDEX(Assumptions!$E$44:$E$46,MATCH($C51,Assumptions!$A$44:$A$46,0)),0))*IF(AND($C51="Verified",$C$39=1),0,1)</f>
        <v>0</v>
      </c>
      <c r="W117" s="23" t="n">
        <f aca="false">IF($F51=1,IF(W$45=1,INDEX(Assumptions!$E$44:$E$46,MATCH($C51,Assumptions!$A$44:$A$46,0))*$C$34,0),IF(W$45=MAX($G51-1,1),INDEX(Assumptions!$E$44:$E$46,MATCH($C51,Assumptions!$A$44:$A$46,0)),0))*IF(AND($C51="Verified",$C$39=1),0,1)</f>
        <v>0</v>
      </c>
      <c r="X117" s="23" t="n">
        <f aca="false">IF($F51=1,IF(X$45=1,INDEX(Assumptions!$E$44:$E$46,MATCH($C51,Assumptions!$A$44:$A$46,0))*$C$34,0),IF(X$45=MAX($G51-1,1),INDEX(Assumptions!$E$44:$E$46,MATCH($C51,Assumptions!$A$44:$A$46,0)),0))*IF(AND($C51="Verified",$C$39=1),0,1)</f>
        <v>0</v>
      </c>
      <c r="Y117" s="23" t="n">
        <f aca="false">IF($F51=1,IF(Y$45=1,INDEX(Assumptions!$E$44:$E$46,MATCH($C51,Assumptions!$A$44:$A$46,0))*$C$34,0),IF(Y$45=MAX($G51-1,1),INDEX(Assumptions!$E$44:$E$46,MATCH($C51,Assumptions!$A$44:$A$46,0)),0))*IF(AND($C51="Verified",$C$39=1),0,1)</f>
        <v>0</v>
      </c>
    </row>
    <row r="118" customFormat="false" ht="15" hidden="false" customHeight="false" outlineLevel="0" collapsed="false">
      <c r="A118" s="2" t="n">
        <f aca="false">A52</f>
        <v>5</v>
      </c>
      <c r="B118" s="2" t="str">
        <f aca="false">B52</f>
        <v>A</v>
      </c>
      <c r="C118" s="2" t="str">
        <f aca="false">C52</f>
        <v>Assured</v>
      </c>
      <c r="D118" s="2"/>
      <c r="E118" s="2"/>
      <c r="F118" s="2"/>
      <c r="G118" s="2"/>
      <c r="H118" s="23" t="n">
        <f aca="false">IF($F52=1,IF(H$45=1,INDEX(Assumptions!$E$44:$E$46,MATCH($C52,Assumptions!$A$44:$A$46,0))*$C$34,0),IF(H$45=MAX($G52-1,1),INDEX(Assumptions!$E$44:$E$46,MATCH($C52,Assumptions!$A$44:$A$46,0)),0))*IF(AND($C52="Verified",$C$39=1),0,1)</f>
        <v>0</v>
      </c>
      <c r="I118" s="23" t="n">
        <f aca="false">IF($F52=1,IF(I$45=1,INDEX(Assumptions!$E$44:$E$46,MATCH($C52,Assumptions!$A$44:$A$46,0))*$C$34,0),IF(I$45=MAX($G52-1,1),INDEX(Assumptions!$E$44:$E$46,MATCH($C52,Assumptions!$A$44:$A$46,0)),0))*IF(AND($C52="Verified",$C$39=1),0,1)</f>
        <v>120000</v>
      </c>
      <c r="J118" s="23" t="n">
        <f aca="false">IF($F52=1,IF(J$45=1,INDEX(Assumptions!$E$44:$E$46,MATCH($C52,Assumptions!$A$44:$A$46,0))*$C$34,0),IF(J$45=MAX($G52-1,1),INDEX(Assumptions!$E$44:$E$46,MATCH($C52,Assumptions!$A$44:$A$46,0)),0))*IF(AND($C52="Verified",$C$39=1),0,1)</f>
        <v>0</v>
      </c>
      <c r="K118" s="23" t="n">
        <f aca="false">IF($F52=1,IF(K$45=1,INDEX(Assumptions!$E$44:$E$46,MATCH($C52,Assumptions!$A$44:$A$46,0))*$C$34,0),IF(K$45=MAX($G52-1,1),INDEX(Assumptions!$E$44:$E$46,MATCH($C52,Assumptions!$A$44:$A$46,0)),0))*IF(AND($C52="Verified",$C$39=1),0,1)</f>
        <v>0</v>
      </c>
      <c r="L118" s="23" t="n">
        <f aca="false">IF($F52=1,IF(L$45=1,INDEX(Assumptions!$E$44:$E$46,MATCH($C52,Assumptions!$A$44:$A$46,0))*$C$34,0),IF(L$45=MAX($G52-1,1),INDEX(Assumptions!$E$44:$E$46,MATCH($C52,Assumptions!$A$44:$A$46,0)),0))*IF(AND($C52="Verified",$C$39=1),0,1)</f>
        <v>0</v>
      </c>
      <c r="M118" s="23" t="n">
        <f aca="false">IF($F52=1,IF(M$45=1,INDEX(Assumptions!$E$44:$E$46,MATCH($C52,Assumptions!$A$44:$A$46,0))*$C$34,0),IF(M$45=MAX($G52-1,1),INDEX(Assumptions!$E$44:$E$46,MATCH($C52,Assumptions!$A$44:$A$46,0)),0))*IF(AND($C52="Verified",$C$39=1),0,1)</f>
        <v>0</v>
      </c>
      <c r="N118" s="23" t="n">
        <f aca="false">IF($F52=1,IF(N$45=1,INDEX(Assumptions!$E$44:$E$46,MATCH($C52,Assumptions!$A$44:$A$46,0))*$C$34,0),IF(N$45=MAX($G52-1,1),INDEX(Assumptions!$E$44:$E$46,MATCH($C52,Assumptions!$A$44:$A$46,0)),0))*IF(AND($C52="Verified",$C$39=1),0,1)</f>
        <v>0</v>
      </c>
      <c r="O118" s="23" t="n">
        <f aca="false">IF($F52=1,IF(O$45=1,INDEX(Assumptions!$E$44:$E$46,MATCH($C52,Assumptions!$A$44:$A$46,0))*$C$34,0),IF(O$45=MAX($G52-1,1),INDEX(Assumptions!$E$44:$E$46,MATCH($C52,Assumptions!$A$44:$A$46,0)),0))*IF(AND($C52="Verified",$C$39=1),0,1)</f>
        <v>0</v>
      </c>
      <c r="P118" s="23" t="n">
        <f aca="false">IF($F52=1,IF(P$45=1,INDEX(Assumptions!$E$44:$E$46,MATCH($C52,Assumptions!$A$44:$A$46,0))*$C$34,0),IF(P$45=MAX($G52-1,1),INDEX(Assumptions!$E$44:$E$46,MATCH($C52,Assumptions!$A$44:$A$46,0)),0))*IF(AND($C52="Verified",$C$39=1),0,1)</f>
        <v>0</v>
      </c>
      <c r="Q118" s="23" t="n">
        <f aca="false">IF($F52=1,IF(Q$45=1,INDEX(Assumptions!$E$44:$E$46,MATCH($C52,Assumptions!$A$44:$A$46,0))*$C$34,0),IF(Q$45=MAX($G52-1,1),INDEX(Assumptions!$E$44:$E$46,MATCH($C52,Assumptions!$A$44:$A$46,0)),0))*IF(AND($C52="Verified",$C$39=1),0,1)</f>
        <v>0</v>
      </c>
      <c r="R118" s="23" t="n">
        <f aca="false">IF($F52=1,IF(R$45=1,INDEX(Assumptions!$E$44:$E$46,MATCH($C52,Assumptions!$A$44:$A$46,0))*$C$34,0),IF(R$45=MAX($G52-1,1),INDEX(Assumptions!$E$44:$E$46,MATCH($C52,Assumptions!$A$44:$A$46,0)),0))*IF(AND($C52="Verified",$C$39=1),0,1)</f>
        <v>0</v>
      </c>
      <c r="S118" s="23" t="n">
        <f aca="false">IF($F52=1,IF(S$45=1,INDEX(Assumptions!$E$44:$E$46,MATCH($C52,Assumptions!$A$44:$A$46,0))*$C$34,0),IF(S$45=MAX($G52-1,1),INDEX(Assumptions!$E$44:$E$46,MATCH($C52,Assumptions!$A$44:$A$46,0)),0))*IF(AND($C52="Verified",$C$39=1),0,1)</f>
        <v>0</v>
      </c>
      <c r="T118" s="23" t="n">
        <f aca="false">IF($F52=1,IF(T$45=1,INDEX(Assumptions!$E$44:$E$46,MATCH($C52,Assumptions!$A$44:$A$46,0))*$C$34,0),IF(T$45=MAX($G52-1,1),INDEX(Assumptions!$E$44:$E$46,MATCH($C52,Assumptions!$A$44:$A$46,0)),0))*IF(AND($C52="Verified",$C$39=1),0,1)</f>
        <v>0</v>
      </c>
      <c r="U118" s="23" t="n">
        <f aca="false">IF($F52=1,IF(U$45=1,INDEX(Assumptions!$E$44:$E$46,MATCH($C52,Assumptions!$A$44:$A$46,0))*$C$34,0),IF(U$45=MAX($G52-1,1),INDEX(Assumptions!$E$44:$E$46,MATCH($C52,Assumptions!$A$44:$A$46,0)),0))*IF(AND($C52="Verified",$C$39=1),0,1)</f>
        <v>0</v>
      </c>
      <c r="V118" s="23" t="n">
        <f aca="false">IF($F52=1,IF(V$45=1,INDEX(Assumptions!$E$44:$E$46,MATCH($C52,Assumptions!$A$44:$A$46,0))*$C$34,0),IF(V$45=MAX($G52-1,1),INDEX(Assumptions!$E$44:$E$46,MATCH($C52,Assumptions!$A$44:$A$46,0)),0))*IF(AND($C52="Verified",$C$39=1),0,1)</f>
        <v>0</v>
      </c>
      <c r="W118" s="23" t="n">
        <f aca="false">IF($F52=1,IF(W$45=1,INDEX(Assumptions!$E$44:$E$46,MATCH($C52,Assumptions!$A$44:$A$46,0))*$C$34,0),IF(W$45=MAX($G52-1,1),INDEX(Assumptions!$E$44:$E$46,MATCH($C52,Assumptions!$A$44:$A$46,0)),0))*IF(AND($C52="Verified",$C$39=1),0,1)</f>
        <v>0</v>
      </c>
      <c r="X118" s="23" t="n">
        <f aca="false">IF($F52=1,IF(X$45=1,INDEX(Assumptions!$E$44:$E$46,MATCH($C52,Assumptions!$A$44:$A$46,0))*$C$34,0),IF(X$45=MAX($G52-1,1),INDEX(Assumptions!$E$44:$E$46,MATCH($C52,Assumptions!$A$44:$A$46,0)),0))*IF(AND($C52="Verified",$C$39=1),0,1)</f>
        <v>0</v>
      </c>
      <c r="Y118" s="23" t="n">
        <f aca="false">IF($F52=1,IF(Y$45=1,INDEX(Assumptions!$E$44:$E$46,MATCH($C52,Assumptions!$A$44:$A$46,0))*$C$34,0),IF(Y$45=MAX($G52-1,1),INDEX(Assumptions!$E$44:$E$46,MATCH($C52,Assumptions!$A$44:$A$46,0)),0))*IF(AND($C52="Verified",$C$39=1),0,1)</f>
        <v>0</v>
      </c>
    </row>
    <row r="119" customFormat="false" ht="15" hidden="false" customHeight="false" outlineLevel="0" collapsed="false">
      <c r="A119" s="2" t="n">
        <f aca="false">A53</f>
        <v>6</v>
      </c>
      <c r="B119" s="2" t="str">
        <f aca="false">B53</f>
        <v>A</v>
      </c>
      <c r="C119" s="2" t="str">
        <f aca="false">C53</f>
        <v>Assured</v>
      </c>
      <c r="D119" s="2"/>
      <c r="E119" s="2"/>
      <c r="F119" s="2"/>
      <c r="G119" s="2"/>
      <c r="H119" s="23" t="n">
        <f aca="false">IF($F53=1,IF(H$45=1,INDEX(Assumptions!$E$44:$E$46,MATCH($C53,Assumptions!$A$44:$A$46,0))*$C$34,0),IF(H$45=MAX($G53-1,1),INDEX(Assumptions!$E$44:$E$46,MATCH($C53,Assumptions!$A$44:$A$46,0)),0))*IF(AND($C53="Verified",$C$39=1),0,1)</f>
        <v>0</v>
      </c>
      <c r="I119" s="23" t="n">
        <f aca="false">IF($F53=1,IF(I$45=1,INDEX(Assumptions!$E$44:$E$46,MATCH($C53,Assumptions!$A$44:$A$46,0))*$C$34,0),IF(I$45=MAX($G53-1,1),INDEX(Assumptions!$E$44:$E$46,MATCH($C53,Assumptions!$A$44:$A$46,0)),0))*IF(AND($C53="Verified",$C$39=1),0,1)</f>
        <v>120000</v>
      </c>
      <c r="J119" s="23" t="n">
        <f aca="false">IF($F53=1,IF(J$45=1,INDEX(Assumptions!$E$44:$E$46,MATCH($C53,Assumptions!$A$44:$A$46,0))*$C$34,0),IF(J$45=MAX($G53-1,1),INDEX(Assumptions!$E$44:$E$46,MATCH($C53,Assumptions!$A$44:$A$46,0)),0))*IF(AND($C53="Verified",$C$39=1),0,1)</f>
        <v>0</v>
      </c>
      <c r="K119" s="23" t="n">
        <f aca="false">IF($F53=1,IF(K$45=1,INDEX(Assumptions!$E$44:$E$46,MATCH($C53,Assumptions!$A$44:$A$46,0))*$C$34,0),IF(K$45=MAX($G53-1,1),INDEX(Assumptions!$E$44:$E$46,MATCH($C53,Assumptions!$A$44:$A$46,0)),0))*IF(AND($C53="Verified",$C$39=1),0,1)</f>
        <v>0</v>
      </c>
      <c r="L119" s="23" t="n">
        <f aca="false">IF($F53=1,IF(L$45=1,INDEX(Assumptions!$E$44:$E$46,MATCH($C53,Assumptions!$A$44:$A$46,0))*$C$34,0),IF(L$45=MAX($G53-1,1),INDEX(Assumptions!$E$44:$E$46,MATCH($C53,Assumptions!$A$44:$A$46,0)),0))*IF(AND($C53="Verified",$C$39=1),0,1)</f>
        <v>0</v>
      </c>
      <c r="M119" s="23" t="n">
        <f aca="false">IF($F53=1,IF(M$45=1,INDEX(Assumptions!$E$44:$E$46,MATCH($C53,Assumptions!$A$44:$A$46,0))*$C$34,0),IF(M$45=MAX($G53-1,1),INDEX(Assumptions!$E$44:$E$46,MATCH($C53,Assumptions!$A$44:$A$46,0)),0))*IF(AND($C53="Verified",$C$39=1),0,1)</f>
        <v>0</v>
      </c>
      <c r="N119" s="23" t="n">
        <f aca="false">IF($F53=1,IF(N$45=1,INDEX(Assumptions!$E$44:$E$46,MATCH($C53,Assumptions!$A$44:$A$46,0))*$C$34,0),IF(N$45=MAX($G53-1,1),INDEX(Assumptions!$E$44:$E$46,MATCH($C53,Assumptions!$A$44:$A$46,0)),0))*IF(AND($C53="Verified",$C$39=1),0,1)</f>
        <v>0</v>
      </c>
      <c r="O119" s="23" t="n">
        <f aca="false">IF($F53=1,IF(O$45=1,INDEX(Assumptions!$E$44:$E$46,MATCH($C53,Assumptions!$A$44:$A$46,0))*$C$34,0),IF(O$45=MAX($G53-1,1),INDEX(Assumptions!$E$44:$E$46,MATCH($C53,Assumptions!$A$44:$A$46,0)),0))*IF(AND($C53="Verified",$C$39=1),0,1)</f>
        <v>0</v>
      </c>
      <c r="P119" s="23" t="n">
        <f aca="false">IF($F53=1,IF(P$45=1,INDEX(Assumptions!$E$44:$E$46,MATCH($C53,Assumptions!$A$44:$A$46,0))*$C$34,0),IF(P$45=MAX($G53-1,1),INDEX(Assumptions!$E$44:$E$46,MATCH($C53,Assumptions!$A$44:$A$46,0)),0))*IF(AND($C53="Verified",$C$39=1),0,1)</f>
        <v>0</v>
      </c>
      <c r="Q119" s="23" t="n">
        <f aca="false">IF($F53=1,IF(Q$45=1,INDEX(Assumptions!$E$44:$E$46,MATCH($C53,Assumptions!$A$44:$A$46,0))*$C$34,0),IF(Q$45=MAX($G53-1,1),INDEX(Assumptions!$E$44:$E$46,MATCH($C53,Assumptions!$A$44:$A$46,0)),0))*IF(AND($C53="Verified",$C$39=1),0,1)</f>
        <v>0</v>
      </c>
      <c r="R119" s="23" t="n">
        <f aca="false">IF($F53=1,IF(R$45=1,INDEX(Assumptions!$E$44:$E$46,MATCH($C53,Assumptions!$A$44:$A$46,0))*$C$34,0),IF(R$45=MAX($G53-1,1),INDEX(Assumptions!$E$44:$E$46,MATCH($C53,Assumptions!$A$44:$A$46,0)),0))*IF(AND($C53="Verified",$C$39=1),0,1)</f>
        <v>0</v>
      </c>
      <c r="S119" s="23" t="n">
        <f aca="false">IF($F53=1,IF(S$45=1,INDEX(Assumptions!$E$44:$E$46,MATCH($C53,Assumptions!$A$44:$A$46,0))*$C$34,0),IF(S$45=MAX($G53-1,1),INDEX(Assumptions!$E$44:$E$46,MATCH($C53,Assumptions!$A$44:$A$46,0)),0))*IF(AND($C53="Verified",$C$39=1),0,1)</f>
        <v>0</v>
      </c>
      <c r="T119" s="23" t="n">
        <f aca="false">IF($F53=1,IF(T$45=1,INDEX(Assumptions!$E$44:$E$46,MATCH($C53,Assumptions!$A$44:$A$46,0))*$C$34,0),IF(T$45=MAX($G53-1,1),INDEX(Assumptions!$E$44:$E$46,MATCH($C53,Assumptions!$A$44:$A$46,0)),0))*IF(AND($C53="Verified",$C$39=1),0,1)</f>
        <v>0</v>
      </c>
      <c r="U119" s="23" t="n">
        <f aca="false">IF($F53=1,IF(U$45=1,INDEX(Assumptions!$E$44:$E$46,MATCH($C53,Assumptions!$A$44:$A$46,0))*$C$34,0),IF(U$45=MAX($G53-1,1),INDEX(Assumptions!$E$44:$E$46,MATCH($C53,Assumptions!$A$44:$A$46,0)),0))*IF(AND($C53="Verified",$C$39=1),0,1)</f>
        <v>0</v>
      </c>
      <c r="V119" s="23" t="n">
        <f aca="false">IF($F53=1,IF(V$45=1,INDEX(Assumptions!$E$44:$E$46,MATCH($C53,Assumptions!$A$44:$A$46,0))*$C$34,0),IF(V$45=MAX($G53-1,1),INDEX(Assumptions!$E$44:$E$46,MATCH($C53,Assumptions!$A$44:$A$46,0)),0))*IF(AND($C53="Verified",$C$39=1),0,1)</f>
        <v>0</v>
      </c>
      <c r="W119" s="23" t="n">
        <f aca="false">IF($F53=1,IF(W$45=1,INDEX(Assumptions!$E$44:$E$46,MATCH($C53,Assumptions!$A$44:$A$46,0))*$C$34,0),IF(W$45=MAX($G53-1,1),INDEX(Assumptions!$E$44:$E$46,MATCH($C53,Assumptions!$A$44:$A$46,0)),0))*IF(AND($C53="Verified",$C$39=1),0,1)</f>
        <v>0</v>
      </c>
      <c r="X119" s="23" t="n">
        <f aca="false">IF($F53=1,IF(X$45=1,INDEX(Assumptions!$E$44:$E$46,MATCH($C53,Assumptions!$A$44:$A$46,0))*$C$34,0),IF(X$45=MAX($G53-1,1),INDEX(Assumptions!$E$44:$E$46,MATCH($C53,Assumptions!$A$44:$A$46,0)),0))*IF(AND($C53="Verified",$C$39=1),0,1)</f>
        <v>0</v>
      </c>
      <c r="Y119" s="23" t="n">
        <f aca="false">IF($F53=1,IF(Y$45=1,INDEX(Assumptions!$E$44:$E$46,MATCH($C53,Assumptions!$A$44:$A$46,0))*$C$34,0),IF(Y$45=MAX($G53-1,1),INDEX(Assumptions!$E$44:$E$46,MATCH($C53,Assumptions!$A$44:$A$46,0)),0))*IF(AND($C53="Verified",$C$39=1),0,1)</f>
        <v>0</v>
      </c>
    </row>
    <row r="120" customFormat="false" ht="15" hidden="false" customHeight="false" outlineLevel="0" collapsed="false">
      <c r="A120" s="2" t="n">
        <f aca="false">A54</f>
        <v>7</v>
      </c>
      <c r="B120" s="2" t="str">
        <f aca="false">B54</f>
        <v>A</v>
      </c>
      <c r="C120" s="2" t="str">
        <f aca="false">C54</f>
        <v>Assured</v>
      </c>
      <c r="D120" s="2"/>
      <c r="E120" s="2"/>
      <c r="F120" s="2"/>
      <c r="G120" s="2"/>
      <c r="H120" s="23" t="n">
        <f aca="false">IF($F54=1,IF(H$45=1,INDEX(Assumptions!$E$44:$E$46,MATCH($C54,Assumptions!$A$44:$A$46,0))*$C$34,0),IF(H$45=MAX($G54-1,1),INDEX(Assumptions!$E$44:$E$46,MATCH($C54,Assumptions!$A$44:$A$46,0)),0))*IF(AND($C54="Verified",$C$39=1),0,1)</f>
        <v>0</v>
      </c>
      <c r="I120" s="23" t="n">
        <f aca="false">IF($F54=1,IF(I$45=1,INDEX(Assumptions!$E$44:$E$46,MATCH($C54,Assumptions!$A$44:$A$46,0))*$C$34,0),IF(I$45=MAX($G54-1,1),INDEX(Assumptions!$E$44:$E$46,MATCH($C54,Assumptions!$A$44:$A$46,0)),0))*IF(AND($C54="Verified",$C$39=1),0,1)</f>
        <v>0</v>
      </c>
      <c r="J120" s="23" t="n">
        <f aca="false">IF($F54=1,IF(J$45=1,INDEX(Assumptions!$E$44:$E$46,MATCH($C54,Assumptions!$A$44:$A$46,0))*$C$34,0),IF(J$45=MAX($G54-1,1),INDEX(Assumptions!$E$44:$E$46,MATCH($C54,Assumptions!$A$44:$A$46,0)),0))*IF(AND($C54="Verified",$C$39=1),0,1)</f>
        <v>120000</v>
      </c>
      <c r="K120" s="23" t="n">
        <f aca="false">IF($F54=1,IF(K$45=1,INDEX(Assumptions!$E$44:$E$46,MATCH($C54,Assumptions!$A$44:$A$46,0))*$C$34,0),IF(K$45=MAX($G54-1,1),INDEX(Assumptions!$E$44:$E$46,MATCH($C54,Assumptions!$A$44:$A$46,0)),0))*IF(AND($C54="Verified",$C$39=1),0,1)</f>
        <v>0</v>
      </c>
      <c r="L120" s="23" t="n">
        <f aca="false">IF($F54=1,IF(L$45=1,INDEX(Assumptions!$E$44:$E$46,MATCH($C54,Assumptions!$A$44:$A$46,0))*$C$34,0),IF(L$45=MAX($G54-1,1),INDEX(Assumptions!$E$44:$E$46,MATCH($C54,Assumptions!$A$44:$A$46,0)),0))*IF(AND($C54="Verified",$C$39=1),0,1)</f>
        <v>0</v>
      </c>
      <c r="M120" s="23" t="n">
        <f aca="false">IF($F54=1,IF(M$45=1,INDEX(Assumptions!$E$44:$E$46,MATCH($C54,Assumptions!$A$44:$A$46,0))*$C$34,0),IF(M$45=MAX($G54-1,1),INDEX(Assumptions!$E$44:$E$46,MATCH($C54,Assumptions!$A$44:$A$46,0)),0))*IF(AND($C54="Verified",$C$39=1),0,1)</f>
        <v>0</v>
      </c>
      <c r="N120" s="23" t="n">
        <f aca="false">IF($F54=1,IF(N$45=1,INDEX(Assumptions!$E$44:$E$46,MATCH($C54,Assumptions!$A$44:$A$46,0))*$C$34,0),IF(N$45=MAX($G54-1,1),INDEX(Assumptions!$E$44:$E$46,MATCH($C54,Assumptions!$A$44:$A$46,0)),0))*IF(AND($C54="Verified",$C$39=1),0,1)</f>
        <v>0</v>
      </c>
      <c r="O120" s="23" t="n">
        <f aca="false">IF($F54=1,IF(O$45=1,INDEX(Assumptions!$E$44:$E$46,MATCH($C54,Assumptions!$A$44:$A$46,0))*$C$34,0),IF(O$45=MAX($G54-1,1),INDEX(Assumptions!$E$44:$E$46,MATCH($C54,Assumptions!$A$44:$A$46,0)),0))*IF(AND($C54="Verified",$C$39=1),0,1)</f>
        <v>0</v>
      </c>
      <c r="P120" s="23" t="n">
        <f aca="false">IF($F54=1,IF(P$45=1,INDEX(Assumptions!$E$44:$E$46,MATCH($C54,Assumptions!$A$44:$A$46,0))*$C$34,0),IF(P$45=MAX($G54-1,1),INDEX(Assumptions!$E$44:$E$46,MATCH($C54,Assumptions!$A$44:$A$46,0)),0))*IF(AND($C54="Verified",$C$39=1),0,1)</f>
        <v>0</v>
      </c>
      <c r="Q120" s="23" t="n">
        <f aca="false">IF($F54=1,IF(Q$45=1,INDEX(Assumptions!$E$44:$E$46,MATCH($C54,Assumptions!$A$44:$A$46,0))*$C$34,0),IF(Q$45=MAX($G54-1,1),INDEX(Assumptions!$E$44:$E$46,MATCH($C54,Assumptions!$A$44:$A$46,0)),0))*IF(AND($C54="Verified",$C$39=1),0,1)</f>
        <v>0</v>
      </c>
      <c r="R120" s="23" t="n">
        <f aca="false">IF($F54=1,IF(R$45=1,INDEX(Assumptions!$E$44:$E$46,MATCH($C54,Assumptions!$A$44:$A$46,0))*$C$34,0),IF(R$45=MAX($G54-1,1),INDEX(Assumptions!$E$44:$E$46,MATCH($C54,Assumptions!$A$44:$A$46,0)),0))*IF(AND($C54="Verified",$C$39=1),0,1)</f>
        <v>0</v>
      </c>
      <c r="S120" s="23" t="n">
        <f aca="false">IF($F54=1,IF(S$45=1,INDEX(Assumptions!$E$44:$E$46,MATCH($C54,Assumptions!$A$44:$A$46,0))*$C$34,0),IF(S$45=MAX($G54-1,1),INDEX(Assumptions!$E$44:$E$46,MATCH($C54,Assumptions!$A$44:$A$46,0)),0))*IF(AND($C54="Verified",$C$39=1),0,1)</f>
        <v>0</v>
      </c>
      <c r="T120" s="23" t="n">
        <f aca="false">IF($F54=1,IF(T$45=1,INDEX(Assumptions!$E$44:$E$46,MATCH($C54,Assumptions!$A$44:$A$46,0))*$C$34,0),IF(T$45=MAX($G54-1,1),INDEX(Assumptions!$E$44:$E$46,MATCH($C54,Assumptions!$A$44:$A$46,0)),0))*IF(AND($C54="Verified",$C$39=1),0,1)</f>
        <v>0</v>
      </c>
      <c r="U120" s="23" t="n">
        <f aca="false">IF($F54=1,IF(U$45=1,INDEX(Assumptions!$E$44:$E$46,MATCH($C54,Assumptions!$A$44:$A$46,0))*$C$34,0),IF(U$45=MAX($G54-1,1),INDEX(Assumptions!$E$44:$E$46,MATCH($C54,Assumptions!$A$44:$A$46,0)),0))*IF(AND($C54="Verified",$C$39=1),0,1)</f>
        <v>0</v>
      </c>
      <c r="V120" s="23" t="n">
        <f aca="false">IF($F54=1,IF(V$45=1,INDEX(Assumptions!$E$44:$E$46,MATCH($C54,Assumptions!$A$44:$A$46,0))*$C$34,0),IF(V$45=MAX($G54-1,1),INDEX(Assumptions!$E$44:$E$46,MATCH($C54,Assumptions!$A$44:$A$46,0)),0))*IF(AND($C54="Verified",$C$39=1),0,1)</f>
        <v>0</v>
      </c>
      <c r="W120" s="23" t="n">
        <f aca="false">IF($F54=1,IF(W$45=1,INDEX(Assumptions!$E$44:$E$46,MATCH($C54,Assumptions!$A$44:$A$46,0))*$C$34,0),IF(W$45=MAX($G54-1,1),INDEX(Assumptions!$E$44:$E$46,MATCH($C54,Assumptions!$A$44:$A$46,0)),0))*IF(AND($C54="Verified",$C$39=1),0,1)</f>
        <v>0</v>
      </c>
      <c r="X120" s="23" t="n">
        <f aca="false">IF($F54=1,IF(X$45=1,INDEX(Assumptions!$E$44:$E$46,MATCH($C54,Assumptions!$A$44:$A$46,0))*$C$34,0),IF(X$45=MAX($G54-1,1),INDEX(Assumptions!$E$44:$E$46,MATCH($C54,Assumptions!$A$44:$A$46,0)),0))*IF(AND($C54="Verified",$C$39=1),0,1)</f>
        <v>0</v>
      </c>
      <c r="Y120" s="23" t="n">
        <f aca="false">IF($F54=1,IF(Y$45=1,INDEX(Assumptions!$E$44:$E$46,MATCH($C54,Assumptions!$A$44:$A$46,0))*$C$34,0),IF(Y$45=MAX($G54-1,1),INDEX(Assumptions!$E$44:$E$46,MATCH($C54,Assumptions!$A$44:$A$46,0)),0))*IF(AND($C54="Verified",$C$39=1),0,1)</f>
        <v>0</v>
      </c>
    </row>
    <row r="121" customFormat="false" ht="15" hidden="false" customHeight="false" outlineLevel="0" collapsed="false">
      <c r="A121" s="2" t="n">
        <f aca="false">A55</f>
        <v>8</v>
      </c>
      <c r="B121" s="2" t="str">
        <f aca="false">B55</f>
        <v>A</v>
      </c>
      <c r="C121" s="2" t="str">
        <f aca="false">C55</f>
        <v>Assured</v>
      </c>
      <c r="D121" s="2"/>
      <c r="E121" s="2"/>
      <c r="F121" s="2"/>
      <c r="G121" s="2"/>
      <c r="H121" s="23" t="n">
        <f aca="false">IF($F55=1,IF(H$45=1,INDEX(Assumptions!$E$44:$E$46,MATCH($C55,Assumptions!$A$44:$A$46,0))*$C$34,0),IF(H$45=MAX($G55-1,1),INDEX(Assumptions!$E$44:$E$46,MATCH($C55,Assumptions!$A$44:$A$46,0)),0))*IF(AND($C55="Verified",$C$39=1),0,1)</f>
        <v>0</v>
      </c>
      <c r="I121" s="23" t="n">
        <f aca="false">IF($F55=1,IF(I$45=1,INDEX(Assumptions!$E$44:$E$46,MATCH($C55,Assumptions!$A$44:$A$46,0))*$C$34,0),IF(I$45=MAX($G55-1,1),INDEX(Assumptions!$E$44:$E$46,MATCH($C55,Assumptions!$A$44:$A$46,0)),0))*IF(AND($C55="Verified",$C$39=1),0,1)</f>
        <v>0</v>
      </c>
      <c r="J121" s="23" t="n">
        <f aca="false">IF($F55=1,IF(J$45=1,INDEX(Assumptions!$E$44:$E$46,MATCH($C55,Assumptions!$A$44:$A$46,0))*$C$34,0),IF(J$45=MAX($G55-1,1),INDEX(Assumptions!$E$44:$E$46,MATCH($C55,Assumptions!$A$44:$A$46,0)),0))*IF(AND($C55="Verified",$C$39=1),0,1)</f>
        <v>120000</v>
      </c>
      <c r="K121" s="23" t="n">
        <f aca="false">IF($F55=1,IF(K$45=1,INDEX(Assumptions!$E$44:$E$46,MATCH($C55,Assumptions!$A$44:$A$46,0))*$C$34,0),IF(K$45=MAX($G55-1,1),INDEX(Assumptions!$E$44:$E$46,MATCH($C55,Assumptions!$A$44:$A$46,0)),0))*IF(AND($C55="Verified",$C$39=1),0,1)</f>
        <v>0</v>
      </c>
      <c r="L121" s="23" t="n">
        <f aca="false">IF($F55=1,IF(L$45=1,INDEX(Assumptions!$E$44:$E$46,MATCH($C55,Assumptions!$A$44:$A$46,0))*$C$34,0),IF(L$45=MAX($G55-1,1),INDEX(Assumptions!$E$44:$E$46,MATCH($C55,Assumptions!$A$44:$A$46,0)),0))*IF(AND($C55="Verified",$C$39=1),0,1)</f>
        <v>0</v>
      </c>
      <c r="M121" s="23" t="n">
        <f aca="false">IF($F55=1,IF(M$45=1,INDEX(Assumptions!$E$44:$E$46,MATCH($C55,Assumptions!$A$44:$A$46,0))*$C$34,0),IF(M$45=MAX($G55-1,1),INDEX(Assumptions!$E$44:$E$46,MATCH($C55,Assumptions!$A$44:$A$46,0)),0))*IF(AND($C55="Verified",$C$39=1),0,1)</f>
        <v>0</v>
      </c>
      <c r="N121" s="23" t="n">
        <f aca="false">IF($F55=1,IF(N$45=1,INDEX(Assumptions!$E$44:$E$46,MATCH($C55,Assumptions!$A$44:$A$46,0))*$C$34,0),IF(N$45=MAX($G55-1,1),INDEX(Assumptions!$E$44:$E$46,MATCH($C55,Assumptions!$A$44:$A$46,0)),0))*IF(AND($C55="Verified",$C$39=1),0,1)</f>
        <v>0</v>
      </c>
      <c r="O121" s="23" t="n">
        <f aca="false">IF($F55=1,IF(O$45=1,INDEX(Assumptions!$E$44:$E$46,MATCH($C55,Assumptions!$A$44:$A$46,0))*$C$34,0),IF(O$45=MAX($G55-1,1),INDEX(Assumptions!$E$44:$E$46,MATCH($C55,Assumptions!$A$44:$A$46,0)),0))*IF(AND($C55="Verified",$C$39=1),0,1)</f>
        <v>0</v>
      </c>
      <c r="P121" s="23" t="n">
        <f aca="false">IF($F55=1,IF(P$45=1,INDEX(Assumptions!$E$44:$E$46,MATCH($C55,Assumptions!$A$44:$A$46,0))*$C$34,0),IF(P$45=MAX($G55-1,1),INDEX(Assumptions!$E$44:$E$46,MATCH($C55,Assumptions!$A$44:$A$46,0)),0))*IF(AND($C55="Verified",$C$39=1),0,1)</f>
        <v>0</v>
      </c>
      <c r="Q121" s="23" t="n">
        <f aca="false">IF($F55=1,IF(Q$45=1,INDEX(Assumptions!$E$44:$E$46,MATCH($C55,Assumptions!$A$44:$A$46,0))*$C$34,0),IF(Q$45=MAX($G55-1,1),INDEX(Assumptions!$E$44:$E$46,MATCH($C55,Assumptions!$A$44:$A$46,0)),0))*IF(AND($C55="Verified",$C$39=1),0,1)</f>
        <v>0</v>
      </c>
      <c r="R121" s="23" t="n">
        <f aca="false">IF($F55=1,IF(R$45=1,INDEX(Assumptions!$E$44:$E$46,MATCH($C55,Assumptions!$A$44:$A$46,0))*$C$34,0),IF(R$45=MAX($G55-1,1),INDEX(Assumptions!$E$44:$E$46,MATCH($C55,Assumptions!$A$44:$A$46,0)),0))*IF(AND($C55="Verified",$C$39=1),0,1)</f>
        <v>0</v>
      </c>
      <c r="S121" s="23" t="n">
        <f aca="false">IF($F55=1,IF(S$45=1,INDEX(Assumptions!$E$44:$E$46,MATCH($C55,Assumptions!$A$44:$A$46,0))*$C$34,0),IF(S$45=MAX($G55-1,1),INDEX(Assumptions!$E$44:$E$46,MATCH($C55,Assumptions!$A$44:$A$46,0)),0))*IF(AND($C55="Verified",$C$39=1),0,1)</f>
        <v>0</v>
      </c>
      <c r="T121" s="23" t="n">
        <f aca="false">IF($F55=1,IF(T$45=1,INDEX(Assumptions!$E$44:$E$46,MATCH($C55,Assumptions!$A$44:$A$46,0))*$C$34,0),IF(T$45=MAX($G55-1,1),INDEX(Assumptions!$E$44:$E$46,MATCH($C55,Assumptions!$A$44:$A$46,0)),0))*IF(AND($C55="Verified",$C$39=1),0,1)</f>
        <v>0</v>
      </c>
      <c r="U121" s="23" t="n">
        <f aca="false">IF($F55=1,IF(U$45=1,INDEX(Assumptions!$E$44:$E$46,MATCH($C55,Assumptions!$A$44:$A$46,0))*$C$34,0),IF(U$45=MAX($G55-1,1),INDEX(Assumptions!$E$44:$E$46,MATCH($C55,Assumptions!$A$44:$A$46,0)),0))*IF(AND($C55="Verified",$C$39=1),0,1)</f>
        <v>0</v>
      </c>
      <c r="V121" s="23" t="n">
        <f aca="false">IF($F55=1,IF(V$45=1,INDEX(Assumptions!$E$44:$E$46,MATCH($C55,Assumptions!$A$44:$A$46,0))*$C$34,0),IF(V$45=MAX($G55-1,1),INDEX(Assumptions!$E$44:$E$46,MATCH($C55,Assumptions!$A$44:$A$46,0)),0))*IF(AND($C55="Verified",$C$39=1),0,1)</f>
        <v>0</v>
      </c>
      <c r="W121" s="23" t="n">
        <f aca="false">IF($F55=1,IF(W$45=1,INDEX(Assumptions!$E$44:$E$46,MATCH($C55,Assumptions!$A$44:$A$46,0))*$C$34,0),IF(W$45=MAX($G55-1,1),INDEX(Assumptions!$E$44:$E$46,MATCH($C55,Assumptions!$A$44:$A$46,0)),0))*IF(AND($C55="Verified",$C$39=1),0,1)</f>
        <v>0</v>
      </c>
      <c r="X121" s="23" t="n">
        <f aca="false">IF($F55=1,IF(X$45=1,INDEX(Assumptions!$E$44:$E$46,MATCH($C55,Assumptions!$A$44:$A$46,0))*$C$34,0),IF(X$45=MAX($G55-1,1),INDEX(Assumptions!$E$44:$E$46,MATCH($C55,Assumptions!$A$44:$A$46,0)),0))*IF(AND($C55="Verified",$C$39=1),0,1)</f>
        <v>0</v>
      </c>
      <c r="Y121" s="23" t="n">
        <f aca="false">IF($F55=1,IF(Y$45=1,INDEX(Assumptions!$E$44:$E$46,MATCH($C55,Assumptions!$A$44:$A$46,0))*$C$34,0),IF(Y$45=MAX($G55-1,1),INDEX(Assumptions!$E$44:$E$46,MATCH($C55,Assumptions!$A$44:$A$46,0)),0))*IF(AND($C55="Verified",$C$39=1),0,1)</f>
        <v>0</v>
      </c>
    </row>
    <row r="122" customFormat="false" ht="15" hidden="false" customHeight="false" outlineLevel="0" collapsed="false">
      <c r="A122" s="2" t="n">
        <f aca="false">A56</f>
        <v>9</v>
      </c>
      <c r="B122" s="2" t="str">
        <f aca="false">B56</f>
        <v>A</v>
      </c>
      <c r="C122" s="2" t="str">
        <f aca="false">C56</f>
        <v>Assured</v>
      </c>
      <c r="D122" s="2"/>
      <c r="E122" s="2"/>
      <c r="F122" s="2"/>
      <c r="G122" s="2"/>
      <c r="H122" s="23" t="n">
        <f aca="false">IF($F56=1,IF(H$45=1,INDEX(Assumptions!$E$44:$E$46,MATCH($C56,Assumptions!$A$44:$A$46,0))*$C$34,0),IF(H$45=MAX($G56-1,1),INDEX(Assumptions!$E$44:$E$46,MATCH($C56,Assumptions!$A$44:$A$46,0)),0))*IF(AND($C56="Verified",$C$39=1),0,1)</f>
        <v>0</v>
      </c>
      <c r="I122" s="23" t="n">
        <f aca="false">IF($F56=1,IF(I$45=1,INDEX(Assumptions!$E$44:$E$46,MATCH($C56,Assumptions!$A$44:$A$46,0))*$C$34,0),IF(I$45=MAX($G56-1,1),INDEX(Assumptions!$E$44:$E$46,MATCH($C56,Assumptions!$A$44:$A$46,0)),0))*IF(AND($C56="Verified",$C$39=1),0,1)</f>
        <v>0</v>
      </c>
      <c r="J122" s="23" t="n">
        <f aca="false">IF($F56=1,IF(J$45=1,INDEX(Assumptions!$E$44:$E$46,MATCH($C56,Assumptions!$A$44:$A$46,0))*$C$34,0),IF(J$45=MAX($G56-1,1),INDEX(Assumptions!$E$44:$E$46,MATCH($C56,Assumptions!$A$44:$A$46,0)),0))*IF(AND($C56="Verified",$C$39=1),0,1)</f>
        <v>0</v>
      </c>
      <c r="K122" s="23" t="n">
        <f aca="false">IF($F56=1,IF(K$45=1,INDEX(Assumptions!$E$44:$E$46,MATCH($C56,Assumptions!$A$44:$A$46,0))*$C$34,0),IF(K$45=MAX($G56-1,1),INDEX(Assumptions!$E$44:$E$46,MATCH($C56,Assumptions!$A$44:$A$46,0)),0))*IF(AND($C56="Verified",$C$39=1),0,1)</f>
        <v>120000</v>
      </c>
      <c r="L122" s="23" t="n">
        <f aca="false">IF($F56=1,IF(L$45=1,INDEX(Assumptions!$E$44:$E$46,MATCH($C56,Assumptions!$A$44:$A$46,0))*$C$34,0),IF(L$45=MAX($G56-1,1),INDEX(Assumptions!$E$44:$E$46,MATCH($C56,Assumptions!$A$44:$A$46,0)),0))*IF(AND($C56="Verified",$C$39=1),0,1)</f>
        <v>0</v>
      </c>
      <c r="M122" s="23" t="n">
        <f aca="false">IF($F56=1,IF(M$45=1,INDEX(Assumptions!$E$44:$E$46,MATCH($C56,Assumptions!$A$44:$A$46,0))*$C$34,0),IF(M$45=MAX($G56-1,1),INDEX(Assumptions!$E$44:$E$46,MATCH($C56,Assumptions!$A$44:$A$46,0)),0))*IF(AND($C56="Verified",$C$39=1),0,1)</f>
        <v>0</v>
      </c>
      <c r="N122" s="23" t="n">
        <f aca="false">IF($F56=1,IF(N$45=1,INDEX(Assumptions!$E$44:$E$46,MATCH($C56,Assumptions!$A$44:$A$46,0))*$C$34,0),IF(N$45=MAX($G56-1,1),INDEX(Assumptions!$E$44:$E$46,MATCH($C56,Assumptions!$A$44:$A$46,0)),0))*IF(AND($C56="Verified",$C$39=1),0,1)</f>
        <v>0</v>
      </c>
      <c r="O122" s="23" t="n">
        <f aca="false">IF($F56=1,IF(O$45=1,INDEX(Assumptions!$E$44:$E$46,MATCH($C56,Assumptions!$A$44:$A$46,0))*$C$34,0),IF(O$45=MAX($G56-1,1),INDEX(Assumptions!$E$44:$E$46,MATCH($C56,Assumptions!$A$44:$A$46,0)),0))*IF(AND($C56="Verified",$C$39=1),0,1)</f>
        <v>0</v>
      </c>
      <c r="P122" s="23" t="n">
        <f aca="false">IF($F56=1,IF(P$45=1,INDEX(Assumptions!$E$44:$E$46,MATCH($C56,Assumptions!$A$44:$A$46,0))*$C$34,0),IF(P$45=MAX($G56-1,1),INDEX(Assumptions!$E$44:$E$46,MATCH($C56,Assumptions!$A$44:$A$46,0)),0))*IF(AND($C56="Verified",$C$39=1),0,1)</f>
        <v>0</v>
      </c>
      <c r="Q122" s="23" t="n">
        <f aca="false">IF($F56=1,IF(Q$45=1,INDEX(Assumptions!$E$44:$E$46,MATCH($C56,Assumptions!$A$44:$A$46,0))*$C$34,0),IF(Q$45=MAX($G56-1,1),INDEX(Assumptions!$E$44:$E$46,MATCH($C56,Assumptions!$A$44:$A$46,0)),0))*IF(AND($C56="Verified",$C$39=1),0,1)</f>
        <v>0</v>
      </c>
      <c r="R122" s="23" t="n">
        <f aca="false">IF($F56=1,IF(R$45=1,INDEX(Assumptions!$E$44:$E$46,MATCH($C56,Assumptions!$A$44:$A$46,0))*$C$34,0),IF(R$45=MAX($G56-1,1),INDEX(Assumptions!$E$44:$E$46,MATCH($C56,Assumptions!$A$44:$A$46,0)),0))*IF(AND($C56="Verified",$C$39=1),0,1)</f>
        <v>0</v>
      </c>
      <c r="S122" s="23" t="n">
        <f aca="false">IF($F56=1,IF(S$45=1,INDEX(Assumptions!$E$44:$E$46,MATCH($C56,Assumptions!$A$44:$A$46,0))*$C$34,0),IF(S$45=MAX($G56-1,1),INDEX(Assumptions!$E$44:$E$46,MATCH($C56,Assumptions!$A$44:$A$46,0)),0))*IF(AND($C56="Verified",$C$39=1),0,1)</f>
        <v>0</v>
      </c>
      <c r="T122" s="23" t="n">
        <f aca="false">IF($F56=1,IF(T$45=1,INDEX(Assumptions!$E$44:$E$46,MATCH($C56,Assumptions!$A$44:$A$46,0))*$C$34,0),IF(T$45=MAX($G56-1,1),INDEX(Assumptions!$E$44:$E$46,MATCH($C56,Assumptions!$A$44:$A$46,0)),0))*IF(AND($C56="Verified",$C$39=1),0,1)</f>
        <v>0</v>
      </c>
      <c r="U122" s="23" t="n">
        <f aca="false">IF($F56=1,IF(U$45=1,INDEX(Assumptions!$E$44:$E$46,MATCH($C56,Assumptions!$A$44:$A$46,0))*$C$34,0),IF(U$45=MAX($G56-1,1),INDEX(Assumptions!$E$44:$E$46,MATCH($C56,Assumptions!$A$44:$A$46,0)),0))*IF(AND($C56="Verified",$C$39=1),0,1)</f>
        <v>0</v>
      </c>
      <c r="V122" s="23" t="n">
        <f aca="false">IF($F56=1,IF(V$45=1,INDEX(Assumptions!$E$44:$E$46,MATCH($C56,Assumptions!$A$44:$A$46,0))*$C$34,0),IF(V$45=MAX($G56-1,1),INDEX(Assumptions!$E$44:$E$46,MATCH($C56,Assumptions!$A$44:$A$46,0)),0))*IF(AND($C56="Verified",$C$39=1),0,1)</f>
        <v>0</v>
      </c>
      <c r="W122" s="23" t="n">
        <f aca="false">IF($F56=1,IF(W$45=1,INDEX(Assumptions!$E$44:$E$46,MATCH($C56,Assumptions!$A$44:$A$46,0))*$C$34,0),IF(W$45=MAX($G56-1,1),INDEX(Assumptions!$E$44:$E$46,MATCH($C56,Assumptions!$A$44:$A$46,0)),0))*IF(AND($C56="Verified",$C$39=1),0,1)</f>
        <v>0</v>
      </c>
      <c r="X122" s="23" t="n">
        <f aca="false">IF($F56=1,IF(X$45=1,INDEX(Assumptions!$E$44:$E$46,MATCH($C56,Assumptions!$A$44:$A$46,0))*$C$34,0),IF(X$45=MAX($G56-1,1),INDEX(Assumptions!$E$44:$E$46,MATCH($C56,Assumptions!$A$44:$A$46,0)),0))*IF(AND($C56="Verified",$C$39=1),0,1)</f>
        <v>0</v>
      </c>
      <c r="Y122" s="23" t="n">
        <f aca="false">IF($F56=1,IF(Y$45=1,INDEX(Assumptions!$E$44:$E$46,MATCH($C56,Assumptions!$A$44:$A$46,0))*$C$34,0),IF(Y$45=MAX($G56-1,1),INDEX(Assumptions!$E$44:$E$46,MATCH($C56,Assumptions!$A$44:$A$46,0)),0))*IF(AND($C56="Verified",$C$39=1),0,1)</f>
        <v>0</v>
      </c>
    </row>
    <row r="123" customFormat="false" ht="15" hidden="false" customHeight="false" outlineLevel="0" collapsed="false">
      <c r="A123" s="2" t="n">
        <f aca="false">A57</f>
        <v>10</v>
      </c>
      <c r="B123" s="2" t="str">
        <f aca="false">B57</f>
        <v>C</v>
      </c>
      <c r="C123" s="2" t="str">
        <f aca="false">C57</f>
        <v>Assured</v>
      </c>
      <c r="D123" s="2"/>
      <c r="E123" s="2"/>
      <c r="F123" s="2"/>
      <c r="G123" s="2"/>
      <c r="H123" s="23" t="n">
        <f aca="false">IF($F57=1,IF(H$45=1,INDEX(Assumptions!$E$44:$E$46,MATCH($C57,Assumptions!$A$44:$A$46,0))*$C$34,0),IF(H$45=MAX($G57-1,1),INDEX(Assumptions!$E$44:$E$46,MATCH($C57,Assumptions!$A$44:$A$46,0)),0))*IF(AND($C57="Verified",$C$39=1),0,1)</f>
        <v>0</v>
      </c>
      <c r="I123" s="23" t="n">
        <f aca="false">IF($F57=1,IF(I$45=1,INDEX(Assumptions!$E$44:$E$46,MATCH($C57,Assumptions!$A$44:$A$46,0))*$C$34,0),IF(I$45=MAX($G57-1,1),INDEX(Assumptions!$E$44:$E$46,MATCH($C57,Assumptions!$A$44:$A$46,0)),0))*IF(AND($C57="Verified",$C$39=1),0,1)</f>
        <v>0</v>
      </c>
      <c r="J123" s="23" t="n">
        <f aca="false">IF($F57=1,IF(J$45=1,INDEX(Assumptions!$E$44:$E$46,MATCH($C57,Assumptions!$A$44:$A$46,0))*$C$34,0),IF(J$45=MAX($G57-1,1),INDEX(Assumptions!$E$44:$E$46,MATCH($C57,Assumptions!$A$44:$A$46,0)),0))*IF(AND($C57="Verified",$C$39=1),0,1)</f>
        <v>0</v>
      </c>
      <c r="K123" s="23" t="n">
        <f aca="false">IF($F57=1,IF(K$45=1,INDEX(Assumptions!$E$44:$E$46,MATCH($C57,Assumptions!$A$44:$A$46,0))*$C$34,0),IF(K$45=MAX($G57-1,1),INDEX(Assumptions!$E$44:$E$46,MATCH($C57,Assumptions!$A$44:$A$46,0)),0))*IF(AND($C57="Verified",$C$39=1),0,1)</f>
        <v>0</v>
      </c>
      <c r="L123" s="23" t="n">
        <f aca="false">IF($F57=1,IF(L$45=1,INDEX(Assumptions!$E$44:$E$46,MATCH($C57,Assumptions!$A$44:$A$46,0))*$C$34,0),IF(L$45=MAX($G57-1,1),INDEX(Assumptions!$E$44:$E$46,MATCH($C57,Assumptions!$A$44:$A$46,0)),0))*IF(AND($C57="Verified",$C$39=1),0,1)</f>
        <v>120000</v>
      </c>
      <c r="M123" s="23" t="n">
        <f aca="false">IF($F57=1,IF(M$45=1,INDEX(Assumptions!$E$44:$E$46,MATCH($C57,Assumptions!$A$44:$A$46,0))*$C$34,0),IF(M$45=MAX($G57-1,1),INDEX(Assumptions!$E$44:$E$46,MATCH($C57,Assumptions!$A$44:$A$46,0)),0))*IF(AND($C57="Verified",$C$39=1),0,1)</f>
        <v>0</v>
      </c>
      <c r="N123" s="23" t="n">
        <f aca="false">IF($F57=1,IF(N$45=1,INDEX(Assumptions!$E$44:$E$46,MATCH($C57,Assumptions!$A$44:$A$46,0))*$C$34,0),IF(N$45=MAX($G57-1,1),INDEX(Assumptions!$E$44:$E$46,MATCH($C57,Assumptions!$A$44:$A$46,0)),0))*IF(AND($C57="Verified",$C$39=1),0,1)</f>
        <v>0</v>
      </c>
      <c r="O123" s="23" t="n">
        <f aca="false">IF($F57=1,IF(O$45=1,INDEX(Assumptions!$E$44:$E$46,MATCH($C57,Assumptions!$A$44:$A$46,0))*$C$34,0),IF(O$45=MAX($G57-1,1),INDEX(Assumptions!$E$44:$E$46,MATCH($C57,Assumptions!$A$44:$A$46,0)),0))*IF(AND($C57="Verified",$C$39=1),0,1)</f>
        <v>0</v>
      </c>
      <c r="P123" s="23" t="n">
        <f aca="false">IF($F57=1,IF(P$45=1,INDEX(Assumptions!$E$44:$E$46,MATCH($C57,Assumptions!$A$44:$A$46,0))*$C$34,0),IF(P$45=MAX($G57-1,1),INDEX(Assumptions!$E$44:$E$46,MATCH($C57,Assumptions!$A$44:$A$46,0)),0))*IF(AND($C57="Verified",$C$39=1),0,1)</f>
        <v>0</v>
      </c>
      <c r="Q123" s="23" t="n">
        <f aca="false">IF($F57=1,IF(Q$45=1,INDEX(Assumptions!$E$44:$E$46,MATCH($C57,Assumptions!$A$44:$A$46,0))*$C$34,0),IF(Q$45=MAX($G57-1,1),INDEX(Assumptions!$E$44:$E$46,MATCH($C57,Assumptions!$A$44:$A$46,0)),0))*IF(AND($C57="Verified",$C$39=1),0,1)</f>
        <v>0</v>
      </c>
      <c r="R123" s="23" t="n">
        <f aca="false">IF($F57=1,IF(R$45=1,INDEX(Assumptions!$E$44:$E$46,MATCH($C57,Assumptions!$A$44:$A$46,0))*$C$34,0),IF(R$45=MAX($G57-1,1),INDEX(Assumptions!$E$44:$E$46,MATCH($C57,Assumptions!$A$44:$A$46,0)),0))*IF(AND($C57="Verified",$C$39=1),0,1)</f>
        <v>0</v>
      </c>
      <c r="S123" s="23" t="n">
        <f aca="false">IF($F57=1,IF(S$45=1,INDEX(Assumptions!$E$44:$E$46,MATCH($C57,Assumptions!$A$44:$A$46,0))*$C$34,0),IF(S$45=MAX($G57-1,1),INDEX(Assumptions!$E$44:$E$46,MATCH($C57,Assumptions!$A$44:$A$46,0)),0))*IF(AND($C57="Verified",$C$39=1),0,1)</f>
        <v>0</v>
      </c>
      <c r="T123" s="23" t="n">
        <f aca="false">IF($F57=1,IF(T$45=1,INDEX(Assumptions!$E$44:$E$46,MATCH($C57,Assumptions!$A$44:$A$46,0))*$C$34,0),IF(T$45=MAX($G57-1,1),INDEX(Assumptions!$E$44:$E$46,MATCH($C57,Assumptions!$A$44:$A$46,0)),0))*IF(AND($C57="Verified",$C$39=1),0,1)</f>
        <v>0</v>
      </c>
      <c r="U123" s="23" t="n">
        <f aca="false">IF($F57=1,IF(U$45=1,INDEX(Assumptions!$E$44:$E$46,MATCH($C57,Assumptions!$A$44:$A$46,0))*$C$34,0),IF(U$45=MAX($G57-1,1),INDEX(Assumptions!$E$44:$E$46,MATCH($C57,Assumptions!$A$44:$A$46,0)),0))*IF(AND($C57="Verified",$C$39=1),0,1)</f>
        <v>0</v>
      </c>
      <c r="V123" s="23" t="n">
        <f aca="false">IF($F57=1,IF(V$45=1,INDEX(Assumptions!$E$44:$E$46,MATCH($C57,Assumptions!$A$44:$A$46,0))*$C$34,0),IF(V$45=MAX($G57-1,1),INDEX(Assumptions!$E$44:$E$46,MATCH($C57,Assumptions!$A$44:$A$46,0)),0))*IF(AND($C57="Verified",$C$39=1),0,1)</f>
        <v>0</v>
      </c>
      <c r="W123" s="23" t="n">
        <f aca="false">IF($F57=1,IF(W$45=1,INDEX(Assumptions!$E$44:$E$46,MATCH($C57,Assumptions!$A$44:$A$46,0))*$C$34,0),IF(W$45=MAX($G57-1,1),INDEX(Assumptions!$E$44:$E$46,MATCH($C57,Assumptions!$A$44:$A$46,0)),0))*IF(AND($C57="Verified",$C$39=1),0,1)</f>
        <v>0</v>
      </c>
      <c r="X123" s="23" t="n">
        <f aca="false">IF($F57=1,IF(X$45=1,INDEX(Assumptions!$E$44:$E$46,MATCH($C57,Assumptions!$A$44:$A$46,0))*$C$34,0),IF(X$45=MAX($G57-1,1),INDEX(Assumptions!$E$44:$E$46,MATCH($C57,Assumptions!$A$44:$A$46,0)),0))*IF(AND($C57="Verified",$C$39=1),0,1)</f>
        <v>0</v>
      </c>
      <c r="Y123" s="23" t="n">
        <f aca="false">IF($F57=1,IF(Y$45=1,INDEX(Assumptions!$E$44:$E$46,MATCH($C57,Assumptions!$A$44:$A$46,0))*$C$34,0),IF(Y$45=MAX($G57-1,1),INDEX(Assumptions!$E$44:$E$46,MATCH($C57,Assumptions!$A$44:$A$46,0)),0))*IF(AND($C57="Verified",$C$39=1),0,1)</f>
        <v>0</v>
      </c>
    </row>
    <row r="124" customFormat="false" ht="15" hidden="false" customHeight="false" outlineLevel="0" collapsed="false">
      <c r="A124" s="2" t="n">
        <f aca="false">A58</f>
        <v>11</v>
      </c>
      <c r="B124" s="2" t="str">
        <f aca="false">B58</f>
        <v>C</v>
      </c>
      <c r="C124" s="2" t="str">
        <f aca="false">C58</f>
        <v>Assured</v>
      </c>
      <c r="D124" s="2"/>
      <c r="E124" s="2"/>
      <c r="F124" s="2"/>
      <c r="G124" s="2"/>
      <c r="H124" s="23" t="n">
        <f aca="false">IF($F58=1,IF(H$45=1,INDEX(Assumptions!$E$44:$E$46,MATCH($C58,Assumptions!$A$44:$A$46,0))*$C$34,0),IF(H$45=MAX($G58-1,1),INDEX(Assumptions!$E$44:$E$46,MATCH($C58,Assumptions!$A$44:$A$46,0)),0))*IF(AND($C58="Verified",$C$39=1),0,1)</f>
        <v>0</v>
      </c>
      <c r="I124" s="23" t="n">
        <f aca="false">IF($F58=1,IF(I$45=1,INDEX(Assumptions!$E$44:$E$46,MATCH($C58,Assumptions!$A$44:$A$46,0))*$C$34,0),IF(I$45=MAX($G58-1,1),INDEX(Assumptions!$E$44:$E$46,MATCH($C58,Assumptions!$A$44:$A$46,0)),0))*IF(AND($C58="Verified",$C$39=1),0,1)</f>
        <v>0</v>
      </c>
      <c r="J124" s="23" t="n">
        <f aca="false">IF($F58=1,IF(J$45=1,INDEX(Assumptions!$E$44:$E$46,MATCH($C58,Assumptions!$A$44:$A$46,0))*$C$34,0),IF(J$45=MAX($G58-1,1),INDEX(Assumptions!$E$44:$E$46,MATCH($C58,Assumptions!$A$44:$A$46,0)),0))*IF(AND($C58="Verified",$C$39=1),0,1)</f>
        <v>0</v>
      </c>
      <c r="K124" s="23" t="n">
        <f aca="false">IF($F58=1,IF(K$45=1,INDEX(Assumptions!$E$44:$E$46,MATCH($C58,Assumptions!$A$44:$A$46,0))*$C$34,0),IF(K$45=MAX($G58-1,1),INDEX(Assumptions!$E$44:$E$46,MATCH($C58,Assumptions!$A$44:$A$46,0)),0))*IF(AND($C58="Verified",$C$39=1),0,1)</f>
        <v>0</v>
      </c>
      <c r="L124" s="23" t="n">
        <f aca="false">IF($F58=1,IF(L$45=1,INDEX(Assumptions!$E$44:$E$46,MATCH($C58,Assumptions!$A$44:$A$46,0))*$C$34,0),IF(L$45=MAX($G58-1,1),INDEX(Assumptions!$E$44:$E$46,MATCH($C58,Assumptions!$A$44:$A$46,0)),0))*IF(AND($C58="Verified",$C$39=1),0,1)</f>
        <v>0</v>
      </c>
      <c r="M124" s="23" t="n">
        <f aca="false">IF($F58=1,IF(M$45=1,INDEX(Assumptions!$E$44:$E$46,MATCH($C58,Assumptions!$A$44:$A$46,0))*$C$34,0),IF(M$45=MAX($G58-1,1),INDEX(Assumptions!$E$44:$E$46,MATCH($C58,Assumptions!$A$44:$A$46,0)),0))*IF(AND($C58="Verified",$C$39=1),0,1)</f>
        <v>120000</v>
      </c>
      <c r="N124" s="23" t="n">
        <f aca="false">IF($F58=1,IF(N$45=1,INDEX(Assumptions!$E$44:$E$46,MATCH($C58,Assumptions!$A$44:$A$46,0))*$C$34,0),IF(N$45=MAX($G58-1,1),INDEX(Assumptions!$E$44:$E$46,MATCH($C58,Assumptions!$A$44:$A$46,0)),0))*IF(AND($C58="Verified",$C$39=1),0,1)</f>
        <v>0</v>
      </c>
      <c r="O124" s="23" t="n">
        <f aca="false">IF($F58=1,IF(O$45=1,INDEX(Assumptions!$E$44:$E$46,MATCH($C58,Assumptions!$A$44:$A$46,0))*$C$34,0),IF(O$45=MAX($G58-1,1),INDEX(Assumptions!$E$44:$E$46,MATCH($C58,Assumptions!$A$44:$A$46,0)),0))*IF(AND($C58="Verified",$C$39=1),0,1)</f>
        <v>0</v>
      </c>
      <c r="P124" s="23" t="n">
        <f aca="false">IF($F58=1,IF(P$45=1,INDEX(Assumptions!$E$44:$E$46,MATCH($C58,Assumptions!$A$44:$A$46,0))*$C$34,0),IF(P$45=MAX($G58-1,1),INDEX(Assumptions!$E$44:$E$46,MATCH($C58,Assumptions!$A$44:$A$46,0)),0))*IF(AND($C58="Verified",$C$39=1),0,1)</f>
        <v>0</v>
      </c>
      <c r="Q124" s="23" t="n">
        <f aca="false">IF($F58=1,IF(Q$45=1,INDEX(Assumptions!$E$44:$E$46,MATCH($C58,Assumptions!$A$44:$A$46,0))*$C$34,0),IF(Q$45=MAX($G58-1,1),INDEX(Assumptions!$E$44:$E$46,MATCH($C58,Assumptions!$A$44:$A$46,0)),0))*IF(AND($C58="Verified",$C$39=1),0,1)</f>
        <v>0</v>
      </c>
      <c r="R124" s="23" t="n">
        <f aca="false">IF($F58=1,IF(R$45=1,INDEX(Assumptions!$E$44:$E$46,MATCH($C58,Assumptions!$A$44:$A$46,0))*$C$34,0),IF(R$45=MAX($G58-1,1),INDEX(Assumptions!$E$44:$E$46,MATCH($C58,Assumptions!$A$44:$A$46,0)),0))*IF(AND($C58="Verified",$C$39=1),0,1)</f>
        <v>0</v>
      </c>
      <c r="S124" s="23" t="n">
        <f aca="false">IF($F58=1,IF(S$45=1,INDEX(Assumptions!$E$44:$E$46,MATCH($C58,Assumptions!$A$44:$A$46,0))*$C$34,0),IF(S$45=MAX($G58-1,1),INDEX(Assumptions!$E$44:$E$46,MATCH($C58,Assumptions!$A$44:$A$46,0)),0))*IF(AND($C58="Verified",$C$39=1),0,1)</f>
        <v>0</v>
      </c>
      <c r="T124" s="23" t="n">
        <f aca="false">IF($F58=1,IF(T$45=1,INDEX(Assumptions!$E$44:$E$46,MATCH($C58,Assumptions!$A$44:$A$46,0))*$C$34,0),IF(T$45=MAX($G58-1,1),INDEX(Assumptions!$E$44:$E$46,MATCH($C58,Assumptions!$A$44:$A$46,0)),0))*IF(AND($C58="Verified",$C$39=1),0,1)</f>
        <v>0</v>
      </c>
      <c r="U124" s="23" t="n">
        <f aca="false">IF($F58=1,IF(U$45=1,INDEX(Assumptions!$E$44:$E$46,MATCH($C58,Assumptions!$A$44:$A$46,0))*$C$34,0),IF(U$45=MAX($G58-1,1),INDEX(Assumptions!$E$44:$E$46,MATCH($C58,Assumptions!$A$44:$A$46,0)),0))*IF(AND($C58="Verified",$C$39=1),0,1)</f>
        <v>0</v>
      </c>
      <c r="V124" s="23" t="n">
        <f aca="false">IF($F58=1,IF(V$45=1,INDEX(Assumptions!$E$44:$E$46,MATCH($C58,Assumptions!$A$44:$A$46,0))*$C$34,0),IF(V$45=MAX($G58-1,1),INDEX(Assumptions!$E$44:$E$46,MATCH($C58,Assumptions!$A$44:$A$46,0)),0))*IF(AND($C58="Verified",$C$39=1),0,1)</f>
        <v>0</v>
      </c>
      <c r="W124" s="23" t="n">
        <f aca="false">IF($F58=1,IF(W$45=1,INDEX(Assumptions!$E$44:$E$46,MATCH($C58,Assumptions!$A$44:$A$46,0))*$C$34,0),IF(W$45=MAX($G58-1,1),INDEX(Assumptions!$E$44:$E$46,MATCH($C58,Assumptions!$A$44:$A$46,0)),0))*IF(AND($C58="Verified",$C$39=1),0,1)</f>
        <v>0</v>
      </c>
      <c r="X124" s="23" t="n">
        <f aca="false">IF($F58=1,IF(X$45=1,INDEX(Assumptions!$E$44:$E$46,MATCH($C58,Assumptions!$A$44:$A$46,0))*$C$34,0),IF(X$45=MAX($G58-1,1),INDEX(Assumptions!$E$44:$E$46,MATCH($C58,Assumptions!$A$44:$A$46,0)),0))*IF(AND($C58="Verified",$C$39=1),0,1)</f>
        <v>0</v>
      </c>
      <c r="Y124" s="23" t="n">
        <f aca="false">IF($F58=1,IF(Y$45=1,INDEX(Assumptions!$E$44:$E$46,MATCH($C58,Assumptions!$A$44:$A$46,0))*$C$34,0),IF(Y$45=MAX($G58-1,1),INDEX(Assumptions!$E$44:$E$46,MATCH($C58,Assumptions!$A$44:$A$46,0)),0))*IF(AND($C58="Verified",$C$39=1),0,1)</f>
        <v>0</v>
      </c>
    </row>
    <row r="125" customFormat="false" ht="15" hidden="false" customHeight="false" outlineLevel="0" collapsed="false">
      <c r="A125" s="2" t="n">
        <f aca="false">A59</f>
        <v>12</v>
      </c>
      <c r="B125" s="2" t="str">
        <f aca="false">B59</f>
        <v>C</v>
      </c>
      <c r="C125" s="2" t="str">
        <f aca="false">C59</f>
        <v>Assured</v>
      </c>
      <c r="D125" s="2"/>
      <c r="E125" s="2"/>
      <c r="F125" s="2"/>
      <c r="G125" s="2"/>
      <c r="H125" s="23" t="n">
        <f aca="false">IF($F59=1,IF(H$45=1,INDEX(Assumptions!$E$44:$E$46,MATCH($C59,Assumptions!$A$44:$A$46,0))*$C$34,0),IF(H$45=MAX($G59-1,1),INDEX(Assumptions!$E$44:$E$46,MATCH($C59,Assumptions!$A$44:$A$46,0)),0))*IF(AND($C59="Verified",$C$39=1),0,1)</f>
        <v>0</v>
      </c>
      <c r="I125" s="23" t="n">
        <f aca="false">IF($F59=1,IF(I$45=1,INDEX(Assumptions!$E$44:$E$46,MATCH($C59,Assumptions!$A$44:$A$46,0))*$C$34,0),IF(I$45=MAX($G59-1,1),INDEX(Assumptions!$E$44:$E$46,MATCH($C59,Assumptions!$A$44:$A$46,0)),0))*IF(AND($C59="Verified",$C$39=1),0,1)</f>
        <v>0</v>
      </c>
      <c r="J125" s="23" t="n">
        <f aca="false">IF($F59=1,IF(J$45=1,INDEX(Assumptions!$E$44:$E$46,MATCH($C59,Assumptions!$A$44:$A$46,0))*$C$34,0),IF(J$45=MAX($G59-1,1),INDEX(Assumptions!$E$44:$E$46,MATCH($C59,Assumptions!$A$44:$A$46,0)),0))*IF(AND($C59="Verified",$C$39=1),0,1)</f>
        <v>0</v>
      </c>
      <c r="K125" s="23" t="n">
        <f aca="false">IF($F59=1,IF(K$45=1,INDEX(Assumptions!$E$44:$E$46,MATCH($C59,Assumptions!$A$44:$A$46,0))*$C$34,0),IF(K$45=MAX($G59-1,1),INDEX(Assumptions!$E$44:$E$46,MATCH($C59,Assumptions!$A$44:$A$46,0)),0))*IF(AND($C59="Verified",$C$39=1),0,1)</f>
        <v>0</v>
      </c>
      <c r="L125" s="23" t="n">
        <f aca="false">IF($F59=1,IF(L$45=1,INDEX(Assumptions!$E$44:$E$46,MATCH($C59,Assumptions!$A$44:$A$46,0))*$C$34,0),IF(L$45=MAX($G59-1,1),INDEX(Assumptions!$E$44:$E$46,MATCH($C59,Assumptions!$A$44:$A$46,0)),0))*IF(AND($C59="Verified",$C$39=1),0,1)</f>
        <v>0</v>
      </c>
      <c r="M125" s="23" t="n">
        <f aca="false">IF($F59=1,IF(M$45=1,INDEX(Assumptions!$E$44:$E$46,MATCH($C59,Assumptions!$A$44:$A$46,0))*$C$34,0),IF(M$45=MAX($G59-1,1),INDEX(Assumptions!$E$44:$E$46,MATCH($C59,Assumptions!$A$44:$A$46,0)),0))*IF(AND($C59="Verified",$C$39=1),0,1)</f>
        <v>120000</v>
      </c>
      <c r="N125" s="23" t="n">
        <f aca="false">IF($F59=1,IF(N$45=1,INDEX(Assumptions!$E$44:$E$46,MATCH($C59,Assumptions!$A$44:$A$46,0))*$C$34,0),IF(N$45=MAX($G59-1,1),INDEX(Assumptions!$E$44:$E$46,MATCH($C59,Assumptions!$A$44:$A$46,0)),0))*IF(AND($C59="Verified",$C$39=1),0,1)</f>
        <v>0</v>
      </c>
      <c r="O125" s="23" t="n">
        <f aca="false">IF($F59=1,IF(O$45=1,INDEX(Assumptions!$E$44:$E$46,MATCH($C59,Assumptions!$A$44:$A$46,0))*$C$34,0),IF(O$45=MAX($G59-1,1),INDEX(Assumptions!$E$44:$E$46,MATCH($C59,Assumptions!$A$44:$A$46,0)),0))*IF(AND($C59="Verified",$C$39=1),0,1)</f>
        <v>0</v>
      </c>
      <c r="P125" s="23" t="n">
        <f aca="false">IF($F59=1,IF(P$45=1,INDEX(Assumptions!$E$44:$E$46,MATCH($C59,Assumptions!$A$44:$A$46,0))*$C$34,0),IF(P$45=MAX($G59-1,1),INDEX(Assumptions!$E$44:$E$46,MATCH($C59,Assumptions!$A$44:$A$46,0)),0))*IF(AND($C59="Verified",$C$39=1),0,1)</f>
        <v>0</v>
      </c>
      <c r="Q125" s="23" t="n">
        <f aca="false">IF($F59=1,IF(Q$45=1,INDEX(Assumptions!$E$44:$E$46,MATCH($C59,Assumptions!$A$44:$A$46,0))*$C$34,0),IF(Q$45=MAX($G59-1,1),INDEX(Assumptions!$E$44:$E$46,MATCH($C59,Assumptions!$A$44:$A$46,0)),0))*IF(AND($C59="Verified",$C$39=1),0,1)</f>
        <v>0</v>
      </c>
      <c r="R125" s="23" t="n">
        <f aca="false">IF($F59=1,IF(R$45=1,INDEX(Assumptions!$E$44:$E$46,MATCH($C59,Assumptions!$A$44:$A$46,0))*$C$34,0),IF(R$45=MAX($G59-1,1),INDEX(Assumptions!$E$44:$E$46,MATCH($C59,Assumptions!$A$44:$A$46,0)),0))*IF(AND($C59="Verified",$C$39=1),0,1)</f>
        <v>0</v>
      </c>
      <c r="S125" s="23" t="n">
        <f aca="false">IF($F59=1,IF(S$45=1,INDEX(Assumptions!$E$44:$E$46,MATCH($C59,Assumptions!$A$44:$A$46,0))*$C$34,0),IF(S$45=MAX($G59-1,1),INDEX(Assumptions!$E$44:$E$46,MATCH($C59,Assumptions!$A$44:$A$46,0)),0))*IF(AND($C59="Verified",$C$39=1),0,1)</f>
        <v>0</v>
      </c>
      <c r="T125" s="23" t="n">
        <f aca="false">IF($F59=1,IF(T$45=1,INDEX(Assumptions!$E$44:$E$46,MATCH($C59,Assumptions!$A$44:$A$46,0))*$C$34,0),IF(T$45=MAX($G59-1,1),INDEX(Assumptions!$E$44:$E$46,MATCH($C59,Assumptions!$A$44:$A$46,0)),0))*IF(AND($C59="Verified",$C$39=1),0,1)</f>
        <v>0</v>
      </c>
      <c r="U125" s="23" t="n">
        <f aca="false">IF($F59=1,IF(U$45=1,INDEX(Assumptions!$E$44:$E$46,MATCH($C59,Assumptions!$A$44:$A$46,0))*$C$34,0),IF(U$45=MAX($G59-1,1),INDEX(Assumptions!$E$44:$E$46,MATCH($C59,Assumptions!$A$44:$A$46,0)),0))*IF(AND($C59="Verified",$C$39=1),0,1)</f>
        <v>0</v>
      </c>
      <c r="V125" s="23" t="n">
        <f aca="false">IF($F59=1,IF(V$45=1,INDEX(Assumptions!$E$44:$E$46,MATCH($C59,Assumptions!$A$44:$A$46,0))*$C$34,0),IF(V$45=MAX($G59-1,1),INDEX(Assumptions!$E$44:$E$46,MATCH($C59,Assumptions!$A$44:$A$46,0)),0))*IF(AND($C59="Verified",$C$39=1),0,1)</f>
        <v>0</v>
      </c>
      <c r="W125" s="23" t="n">
        <f aca="false">IF($F59=1,IF(W$45=1,INDEX(Assumptions!$E$44:$E$46,MATCH($C59,Assumptions!$A$44:$A$46,0))*$C$34,0),IF(W$45=MAX($G59-1,1),INDEX(Assumptions!$E$44:$E$46,MATCH($C59,Assumptions!$A$44:$A$46,0)),0))*IF(AND($C59="Verified",$C$39=1),0,1)</f>
        <v>0</v>
      </c>
      <c r="X125" s="23" t="n">
        <f aca="false">IF($F59=1,IF(X$45=1,INDEX(Assumptions!$E$44:$E$46,MATCH($C59,Assumptions!$A$44:$A$46,0))*$C$34,0),IF(X$45=MAX($G59-1,1),INDEX(Assumptions!$E$44:$E$46,MATCH($C59,Assumptions!$A$44:$A$46,0)),0))*IF(AND($C59="Verified",$C$39=1),0,1)</f>
        <v>0</v>
      </c>
      <c r="Y125" s="23" t="n">
        <f aca="false">IF($F59=1,IF(Y$45=1,INDEX(Assumptions!$E$44:$E$46,MATCH($C59,Assumptions!$A$44:$A$46,0))*$C$34,0),IF(Y$45=MAX($G59-1,1),INDEX(Assumptions!$E$44:$E$46,MATCH($C59,Assumptions!$A$44:$A$46,0)),0))*IF(AND($C59="Verified",$C$39=1),0,1)</f>
        <v>0</v>
      </c>
    </row>
    <row r="126" customFormat="false" ht="15" hidden="false" customHeight="false" outlineLevel="0" collapsed="false">
      <c r="A126" s="2" t="n">
        <f aca="false">A60</f>
        <v>13</v>
      </c>
      <c r="B126" s="2" t="str">
        <f aca="false">B60</f>
        <v>C</v>
      </c>
      <c r="C126" s="2" t="str">
        <f aca="false">C60</f>
        <v>Assured</v>
      </c>
      <c r="D126" s="2"/>
      <c r="E126" s="2"/>
      <c r="F126" s="2"/>
      <c r="G126" s="2"/>
      <c r="H126" s="23" t="n">
        <f aca="false">IF($F60=1,IF(H$45=1,INDEX(Assumptions!$E$44:$E$46,MATCH($C60,Assumptions!$A$44:$A$46,0))*$C$34,0),IF(H$45=MAX($G60-1,1),INDEX(Assumptions!$E$44:$E$46,MATCH($C60,Assumptions!$A$44:$A$46,0)),0))*IF(AND($C60="Verified",$C$39=1),0,1)</f>
        <v>0</v>
      </c>
      <c r="I126" s="23" t="n">
        <f aca="false">IF($F60=1,IF(I$45=1,INDEX(Assumptions!$E$44:$E$46,MATCH($C60,Assumptions!$A$44:$A$46,0))*$C$34,0),IF(I$45=MAX($G60-1,1),INDEX(Assumptions!$E$44:$E$46,MATCH($C60,Assumptions!$A$44:$A$46,0)),0))*IF(AND($C60="Verified",$C$39=1),0,1)</f>
        <v>0</v>
      </c>
      <c r="J126" s="23" t="n">
        <f aca="false">IF($F60=1,IF(J$45=1,INDEX(Assumptions!$E$44:$E$46,MATCH($C60,Assumptions!$A$44:$A$46,0))*$C$34,0),IF(J$45=MAX($G60-1,1),INDEX(Assumptions!$E$44:$E$46,MATCH($C60,Assumptions!$A$44:$A$46,0)),0))*IF(AND($C60="Verified",$C$39=1),0,1)</f>
        <v>0</v>
      </c>
      <c r="K126" s="23" t="n">
        <f aca="false">IF($F60=1,IF(K$45=1,INDEX(Assumptions!$E$44:$E$46,MATCH($C60,Assumptions!$A$44:$A$46,0))*$C$34,0),IF(K$45=MAX($G60-1,1),INDEX(Assumptions!$E$44:$E$46,MATCH($C60,Assumptions!$A$44:$A$46,0)),0))*IF(AND($C60="Verified",$C$39=1),0,1)</f>
        <v>0</v>
      </c>
      <c r="L126" s="23" t="n">
        <f aca="false">IF($F60=1,IF(L$45=1,INDEX(Assumptions!$E$44:$E$46,MATCH($C60,Assumptions!$A$44:$A$46,0))*$C$34,0),IF(L$45=MAX($G60-1,1),INDEX(Assumptions!$E$44:$E$46,MATCH($C60,Assumptions!$A$44:$A$46,0)),0))*IF(AND($C60="Verified",$C$39=1),0,1)</f>
        <v>0</v>
      </c>
      <c r="M126" s="23" t="n">
        <f aca="false">IF($F60=1,IF(M$45=1,INDEX(Assumptions!$E$44:$E$46,MATCH($C60,Assumptions!$A$44:$A$46,0))*$C$34,0),IF(M$45=MAX($G60-1,1),INDEX(Assumptions!$E$44:$E$46,MATCH($C60,Assumptions!$A$44:$A$46,0)),0))*IF(AND($C60="Verified",$C$39=1),0,1)</f>
        <v>0</v>
      </c>
      <c r="N126" s="23" t="n">
        <f aca="false">IF($F60=1,IF(N$45=1,INDEX(Assumptions!$E$44:$E$46,MATCH($C60,Assumptions!$A$44:$A$46,0))*$C$34,0),IF(N$45=MAX($G60-1,1),INDEX(Assumptions!$E$44:$E$46,MATCH($C60,Assumptions!$A$44:$A$46,0)),0))*IF(AND($C60="Verified",$C$39=1),0,1)</f>
        <v>120000</v>
      </c>
      <c r="O126" s="23" t="n">
        <f aca="false">IF($F60=1,IF(O$45=1,INDEX(Assumptions!$E$44:$E$46,MATCH($C60,Assumptions!$A$44:$A$46,0))*$C$34,0),IF(O$45=MAX($G60-1,1),INDEX(Assumptions!$E$44:$E$46,MATCH($C60,Assumptions!$A$44:$A$46,0)),0))*IF(AND($C60="Verified",$C$39=1),0,1)</f>
        <v>0</v>
      </c>
      <c r="P126" s="23" t="n">
        <f aca="false">IF($F60=1,IF(P$45=1,INDEX(Assumptions!$E$44:$E$46,MATCH($C60,Assumptions!$A$44:$A$46,0))*$C$34,0),IF(P$45=MAX($G60-1,1),INDEX(Assumptions!$E$44:$E$46,MATCH($C60,Assumptions!$A$44:$A$46,0)),0))*IF(AND($C60="Verified",$C$39=1),0,1)</f>
        <v>0</v>
      </c>
      <c r="Q126" s="23" t="n">
        <f aca="false">IF($F60=1,IF(Q$45=1,INDEX(Assumptions!$E$44:$E$46,MATCH($C60,Assumptions!$A$44:$A$46,0))*$C$34,0),IF(Q$45=MAX($G60-1,1),INDEX(Assumptions!$E$44:$E$46,MATCH($C60,Assumptions!$A$44:$A$46,0)),0))*IF(AND($C60="Verified",$C$39=1),0,1)</f>
        <v>0</v>
      </c>
      <c r="R126" s="23" t="n">
        <f aca="false">IF($F60=1,IF(R$45=1,INDEX(Assumptions!$E$44:$E$46,MATCH($C60,Assumptions!$A$44:$A$46,0))*$C$34,0),IF(R$45=MAX($G60-1,1),INDEX(Assumptions!$E$44:$E$46,MATCH($C60,Assumptions!$A$44:$A$46,0)),0))*IF(AND($C60="Verified",$C$39=1),0,1)</f>
        <v>0</v>
      </c>
      <c r="S126" s="23" t="n">
        <f aca="false">IF($F60=1,IF(S$45=1,INDEX(Assumptions!$E$44:$E$46,MATCH($C60,Assumptions!$A$44:$A$46,0))*$C$34,0),IF(S$45=MAX($G60-1,1),INDEX(Assumptions!$E$44:$E$46,MATCH($C60,Assumptions!$A$44:$A$46,0)),0))*IF(AND($C60="Verified",$C$39=1),0,1)</f>
        <v>0</v>
      </c>
      <c r="T126" s="23" t="n">
        <f aca="false">IF($F60=1,IF(T$45=1,INDEX(Assumptions!$E$44:$E$46,MATCH($C60,Assumptions!$A$44:$A$46,0))*$C$34,0),IF(T$45=MAX($G60-1,1),INDEX(Assumptions!$E$44:$E$46,MATCH($C60,Assumptions!$A$44:$A$46,0)),0))*IF(AND($C60="Verified",$C$39=1),0,1)</f>
        <v>0</v>
      </c>
      <c r="U126" s="23" t="n">
        <f aca="false">IF($F60=1,IF(U$45=1,INDEX(Assumptions!$E$44:$E$46,MATCH($C60,Assumptions!$A$44:$A$46,0))*$C$34,0),IF(U$45=MAX($G60-1,1),INDEX(Assumptions!$E$44:$E$46,MATCH($C60,Assumptions!$A$44:$A$46,0)),0))*IF(AND($C60="Verified",$C$39=1),0,1)</f>
        <v>0</v>
      </c>
      <c r="V126" s="23" t="n">
        <f aca="false">IF($F60=1,IF(V$45=1,INDEX(Assumptions!$E$44:$E$46,MATCH($C60,Assumptions!$A$44:$A$46,0))*$C$34,0),IF(V$45=MAX($G60-1,1),INDEX(Assumptions!$E$44:$E$46,MATCH($C60,Assumptions!$A$44:$A$46,0)),0))*IF(AND($C60="Verified",$C$39=1),0,1)</f>
        <v>0</v>
      </c>
      <c r="W126" s="23" t="n">
        <f aca="false">IF($F60=1,IF(W$45=1,INDEX(Assumptions!$E$44:$E$46,MATCH($C60,Assumptions!$A$44:$A$46,0))*$C$34,0),IF(W$45=MAX($G60-1,1),INDEX(Assumptions!$E$44:$E$46,MATCH($C60,Assumptions!$A$44:$A$46,0)),0))*IF(AND($C60="Verified",$C$39=1),0,1)</f>
        <v>0</v>
      </c>
      <c r="X126" s="23" t="n">
        <f aca="false">IF($F60=1,IF(X$45=1,INDEX(Assumptions!$E$44:$E$46,MATCH($C60,Assumptions!$A$44:$A$46,0))*$C$34,0),IF(X$45=MAX($G60-1,1),INDEX(Assumptions!$E$44:$E$46,MATCH($C60,Assumptions!$A$44:$A$46,0)),0))*IF(AND($C60="Verified",$C$39=1),0,1)</f>
        <v>0</v>
      </c>
      <c r="Y126" s="23" t="n">
        <f aca="false">IF($F60=1,IF(Y$45=1,INDEX(Assumptions!$E$44:$E$46,MATCH($C60,Assumptions!$A$44:$A$46,0))*$C$34,0),IF(Y$45=MAX($G60-1,1),INDEX(Assumptions!$E$44:$E$46,MATCH($C60,Assumptions!$A$44:$A$46,0)),0))*IF(AND($C60="Verified",$C$39=1),0,1)</f>
        <v>0</v>
      </c>
    </row>
    <row r="127" customFormat="false" ht="15" hidden="false" customHeight="false" outlineLevel="0" collapsed="false">
      <c r="A127" s="2" t="n">
        <f aca="false">A61</f>
        <v>14</v>
      </c>
      <c r="B127" s="2" t="str">
        <f aca="false">B61</f>
        <v>B</v>
      </c>
      <c r="C127" s="2" t="str">
        <f aca="false">C61</f>
        <v>Connect</v>
      </c>
      <c r="D127" s="2"/>
      <c r="E127" s="2"/>
      <c r="F127" s="2"/>
      <c r="G127" s="2"/>
      <c r="H127" s="23" t="n">
        <f aca="false">IF($F61=1,IF(H$45=1,INDEX(Assumptions!$E$44:$E$46,MATCH($C61,Assumptions!$A$44:$A$46,0))*$C$34,0),IF(H$45=MAX($G61-1,1),INDEX(Assumptions!$E$44:$E$46,MATCH($C61,Assumptions!$A$44:$A$46,0)),0))*IF(AND($C61="Verified",$C$39=1),0,1)</f>
        <v>0</v>
      </c>
      <c r="I127" s="23" t="n">
        <f aca="false">IF($F61=1,IF(I$45=1,INDEX(Assumptions!$E$44:$E$46,MATCH($C61,Assumptions!$A$44:$A$46,0))*$C$34,0),IF(I$45=MAX($G61-1,1),INDEX(Assumptions!$E$44:$E$46,MATCH($C61,Assumptions!$A$44:$A$46,0)),0))*IF(AND($C61="Verified",$C$39=1),0,1)</f>
        <v>0</v>
      </c>
      <c r="J127" s="23" t="n">
        <f aca="false">IF($F61=1,IF(J$45=1,INDEX(Assumptions!$E$44:$E$46,MATCH($C61,Assumptions!$A$44:$A$46,0))*$C$34,0),IF(J$45=MAX($G61-1,1),INDEX(Assumptions!$E$44:$E$46,MATCH($C61,Assumptions!$A$44:$A$46,0)),0))*IF(AND($C61="Verified",$C$39=1),0,1)</f>
        <v>0</v>
      </c>
      <c r="K127" s="23" t="n">
        <f aca="false">IF($F61=1,IF(K$45=1,INDEX(Assumptions!$E$44:$E$46,MATCH($C61,Assumptions!$A$44:$A$46,0))*$C$34,0),IF(K$45=MAX($G61-1,1),INDEX(Assumptions!$E$44:$E$46,MATCH($C61,Assumptions!$A$44:$A$46,0)),0))*IF(AND($C61="Verified",$C$39=1),0,1)</f>
        <v>0</v>
      </c>
      <c r="L127" s="23" t="n">
        <f aca="false">IF($F61=1,IF(L$45=1,INDEX(Assumptions!$E$44:$E$46,MATCH($C61,Assumptions!$A$44:$A$46,0))*$C$34,0),IF(L$45=MAX($G61-1,1),INDEX(Assumptions!$E$44:$E$46,MATCH($C61,Assumptions!$A$44:$A$46,0)),0))*IF(AND($C61="Verified",$C$39=1),0,1)</f>
        <v>0</v>
      </c>
      <c r="M127" s="23" t="n">
        <f aca="false">IF($F61=1,IF(M$45=1,INDEX(Assumptions!$E$44:$E$46,MATCH($C61,Assumptions!$A$44:$A$46,0))*$C$34,0),IF(M$45=MAX($G61-1,1),INDEX(Assumptions!$E$44:$E$46,MATCH($C61,Assumptions!$A$44:$A$46,0)),0))*IF(AND($C61="Verified",$C$39=1),0,1)</f>
        <v>0</v>
      </c>
      <c r="N127" s="23" t="n">
        <f aca="false">IF($F61=1,IF(N$45=1,INDEX(Assumptions!$E$44:$E$46,MATCH($C61,Assumptions!$A$44:$A$46,0))*$C$34,0),IF(N$45=MAX($G61-1,1),INDEX(Assumptions!$E$44:$E$46,MATCH($C61,Assumptions!$A$44:$A$46,0)),0))*IF(AND($C61="Verified",$C$39=1),0,1)</f>
        <v>0</v>
      </c>
      <c r="O127" s="23" t="n">
        <f aca="false">IF($F61=1,IF(O$45=1,INDEX(Assumptions!$E$44:$E$46,MATCH($C61,Assumptions!$A$44:$A$46,0))*$C$34,0),IF(O$45=MAX($G61-1,1),INDEX(Assumptions!$E$44:$E$46,MATCH($C61,Assumptions!$A$44:$A$46,0)),0))*IF(AND($C61="Verified",$C$39=1),0,1)</f>
        <v>70000</v>
      </c>
      <c r="P127" s="23" t="n">
        <f aca="false">IF($F61=1,IF(P$45=1,INDEX(Assumptions!$E$44:$E$46,MATCH($C61,Assumptions!$A$44:$A$46,0))*$C$34,0),IF(P$45=MAX($G61-1,1),INDEX(Assumptions!$E$44:$E$46,MATCH($C61,Assumptions!$A$44:$A$46,0)),0))*IF(AND($C61="Verified",$C$39=1),0,1)</f>
        <v>0</v>
      </c>
      <c r="Q127" s="23" t="n">
        <f aca="false">IF($F61=1,IF(Q$45=1,INDEX(Assumptions!$E$44:$E$46,MATCH($C61,Assumptions!$A$44:$A$46,0))*$C$34,0),IF(Q$45=MAX($G61-1,1),INDEX(Assumptions!$E$44:$E$46,MATCH($C61,Assumptions!$A$44:$A$46,0)),0))*IF(AND($C61="Verified",$C$39=1),0,1)</f>
        <v>0</v>
      </c>
      <c r="R127" s="23" t="n">
        <f aca="false">IF($F61=1,IF(R$45=1,INDEX(Assumptions!$E$44:$E$46,MATCH($C61,Assumptions!$A$44:$A$46,0))*$C$34,0),IF(R$45=MAX($G61-1,1),INDEX(Assumptions!$E$44:$E$46,MATCH($C61,Assumptions!$A$44:$A$46,0)),0))*IF(AND($C61="Verified",$C$39=1),0,1)</f>
        <v>0</v>
      </c>
      <c r="S127" s="23" t="n">
        <f aca="false">IF($F61=1,IF(S$45=1,INDEX(Assumptions!$E$44:$E$46,MATCH($C61,Assumptions!$A$44:$A$46,0))*$C$34,0),IF(S$45=MAX($G61-1,1),INDEX(Assumptions!$E$44:$E$46,MATCH($C61,Assumptions!$A$44:$A$46,0)),0))*IF(AND($C61="Verified",$C$39=1),0,1)</f>
        <v>0</v>
      </c>
      <c r="T127" s="23" t="n">
        <f aca="false">IF($F61=1,IF(T$45=1,INDEX(Assumptions!$E$44:$E$46,MATCH($C61,Assumptions!$A$44:$A$46,0))*$C$34,0),IF(T$45=MAX($G61-1,1),INDEX(Assumptions!$E$44:$E$46,MATCH($C61,Assumptions!$A$44:$A$46,0)),0))*IF(AND($C61="Verified",$C$39=1),0,1)</f>
        <v>0</v>
      </c>
      <c r="U127" s="23" t="n">
        <f aca="false">IF($F61=1,IF(U$45=1,INDEX(Assumptions!$E$44:$E$46,MATCH($C61,Assumptions!$A$44:$A$46,0))*$C$34,0),IF(U$45=MAX($G61-1,1),INDEX(Assumptions!$E$44:$E$46,MATCH($C61,Assumptions!$A$44:$A$46,0)),0))*IF(AND($C61="Verified",$C$39=1),0,1)</f>
        <v>0</v>
      </c>
      <c r="V127" s="23" t="n">
        <f aca="false">IF($F61=1,IF(V$45=1,INDEX(Assumptions!$E$44:$E$46,MATCH($C61,Assumptions!$A$44:$A$46,0))*$C$34,0),IF(V$45=MAX($G61-1,1),INDEX(Assumptions!$E$44:$E$46,MATCH($C61,Assumptions!$A$44:$A$46,0)),0))*IF(AND($C61="Verified",$C$39=1),0,1)</f>
        <v>0</v>
      </c>
      <c r="W127" s="23" t="n">
        <f aca="false">IF($F61=1,IF(W$45=1,INDEX(Assumptions!$E$44:$E$46,MATCH($C61,Assumptions!$A$44:$A$46,0))*$C$34,0),IF(W$45=MAX($G61-1,1),INDEX(Assumptions!$E$44:$E$46,MATCH($C61,Assumptions!$A$44:$A$46,0)),0))*IF(AND($C61="Verified",$C$39=1),0,1)</f>
        <v>0</v>
      </c>
      <c r="X127" s="23" t="n">
        <f aca="false">IF($F61=1,IF(X$45=1,INDEX(Assumptions!$E$44:$E$46,MATCH($C61,Assumptions!$A$44:$A$46,0))*$C$34,0),IF(X$45=MAX($G61-1,1),INDEX(Assumptions!$E$44:$E$46,MATCH($C61,Assumptions!$A$44:$A$46,0)),0))*IF(AND($C61="Verified",$C$39=1),0,1)</f>
        <v>0</v>
      </c>
      <c r="Y127" s="23" t="n">
        <f aca="false">IF($F61=1,IF(Y$45=1,INDEX(Assumptions!$E$44:$E$46,MATCH($C61,Assumptions!$A$44:$A$46,0))*$C$34,0),IF(Y$45=MAX($G61-1,1),INDEX(Assumptions!$E$44:$E$46,MATCH($C61,Assumptions!$A$44:$A$46,0)),0))*IF(AND($C61="Verified",$C$39=1),0,1)</f>
        <v>0</v>
      </c>
    </row>
    <row r="128" customFormat="false" ht="15" hidden="false" customHeight="false" outlineLevel="0" collapsed="false">
      <c r="A128" s="2" t="n">
        <f aca="false">A62</f>
        <v>15</v>
      </c>
      <c r="B128" s="2" t="str">
        <f aca="false">B62</f>
        <v>B</v>
      </c>
      <c r="C128" s="2" t="str">
        <f aca="false">C62</f>
        <v>Connect</v>
      </c>
      <c r="D128" s="2"/>
      <c r="E128" s="2"/>
      <c r="F128" s="2"/>
      <c r="G128" s="2"/>
      <c r="H128" s="23" t="n">
        <f aca="false">IF($F62=1,IF(H$45=1,INDEX(Assumptions!$E$44:$E$46,MATCH($C62,Assumptions!$A$44:$A$46,0))*$C$34,0),IF(H$45=MAX($G62-1,1),INDEX(Assumptions!$E$44:$E$46,MATCH($C62,Assumptions!$A$44:$A$46,0)),0))*IF(AND($C62="Verified",$C$39=1),0,1)</f>
        <v>0</v>
      </c>
      <c r="I128" s="23" t="n">
        <f aca="false">IF($F62=1,IF(I$45=1,INDEX(Assumptions!$E$44:$E$46,MATCH($C62,Assumptions!$A$44:$A$46,0))*$C$34,0),IF(I$45=MAX($G62-1,1),INDEX(Assumptions!$E$44:$E$46,MATCH($C62,Assumptions!$A$44:$A$46,0)),0))*IF(AND($C62="Verified",$C$39=1),0,1)</f>
        <v>0</v>
      </c>
      <c r="J128" s="23" t="n">
        <f aca="false">IF($F62=1,IF(J$45=1,INDEX(Assumptions!$E$44:$E$46,MATCH($C62,Assumptions!$A$44:$A$46,0))*$C$34,0),IF(J$45=MAX($G62-1,1),INDEX(Assumptions!$E$44:$E$46,MATCH($C62,Assumptions!$A$44:$A$46,0)),0))*IF(AND($C62="Verified",$C$39=1),0,1)</f>
        <v>0</v>
      </c>
      <c r="K128" s="23" t="n">
        <f aca="false">IF($F62=1,IF(K$45=1,INDEX(Assumptions!$E$44:$E$46,MATCH($C62,Assumptions!$A$44:$A$46,0))*$C$34,0),IF(K$45=MAX($G62-1,1),INDEX(Assumptions!$E$44:$E$46,MATCH($C62,Assumptions!$A$44:$A$46,0)),0))*IF(AND($C62="Verified",$C$39=1),0,1)</f>
        <v>0</v>
      </c>
      <c r="L128" s="23" t="n">
        <f aca="false">IF($F62=1,IF(L$45=1,INDEX(Assumptions!$E$44:$E$46,MATCH($C62,Assumptions!$A$44:$A$46,0))*$C$34,0),IF(L$45=MAX($G62-1,1),INDEX(Assumptions!$E$44:$E$46,MATCH($C62,Assumptions!$A$44:$A$46,0)),0))*IF(AND($C62="Verified",$C$39=1),0,1)</f>
        <v>0</v>
      </c>
      <c r="M128" s="23" t="n">
        <f aca="false">IF($F62=1,IF(M$45=1,INDEX(Assumptions!$E$44:$E$46,MATCH($C62,Assumptions!$A$44:$A$46,0))*$C$34,0),IF(M$45=MAX($G62-1,1),INDEX(Assumptions!$E$44:$E$46,MATCH($C62,Assumptions!$A$44:$A$46,0)),0))*IF(AND($C62="Verified",$C$39=1),0,1)</f>
        <v>0</v>
      </c>
      <c r="N128" s="23" t="n">
        <f aca="false">IF($F62=1,IF(N$45=1,INDEX(Assumptions!$E$44:$E$46,MATCH($C62,Assumptions!$A$44:$A$46,0))*$C$34,0),IF(N$45=MAX($G62-1,1),INDEX(Assumptions!$E$44:$E$46,MATCH($C62,Assumptions!$A$44:$A$46,0)),0))*IF(AND($C62="Verified",$C$39=1),0,1)</f>
        <v>0</v>
      </c>
      <c r="O128" s="23" t="n">
        <f aca="false">IF($F62=1,IF(O$45=1,INDEX(Assumptions!$E$44:$E$46,MATCH($C62,Assumptions!$A$44:$A$46,0))*$C$34,0),IF(O$45=MAX($G62-1,1),INDEX(Assumptions!$E$44:$E$46,MATCH($C62,Assumptions!$A$44:$A$46,0)),0))*IF(AND($C62="Verified",$C$39=1),0,1)</f>
        <v>0</v>
      </c>
      <c r="P128" s="23" t="n">
        <f aca="false">IF($F62=1,IF(P$45=1,INDEX(Assumptions!$E$44:$E$46,MATCH($C62,Assumptions!$A$44:$A$46,0))*$C$34,0),IF(P$45=MAX($G62-1,1),INDEX(Assumptions!$E$44:$E$46,MATCH($C62,Assumptions!$A$44:$A$46,0)),0))*IF(AND($C62="Verified",$C$39=1),0,1)</f>
        <v>70000</v>
      </c>
      <c r="Q128" s="23" t="n">
        <f aca="false">IF($F62=1,IF(Q$45=1,INDEX(Assumptions!$E$44:$E$46,MATCH($C62,Assumptions!$A$44:$A$46,0))*$C$34,0),IF(Q$45=MAX($G62-1,1),INDEX(Assumptions!$E$44:$E$46,MATCH($C62,Assumptions!$A$44:$A$46,0)),0))*IF(AND($C62="Verified",$C$39=1),0,1)</f>
        <v>0</v>
      </c>
      <c r="R128" s="23" t="n">
        <f aca="false">IF($F62=1,IF(R$45=1,INDEX(Assumptions!$E$44:$E$46,MATCH($C62,Assumptions!$A$44:$A$46,0))*$C$34,0),IF(R$45=MAX($G62-1,1),INDEX(Assumptions!$E$44:$E$46,MATCH($C62,Assumptions!$A$44:$A$46,0)),0))*IF(AND($C62="Verified",$C$39=1),0,1)</f>
        <v>0</v>
      </c>
      <c r="S128" s="23" t="n">
        <f aca="false">IF($F62=1,IF(S$45=1,INDEX(Assumptions!$E$44:$E$46,MATCH($C62,Assumptions!$A$44:$A$46,0))*$C$34,0),IF(S$45=MAX($G62-1,1),INDEX(Assumptions!$E$44:$E$46,MATCH($C62,Assumptions!$A$44:$A$46,0)),0))*IF(AND($C62="Verified",$C$39=1),0,1)</f>
        <v>0</v>
      </c>
      <c r="T128" s="23" t="n">
        <f aca="false">IF($F62=1,IF(T$45=1,INDEX(Assumptions!$E$44:$E$46,MATCH($C62,Assumptions!$A$44:$A$46,0))*$C$34,0),IF(T$45=MAX($G62-1,1),INDEX(Assumptions!$E$44:$E$46,MATCH($C62,Assumptions!$A$44:$A$46,0)),0))*IF(AND($C62="Verified",$C$39=1),0,1)</f>
        <v>0</v>
      </c>
      <c r="U128" s="23" t="n">
        <f aca="false">IF($F62=1,IF(U$45=1,INDEX(Assumptions!$E$44:$E$46,MATCH($C62,Assumptions!$A$44:$A$46,0))*$C$34,0),IF(U$45=MAX($G62-1,1),INDEX(Assumptions!$E$44:$E$46,MATCH($C62,Assumptions!$A$44:$A$46,0)),0))*IF(AND($C62="Verified",$C$39=1),0,1)</f>
        <v>0</v>
      </c>
      <c r="V128" s="23" t="n">
        <f aca="false">IF($F62=1,IF(V$45=1,INDEX(Assumptions!$E$44:$E$46,MATCH($C62,Assumptions!$A$44:$A$46,0))*$C$34,0),IF(V$45=MAX($G62-1,1),INDEX(Assumptions!$E$44:$E$46,MATCH($C62,Assumptions!$A$44:$A$46,0)),0))*IF(AND($C62="Verified",$C$39=1),0,1)</f>
        <v>0</v>
      </c>
      <c r="W128" s="23" t="n">
        <f aca="false">IF($F62=1,IF(W$45=1,INDEX(Assumptions!$E$44:$E$46,MATCH($C62,Assumptions!$A$44:$A$46,0))*$C$34,0),IF(W$45=MAX($G62-1,1),INDEX(Assumptions!$E$44:$E$46,MATCH($C62,Assumptions!$A$44:$A$46,0)),0))*IF(AND($C62="Verified",$C$39=1),0,1)</f>
        <v>0</v>
      </c>
      <c r="X128" s="23" t="n">
        <f aca="false">IF($F62=1,IF(X$45=1,INDEX(Assumptions!$E$44:$E$46,MATCH($C62,Assumptions!$A$44:$A$46,0))*$C$34,0),IF(X$45=MAX($G62-1,1),INDEX(Assumptions!$E$44:$E$46,MATCH($C62,Assumptions!$A$44:$A$46,0)),0))*IF(AND($C62="Verified",$C$39=1),0,1)</f>
        <v>0</v>
      </c>
      <c r="Y128" s="23" t="n">
        <f aca="false">IF($F62=1,IF(Y$45=1,INDEX(Assumptions!$E$44:$E$46,MATCH($C62,Assumptions!$A$44:$A$46,0))*$C$34,0),IF(Y$45=MAX($G62-1,1),INDEX(Assumptions!$E$44:$E$46,MATCH($C62,Assumptions!$A$44:$A$46,0)),0))*IF(AND($C62="Verified",$C$39=1),0,1)</f>
        <v>0</v>
      </c>
    </row>
    <row r="129" customFormat="false" ht="15" hidden="false" customHeight="false" outlineLevel="0" collapsed="false">
      <c r="A129" s="2" t="n">
        <f aca="false">A63</f>
        <v>16</v>
      </c>
      <c r="B129" s="2" t="str">
        <f aca="false">B63</f>
        <v>B</v>
      </c>
      <c r="C129" s="2" t="str">
        <f aca="false">C63</f>
        <v>Connect</v>
      </c>
      <c r="D129" s="2"/>
      <c r="E129" s="2"/>
      <c r="F129" s="2"/>
      <c r="G129" s="2"/>
      <c r="H129" s="23" t="n">
        <f aca="false">IF($F63=1,IF(H$45=1,INDEX(Assumptions!$E$44:$E$46,MATCH($C63,Assumptions!$A$44:$A$46,0))*$C$34,0),IF(H$45=MAX($G63-1,1),INDEX(Assumptions!$E$44:$E$46,MATCH($C63,Assumptions!$A$44:$A$46,0)),0))*IF(AND($C63="Verified",$C$39=1),0,1)</f>
        <v>0</v>
      </c>
      <c r="I129" s="23" t="n">
        <f aca="false">IF($F63=1,IF(I$45=1,INDEX(Assumptions!$E$44:$E$46,MATCH($C63,Assumptions!$A$44:$A$46,0))*$C$34,0),IF(I$45=MAX($G63-1,1),INDEX(Assumptions!$E$44:$E$46,MATCH($C63,Assumptions!$A$44:$A$46,0)),0))*IF(AND($C63="Verified",$C$39=1),0,1)</f>
        <v>0</v>
      </c>
      <c r="J129" s="23" t="n">
        <f aca="false">IF($F63=1,IF(J$45=1,INDEX(Assumptions!$E$44:$E$46,MATCH($C63,Assumptions!$A$44:$A$46,0))*$C$34,0),IF(J$45=MAX($G63-1,1),INDEX(Assumptions!$E$44:$E$46,MATCH($C63,Assumptions!$A$44:$A$46,0)),0))*IF(AND($C63="Verified",$C$39=1),0,1)</f>
        <v>0</v>
      </c>
      <c r="K129" s="23" t="n">
        <f aca="false">IF($F63=1,IF(K$45=1,INDEX(Assumptions!$E$44:$E$46,MATCH($C63,Assumptions!$A$44:$A$46,0))*$C$34,0),IF(K$45=MAX($G63-1,1),INDEX(Assumptions!$E$44:$E$46,MATCH($C63,Assumptions!$A$44:$A$46,0)),0))*IF(AND($C63="Verified",$C$39=1),0,1)</f>
        <v>0</v>
      </c>
      <c r="L129" s="23" t="n">
        <f aca="false">IF($F63=1,IF(L$45=1,INDEX(Assumptions!$E$44:$E$46,MATCH($C63,Assumptions!$A$44:$A$46,0))*$C$34,0),IF(L$45=MAX($G63-1,1),INDEX(Assumptions!$E$44:$E$46,MATCH($C63,Assumptions!$A$44:$A$46,0)),0))*IF(AND($C63="Verified",$C$39=1),0,1)</f>
        <v>0</v>
      </c>
      <c r="M129" s="23" t="n">
        <f aca="false">IF($F63=1,IF(M$45=1,INDEX(Assumptions!$E$44:$E$46,MATCH($C63,Assumptions!$A$44:$A$46,0))*$C$34,0),IF(M$45=MAX($G63-1,1),INDEX(Assumptions!$E$44:$E$46,MATCH($C63,Assumptions!$A$44:$A$46,0)),0))*IF(AND($C63="Verified",$C$39=1),0,1)</f>
        <v>0</v>
      </c>
      <c r="N129" s="23" t="n">
        <f aca="false">IF($F63=1,IF(N$45=1,INDEX(Assumptions!$E$44:$E$46,MATCH($C63,Assumptions!$A$44:$A$46,0))*$C$34,0),IF(N$45=MAX($G63-1,1),INDEX(Assumptions!$E$44:$E$46,MATCH($C63,Assumptions!$A$44:$A$46,0)),0))*IF(AND($C63="Verified",$C$39=1),0,1)</f>
        <v>0</v>
      </c>
      <c r="O129" s="23" t="n">
        <f aca="false">IF($F63=1,IF(O$45=1,INDEX(Assumptions!$E$44:$E$46,MATCH($C63,Assumptions!$A$44:$A$46,0))*$C$34,0),IF(O$45=MAX($G63-1,1),INDEX(Assumptions!$E$44:$E$46,MATCH($C63,Assumptions!$A$44:$A$46,0)),0))*IF(AND($C63="Verified",$C$39=1),0,1)</f>
        <v>0</v>
      </c>
      <c r="P129" s="23" t="n">
        <f aca="false">IF($F63=1,IF(P$45=1,INDEX(Assumptions!$E$44:$E$46,MATCH($C63,Assumptions!$A$44:$A$46,0))*$C$34,0),IF(P$45=MAX($G63-1,1),INDEX(Assumptions!$E$44:$E$46,MATCH($C63,Assumptions!$A$44:$A$46,0)),0))*IF(AND($C63="Verified",$C$39=1),0,1)</f>
        <v>0</v>
      </c>
      <c r="Q129" s="23" t="n">
        <f aca="false">IF($F63=1,IF(Q$45=1,INDEX(Assumptions!$E$44:$E$46,MATCH($C63,Assumptions!$A$44:$A$46,0))*$C$34,0),IF(Q$45=MAX($G63-1,1),INDEX(Assumptions!$E$44:$E$46,MATCH($C63,Assumptions!$A$44:$A$46,0)),0))*IF(AND($C63="Verified",$C$39=1),0,1)</f>
        <v>70000</v>
      </c>
      <c r="R129" s="23" t="n">
        <f aca="false">IF($F63=1,IF(R$45=1,INDEX(Assumptions!$E$44:$E$46,MATCH($C63,Assumptions!$A$44:$A$46,0))*$C$34,0),IF(R$45=MAX($G63-1,1),INDEX(Assumptions!$E$44:$E$46,MATCH($C63,Assumptions!$A$44:$A$46,0)),0))*IF(AND($C63="Verified",$C$39=1),0,1)</f>
        <v>0</v>
      </c>
      <c r="S129" s="23" t="n">
        <f aca="false">IF($F63=1,IF(S$45=1,INDEX(Assumptions!$E$44:$E$46,MATCH($C63,Assumptions!$A$44:$A$46,0))*$C$34,0),IF(S$45=MAX($G63-1,1),INDEX(Assumptions!$E$44:$E$46,MATCH($C63,Assumptions!$A$44:$A$46,0)),0))*IF(AND($C63="Verified",$C$39=1),0,1)</f>
        <v>0</v>
      </c>
      <c r="T129" s="23" t="n">
        <f aca="false">IF($F63=1,IF(T$45=1,INDEX(Assumptions!$E$44:$E$46,MATCH($C63,Assumptions!$A$44:$A$46,0))*$C$34,0),IF(T$45=MAX($G63-1,1),INDEX(Assumptions!$E$44:$E$46,MATCH($C63,Assumptions!$A$44:$A$46,0)),0))*IF(AND($C63="Verified",$C$39=1),0,1)</f>
        <v>0</v>
      </c>
      <c r="U129" s="23" t="n">
        <f aca="false">IF($F63=1,IF(U$45=1,INDEX(Assumptions!$E$44:$E$46,MATCH($C63,Assumptions!$A$44:$A$46,0))*$C$34,0),IF(U$45=MAX($G63-1,1),INDEX(Assumptions!$E$44:$E$46,MATCH($C63,Assumptions!$A$44:$A$46,0)),0))*IF(AND($C63="Verified",$C$39=1),0,1)</f>
        <v>0</v>
      </c>
      <c r="V129" s="23" t="n">
        <f aca="false">IF($F63=1,IF(V$45=1,INDEX(Assumptions!$E$44:$E$46,MATCH($C63,Assumptions!$A$44:$A$46,0))*$C$34,0),IF(V$45=MAX($G63-1,1),INDEX(Assumptions!$E$44:$E$46,MATCH($C63,Assumptions!$A$44:$A$46,0)),0))*IF(AND($C63="Verified",$C$39=1),0,1)</f>
        <v>0</v>
      </c>
      <c r="W129" s="23" t="n">
        <f aca="false">IF($F63=1,IF(W$45=1,INDEX(Assumptions!$E$44:$E$46,MATCH($C63,Assumptions!$A$44:$A$46,0))*$C$34,0),IF(W$45=MAX($G63-1,1),INDEX(Assumptions!$E$44:$E$46,MATCH($C63,Assumptions!$A$44:$A$46,0)),0))*IF(AND($C63="Verified",$C$39=1),0,1)</f>
        <v>0</v>
      </c>
      <c r="X129" s="23" t="n">
        <f aca="false">IF($F63=1,IF(X$45=1,INDEX(Assumptions!$E$44:$E$46,MATCH($C63,Assumptions!$A$44:$A$46,0))*$C$34,0),IF(X$45=MAX($G63-1,1),INDEX(Assumptions!$E$44:$E$46,MATCH($C63,Assumptions!$A$44:$A$46,0)),0))*IF(AND($C63="Verified",$C$39=1),0,1)</f>
        <v>0</v>
      </c>
      <c r="Y129" s="23" t="n">
        <f aca="false">IF($F63=1,IF(Y$45=1,INDEX(Assumptions!$E$44:$E$46,MATCH($C63,Assumptions!$A$44:$A$46,0))*$C$34,0),IF(Y$45=MAX($G63-1,1),INDEX(Assumptions!$E$44:$E$46,MATCH($C63,Assumptions!$A$44:$A$46,0)),0))*IF(AND($C63="Verified",$C$39=1),0,1)</f>
        <v>0</v>
      </c>
    </row>
    <row r="130" customFormat="false" ht="15" hidden="false" customHeight="false" outlineLevel="0" collapsed="false">
      <c r="A130" s="2" t="n">
        <f aca="false">A64</f>
        <v>17</v>
      </c>
      <c r="B130" s="2" t="str">
        <f aca="false">B64</f>
        <v>B</v>
      </c>
      <c r="C130" s="2" t="str">
        <f aca="false">C64</f>
        <v>Verified</v>
      </c>
      <c r="D130" s="2"/>
      <c r="E130" s="2"/>
      <c r="F130" s="2"/>
      <c r="G130" s="2"/>
      <c r="H130" s="23" t="n">
        <f aca="false">IF($F64=1,IF(H$45=1,INDEX(Assumptions!$E$44:$E$46,MATCH($C64,Assumptions!$A$44:$A$46,0))*$C$34,0),IF(H$45=MAX($G64-1,1),INDEX(Assumptions!$E$44:$E$46,MATCH($C64,Assumptions!$A$44:$A$46,0)),0))*IF(AND($C64="Verified",$C$39=1),0,1)</f>
        <v>0</v>
      </c>
      <c r="I130" s="23" t="n">
        <f aca="false">IF($F64=1,IF(I$45=1,INDEX(Assumptions!$E$44:$E$46,MATCH($C64,Assumptions!$A$44:$A$46,0))*$C$34,0),IF(I$45=MAX($G64-1,1),INDEX(Assumptions!$E$44:$E$46,MATCH($C64,Assumptions!$A$44:$A$46,0)),0))*IF(AND($C64="Verified",$C$39=1),0,1)</f>
        <v>0</v>
      </c>
      <c r="J130" s="23" t="n">
        <f aca="false">IF($F64=1,IF(J$45=1,INDEX(Assumptions!$E$44:$E$46,MATCH($C64,Assumptions!$A$44:$A$46,0))*$C$34,0),IF(J$45=MAX($G64-1,1),INDEX(Assumptions!$E$44:$E$46,MATCH($C64,Assumptions!$A$44:$A$46,0)),0))*IF(AND($C64="Verified",$C$39=1),0,1)</f>
        <v>0</v>
      </c>
      <c r="K130" s="23" t="n">
        <f aca="false">IF($F64=1,IF(K$45=1,INDEX(Assumptions!$E$44:$E$46,MATCH($C64,Assumptions!$A$44:$A$46,0))*$C$34,0),IF(K$45=MAX($G64-1,1),INDEX(Assumptions!$E$44:$E$46,MATCH($C64,Assumptions!$A$44:$A$46,0)),0))*IF(AND($C64="Verified",$C$39=1),0,1)</f>
        <v>0</v>
      </c>
      <c r="L130" s="23" t="n">
        <f aca="false">IF($F64=1,IF(L$45=1,INDEX(Assumptions!$E$44:$E$46,MATCH($C64,Assumptions!$A$44:$A$46,0))*$C$34,0),IF(L$45=MAX($G64-1,1),INDEX(Assumptions!$E$44:$E$46,MATCH($C64,Assumptions!$A$44:$A$46,0)),0))*IF(AND($C64="Verified",$C$39=1),0,1)</f>
        <v>0</v>
      </c>
      <c r="M130" s="23" t="n">
        <f aca="false">IF($F64=1,IF(M$45=1,INDEX(Assumptions!$E$44:$E$46,MATCH($C64,Assumptions!$A$44:$A$46,0))*$C$34,0),IF(M$45=MAX($G64-1,1),INDEX(Assumptions!$E$44:$E$46,MATCH($C64,Assumptions!$A$44:$A$46,0)),0))*IF(AND($C64="Verified",$C$39=1),0,1)</f>
        <v>0</v>
      </c>
      <c r="N130" s="23" t="n">
        <f aca="false">IF($F64=1,IF(N$45=1,INDEX(Assumptions!$E$44:$E$46,MATCH($C64,Assumptions!$A$44:$A$46,0))*$C$34,0),IF(N$45=MAX($G64-1,1),INDEX(Assumptions!$E$44:$E$46,MATCH($C64,Assumptions!$A$44:$A$46,0)),0))*IF(AND($C64="Verified",$C$39=1),0,1)</f>
        <v>0</v>
      </c>
      <c r="O130" s="23" t="n">
        <f aca="false">IF($F64=1,IF(O$45=1,INDEX(Assumptions!$E$44:$E$46,MATCH($C64,Assumptions!$A$44:$A$46,0))*$C$34,0),IF(O$45=MAX($G64-1,1),INDEX(Assumptions!$E$44:$E$46,MATCH($C64,Assumptions!$A$44:$A$46,0)),0))*IF(AND($C64="Verified",$C$39=1),0,1)</f>
        <v>0</v>
      </c>
      <c r="P130" s="23" t="n">
        <f aca="false">IF($F64=1,IF(P$45=1,INDEX(Assumptions!$E$44:$E$46,MATCH($C64,Assumptions!$A$44:$A$46,0))*$C$34,0),IF(P$45=MAX($G64-1,1),INDEX(Assumptions!$E$44:$E$46,MATCH($C64,Assumptions!$A$44:$A$46,0)),0))*IF(AND($C64="Verified",$C$39=1),0,1)</f>
        <v>0</v>
      </c>
      <c r="Q130" s="23" t="n">
        <f aca="false">IF($F64=1,IF(Q$45=1,INDEX(Assumptions!$E$44:$E$46,MATCH($C64,Assumptions!$A$44:$A$46,0))*$C$34,0),IF(Q$45=MAX($G64-1,1),INDEX(Assumptions!$E$44:$E$46,MATCH($C64,Assumptions!$A$44:$A$46,0)),0))*IF(AND($C64="Verified",$C$39=1),0,1)</f>
        <v>0</v>
      </c>
      <c r="R130" s="23" t="n">
        <f aca="false">IF($F64=1,IF(R$45=1,INDEX(Assumptions!$E$44:$E$46,MATCH($C64,Assumptions!$A$44:$A$46,0))*$C$34,0),IF(R$45=MAX($G64-1,1),INDEX(Assumptions!$E$44:$E$46,MATCH($C64,Assumptions!$A$44:$A$46,0)),0))*IF(AND($C64="Verified",$C$39=1),0,1)</f>
        <v>45000</v>
      </c>
      <c r="S130" s="23" t="n">
        <f aca="false">IF($F64=1,IF(S$45=1,INDEX(Assumptions!$E$44:$E$46,MATCH($C64,Assumptions!$A$44:$A$46,0))*$C$34,0),IF(S$45=MAX($G64-1,1),INDEX(Assumptions!$E$44:$E$46,MATCH($C64,Assumptions!$A$44:$A$46,0)),0))*IF(AND($C64="Verified",$C$39=1),0,1)</f>
        <v>0</v>
      </c>
      <c r="T130" s="23" t="n">
        <f aca="false">IF($F64=1,IF(T$45=1,INDEX(Assumptions!$E$44:$E$46,MATCH($C64,Assumptions!$A$44:$A$46,0))*$C$34,0),IF(T$45=MAX($G64-1,1),INDEX(Assumptions!$E$44:$E$46,MATCH($C64,Assumptions!$A$44:$A$46,0)),0))*IF(AND($C64="Verified",$C$39=1),0,1)</f>
        <v>0</v>
      </c>
      <c r="U130" s="23" t="n">
        <f aca="false">IF($F64=1,IF(U$45=1,INDEX(Assumptions!$E$44:$E$46,MATCH($C64,Assumptions!$A$44:$A$46,0))*$C$34,0),IF(U$45=MAX($G64-1,1),INDEX(Assumptions!$E$44:$E$46,MATCH($C64,Assumptions!$A$44:$A$46,0)),0))*IF(AND($C64="Verified",$C$39=1),0,1)</f>
        <v>0</v>
      </c>
      <c r="V130" s="23" t="n">
        <f aca="false">IF($F64=1,IF(V$45=1,INDEX(Assumptions!$E$44:$E$46,MATCH($C64,Assumptions!$A$44:$A$46,0))*$C$34,0),IF(V$45=MAX($G64-1,1),INDEX(Assumptions!$E$44:$E$46,MATCH($C64,Assumptions!$A$44:$A$46,0)),0))*IF(AND($C64="Verified",$C$39=1),0,1)</f>
        <v>0</v>
      </c>
      <c r="W130" s="23" t="n">
        <f aca="false">IF($F64=1,IF(W$45=1,INDEX(Assumptions!$E$44:$E$46,MATCH($C64,Assumptions!$A$44:$A$46,0))*$C$34,0),IF(W$45=MAX($G64-1,1),INDEX(Assumptions!$E$44:$E$46,MATCH($C64,Assumptions!$A$44:$A$46,0)),0))*IF(AND($C64="Verified",$C$39=1),0,1)</f>
        <v>0</v>
      </c>
      <c r="X130" s="23" t="n">
        <f aca="false">IF($F64=1,IF(X$45=1,INDEX(Assumptions!$E$44:$E$46,MATCH($C64,Assumptions!$A$44:$A$46,0))*$C$34,0),IF(X$45=MAX($G64-1,1),INDEX(Assumptions!$E$44:$E$46,MATCH($C64,Assumptions!$A$44:$A$46,0)),0))*IF(AND($C64="Verified",$C$39=1),0,1)</f>
        <v>0</v>
      </c>
      <c r="Y130" s="23" t="n">
        <f aca="false">IF($F64=1,IF(Y$45=1,INDEX(Assumptions!$E$44:$E$46,MATCH($C64,Assumptions!$A$44:$A$46,0))*$C$34,0),IF(Y$45=MAX($G64-1,1),INDEX(Assumptions!$E$44:$E$46,MATCH($C64,Assumptions!$A$44:$A$46,0)),0))*IF(AND($C64="Verified",$C$39=1),0,1)</f>
        <v>0</v>
      </c>
    </row>
    <row r="131" customFormat="false" ht="15" hidden="false" customHeight="false" outlineLevel="0" collapsed="false">
      <c r="A131" s="2" t="n">
        <f aca="false">A65</f>
        <v>18</v>
      </c>
      <c r="B131" s="2" t="str">
        <f aca="false">B65</f>
        <v>B</v>
      </c>
      <c r="C131" s="2" t="str">
        <f aca="false">C65</f>
        <v>Verified</v>
      </c>
      <c r="D131" s="2"/>
      <c r="E131" s="2"/>
      <c r="F131" s="2"/>
      <c r="G131" s="2"/>
      <c r="H131" s="23" t="n">
        <f aca="false">IF($F65=1,IF(H$45=1,INDEX(Assumptions!$E$44:$E$46,MATCH($C65,Assumptions!$A$44:$A$46,0))*$C$34,0),IF(H$45=MAX($G65-1,1),INDEX(Assumptions!$E$44:$E$46,MATCH($C65,Assumptions!$A$44:$A$46,0)),0))*IF(AND($C65="Verified",$C$39=1),0,1)</f>
        <v>0</v>
      </c>
      <c r="I131" s="23" t="n">
        <f aca="false">IF($F65=1,IF(I$45=1,INDEX(Assumptions!$E$44:$E$46,MATCH($C65,Assumptions!$A$44:$A$46,0))*$C$34,0),IF(I$45=MAX($G65-1,1),INDEX(Assumptions!$E$44:$E$46,MATCH($C65,Assumptions!$A$44:$A$46,0)),0))*IF(AND($C65="Verified",$C$39=1),0,1)</f>
        <v>0</v>
      </c>
      <c r="J131" s="23" t="n">
        <f aca="false">IF($F65=1,IF(J$45=1,INDEX(Assumptions!$E$44:$E$46,MATCH($C65,Assumptions!$A$44:$A$46,0))*$C$34,0),IF(J$45=MAX($G65-1,1),INDEX(Assumptions!$E$44:$E$46,MATCH($C65,Assumptions!$A$44:$A$46,0)),0))*IF(AND($C65="Verified",$C$39=1),0,1)</f>
        <v>0</v>
      </c>
      <c r="K131" s="23" t="n">
        <f aca="false">IF($F65=1,IF(K$45=1,INDEX(Assumptions!$E$44:$E$46,MATCH($C65,Assumptions!$A$44:$A$46,0))*$C$34,0),IF(K$45=MAX($G65-1,1),INDEX(Assumptions!$E$44:$E$46,MATCH($C65,Assumptions!$A$44:$A$46,0)),0))*IF(AND($C65="Verified",$C$39=1),0,1)</f>
        <v>0</v>
      </c>
      <c r="L131" s="23" t="n">
        <f aca="false">IF($F65=1,IF(L$45=1,INDEX(Assumptions!$E$44:$E$46,MATCH($C65,Assumptions!$A$44:$A$46,0))*$C$34,0),IF(L$45=MAX($G65-1,1),INDEX(Assumptions!$E$44:$E$46,MATCH($C65,Assumptions!$A$44:$A$46,0)),0))*IF(AND($C65="Verified",$C$39=1),0,1)</f>
        <v>0</v>
      </c>
      <c r="M131" s="23" t="n">
        <f aca="false">IF($F65=1,IF(M$45=1,INDEX(Assumptions!$E$44:$E$46,MATCH($C65,Assumptions!$A$44:$A$46,0))*$C$34,0),IF(M$45=MAX($G65-1,1),INDEX(Assumptions!$E$44:$E$46,MATCH($C65,Assumptions!$A$44:$A$46,0)),0))*IF(AND($C65="Verified",$C$39=1),0,1)</f>
        <v>0</v>
      </c>
      <c r="N131" s="23" t="n">
        <f aca="false">IF($F65=1,IF(N$45=1,INDEX(Assumptions!$E$44:$E$46,MATCH($C65,Assumptions!$A$44:$A$46,0))*$C$34,0),IF(N$45=MAX($G65-1,1),INDEX(Assumptions!$E$44:$E$46,MATCH($C65,Assumptions!$A$44:$A$46,0)),0))*IF(AND($C65="Verified",$C$39=1),0,1)</f>
        <v>0</v>
      </c>
      <c r="O131" s="23" t="n">
        <f aca="false">IF($F65=1,IF(O$45=1,INDEX(Assumptions!$E$44:$E$46,MATCH($C65,Assumptions!$A$44:$A$46,0))*$C$34,0),IF(O$45=MAX($G65-1,1),INDEX(Assumptions!$E$44:$E$46,MATCH($C65,Assumptions!$A$44:$A$46,0)),0))*IF(AND($C65="Verified",$C$39=1),0,1)</f>
        <v>0</v>
      </c>
      <c r="P131" s="23" t="n">
        <f aca="false">IF($F65=1,IF(P$45=1,INDEX(Assumptions!$E$44:$E$46,MATCH($C65,Assumptions!$A$44:$A$46,0))*$C$34,0),IF(P$45=MAX($G65-1,1),INDEX(Assumptions!$E$44:$E$46,MATCH($C65,Assumptions!$A$44:$A$46,0)),0))*IF(AND($C65="Verified",$C$39=1),0,1)</f>
        <v>0</v>
      </c>
      <c r="Q131" s="23" t="n">
        <f aca="false">IF($F65=1,IF(Q$45=1,INDEX(Assumptions!$E$44:$E$46,MATCH($C65,Assumptions!$A$44:$A$46,0))*$C$34,0),IF(Q$45=MAX($G65-1,1),INDEX(Assumptions!$E$44:$E$46,MATCH($C65,Assumptions!$A$44:$A$46,0)),0))*IF(AND($C65="Verified",$C$39=1),0,1)</f>
        <v>0</v>
      </c>
      <c r="R131" s="23" t="n">
        <f aca="false">IF($F65=1,IF(R$45=1,INDEX(Assumptions!$E$44:$E$46,MATCH($C65,Assumptions!$A$44:$A$46,0))*$C$34,0),IF(R$45=MAX($G65-1,1),INDEX(Assumptions!$E$44:$E$46,MATCH($C65,Assumptions!$A$44:$A$46,0)),0))*IF(AND($C65="Verified",$C$39=1),0,1)</f>
        <v>0</v>
      </c>
      <c r="S131" s="23" t="n">
        <f aca="false">IF($F65=1,IF(S$45=1,INDEX(Assumptions!$E$44:$E$46,MATCH($C65,Assumptions!$A$44:$A$46,0))*$C$34,0),IF(S$45=MAX($G65-1,1),INDEX(Assumptions!$E$44:$E$46,MATCH($C65,Assumptions!$A$44:$A$46,0)),0))*IF(AND($C65="Verified",$C$39=1),0,1)</f>
        <v>45000</v>
      </c>
      <c r="T131" s="23" t="n">
        <f aca="false">IF($F65=1,IF(T$45=1,INDEX(Assumptions!$E$44:$E$46,MATCH($C65,Assumptions!$A$44:$A$46,0))*$C$34,0),IF(T$45=MAX($G65-1,1),INDEX(Assumptions!$E$44:$E$46,MATCH($C65,Assumptions!$A$44:$A$46,0)),0))*IF(AND($C65="Verified",$C$39=1),0,1)</f>
        <v>0</v>
      </c>
      <c r="U131" s="23" t="n">
        <f aca="false">IF($F65=1,IF(U$45=1,INDEX(Assumptions!$E$44:$E$46,MATCH($C65,Assumptions!$A$44:$A$46,0))*$C$34,0),IF(U$45=MAX($G65-1,1),INDEX(Assumptions!$E$44:$E$46,MATCH($C65,Assumptions!$A$44:$A$46,0)),0))*IF(AND($C65="Verified",$C$39=1),0,1)</f>
        <v>0</v>
      </c>
      <c r="V131" s="23" t="n">
        <f aca="false">IF($F65=1,IF(V$45=1,INDEX(Assumptions!$E$44:$E$46,MATCH($C65,Assumptions!$A$44:$A$46,0))*$C$34,0),IF(V$45=MAX($G65-1,1),INDEX(Assumptions!$E$44:$E$46,MATCH($C65,Assumptions!$A$44:$A$46,0)),0))*IF(AND($C65="Verified",$C$39=1),0,1)</f>
        <v>0</v>
      </c>
      <c r="W131" s="23" t="n">
        <f aca="false">IF($F65=1,IF(W$45=1,INDEX(Assumptions!$E$44:$E$46,MATCH($C65,Assumptions!$A$44:$A$46,0))*$C$34,0),IF(W$45=MAX($G65-1,1),INDEX(Assumptions!$E$44:$E$46,MATCH($C65,Assumptions!$A$44:$A$46,0)),0))*IF(AND($C65="Verified",$C$39=1),0,1)</f>
        <v>0</v>
      </c>
      <c r="X131" s="23" t="n">
        <f aca="false">IF($F65=1,IF(X$45=1,INDEX(Assumptions!$E$44:$E$46,MATCH($C65,Assumptions!$A$44:$A$46,0))*$C$34,0),IF(X$45=MAX($G65-1,1),INDEX(Assumptions!$E$44:$E$46,MATCH($C65,Assumptions!$A$44:$A$46,0)),0))*IF(AND($C65="Verified",$C$39=1),0,1)</f>
        <v>0</v>
      </c>
      <c r="Y131" s="23" t="n">
        <f aca="false">IF($F65=1,IF(Y$45=1,INDEX(Assumptions!$E$44:$E$46,MATCH($C65,Assumptions!$A$44:$A$46,0))*$C$34,0),IF(Y$45=MAX($G65-1,1),INDEX(Assumptions!$E$44:$E$46,MATCH($C65,Assumptions!$A$44:$A$46,0)),0))*IF(AND($C65="Verified",$C$39=1),0,1)</f>
        <v>0</v>
      </c>
    </row>
    <row r="132" customFormat="false" ht="15" hidden="false" customHeight="false" outlineLevel="0" collapsed="false">
      <c r="A132" s="2" t="n">
        <f aca="false">A66</f>
        <v>19</v>
      </c>
      <c r="B132" s="2" t="str">
        <f aca="false">B66</f>
        <v>B</v>
      </c>
      <c r="C132" s="2" t="str">
        <f aca="false">C66</f>
        <v>Verified</v>
      </c>
      <c r="D132" s="2"/>
      <c r="E132" s="2"/>
      <c r="F132" s="2"/>
      <c r="G132" s="2"/>
      <c r="H132" s="23" t="n">
        <f aca="false">IF($F66=1,IF(H$45=1,INDEX(Assumptions!$E$44:$E$46,MATCH($C66,Assumptions!$A$44:$A$46,0))*$C$34,0),IF(H$45=MAX($G66-1,1),INDEX(Assumptions!$E$44:$E$46,MATCH($C66,Assumptions!$A$44:$A$46,0)),0))*IF(AND($C66="Verified",$C$39=1),0,1)</f>
        <v>0</v>
      </c>
      <c r="I132" s="23" t="n">
        <f aca="false">IF($F66=1,IF(I$45=1,INDEX(Assumptions!$E$44:$E$46,MATCH($C66,Assumptions!$A$44:$A$46,0))*$C$34,0),IF(I$45=MAX($G66-1,1),INDEX(Assumptions!$E$44:$E$46,MATCH($C66,Assumptions!$A$44:$A$46,0)),0))*IF(AND($C66="Verified",$C$39=1),0,1)</f>
        <v>0</v>
      </c>
      <c r="J132" s="23" t="n">
        <f aca="false">IF($F66=1,IF(J$45=1,INDEX(Assumptions!$E$44:$E$46,MATCH($C66,Assumptions!$A$44:$A$46,0))*$C$34,0),IF(J$45=MAX($G66-1,1),INDEX(Assumptions!$E$44:$E$46,MATCH($C66,Assumptions!$A$44:$A$46,0)),0))*IF(AND($C66="Verified",$C$39=1),0,1)</f>
        <v>0</v>
      </c>
      <c r="K132" s="23" t="n">
        <f aca="false">IF($F66=1,IF(K$45=1,INDEX(Assumptions!$E$44:$E$46,MATCH($C66,Assumptions!$A$44:$A$46,0))*$C$34,0),IF(K$45=MAX($G66-1,1),INDEX(Assumptions!$E$44:$E$46,MATCH($C66,Assumptions!$A$44:$A$46,0)),0))*IF(AND($C66="Verified",$C$39=1),0,1)</f>
        <v>0</v>
      </c>
      <c r="L132" s="23" t="n">
        <f aca="false">IF($F66=1,IF(L$45=1,INDEX(Assumptions!$E$44:$E$46,MATCH($C66,Assumptions!$A$44:$A$46,0))*$C$34,0),IF(L$45=MAX($G66-1,1),INDEX(Assumptions!$E$44:$E$46,MATCH($C66,Assumptions!$A$44:$A$46,0)),0))*IF(AND($C66="Verified",$C$39=1),0,1)</f>
        <v>0</v>
      </c>
      <c r="M132" s="23" t="n">
        <f aca="false">IF($F66=1,IF(M$45=1,INDEX(Assumptions!$E$44:$E$46,MATCH($C66,Assumptions!$A$44:$A$46,0))*$C$34,0),IF(M$45=MAX($G66-1,1),INDEX(Assumptions!$E$44:$E$46,MATCH($C66,Assumptions!$A$44:$A$46,0)),0))*IF(AND($C66="Verified",$C$39=1),0,1)</f>
        <v>0</v>
      </c>
      <c r="N132" s="23" t="n">
        <f aca="false">IF($F66=1,IF(N$45=1,INDEX(Assumptions!$E$44:$E$46,MATCH($C66,Assumptions!$A$44:$A$46,0))*$C$34,0),IF(N$45=MAX($G66-1,1),INDEX(Assumptions!$E$44:$E$46,MATCH($C66,Assumptions!$A$44:$A$46,0)),0))*IF(AND($C66="Verified",$C$39=1),0,1)</f>
        <v>0</v>
      </c>
      <c r="O132" s="23" t="n">
        <f aca="false">IF($F66=1,IF(O$45=1,INDEX(Assumptions!$E$44:$E$46,MATCH($C66,Assumptions!$A$44:$A$46,0))*$C$34,0),IF(O$45=MAX($G66-1,1),INDEX(Assumptions!$E$44:$E$46,MATCH($C66,Assumptions!$A$44:$A$46,0)),0))*IF(AND($C66="Verified",$C$39=1),0,1)</f>
        <v>0</v>
      </c>
      <c r="P132" s="23" t="n">
        <f aca="false">IF($F66=1,IF(P$45=1,INDEX(Assumptions!$E$44:$E$46,MATCH($C66,Assumptions!$A$44:$A$46,0))*$C$34,0),IF(P$45=MAX($G66-1,1),INDEX(Assumptions!$E$44:$E$46,MATCH($C66,Assumptions!$A$44:$A$46,0)),0))*IF(AND($C66="Verified",$C$39=1),0,1)</f>
        <v>0</v>
      </c>
      <c r="Q132" s="23" t="n">
        <f aca="false">IF($F66=1,IF(Q$45=1,INDEX(Assumptions!$E$44:$E$46,MATCH($C66,Assumptions!$A$44:$A$46,0))*$C$34,0),IF(Q$45=MAX($G66-1,1),INDEX(Assumptions!$E$44:$E$46,MATCH($C66,Assumptions!$A$44:$A$46,0)),0))*IF(AND($C66="Verified",$C$39=1),0,1)</f>
        <v>0</v>
      </c>
      <c r="R132" s="23" t="n">
        <f aca="false">IF($F66=1,IF(R$45=1,INDEX(Assumptions!$E$44:$E$46,MATCH($C66,Assumptions!$A$44:$A$46,0))*$C$34,0),IF(R$45=MAX($G66-1,1),INDEX(Assumptions!$E$44:$E$46,MATCH($C66,Assumptions!$A$44:$A$46,0)),0))*IF(AND($C66="Verified",$C$39=1),0,1)</f>
        <v>0</v>
      </c>
      <c r="S132" s="23" t="n">
        <f aca="false">IF($F66=1,IF(S$45=1,INDEX(Assumptions!$E$44:$E$46,MATCH($C66,Assumptions!$A$44:$A$46,0))*$C$34,0),IF(S$45=MAX($G66-1,1),INDEX(Assumptions!$E$44:$E$46,MATCH($C66,Assumptions!$A$44:$A$46,0)),0))*IF(AND($C66="Verified",$C$39=1),0,1)</f>
        <v>0</v>
      </c>
      <c r="T132" s="23" t="n">
        <f aca="false">IF($F66=1,IF(T$45=1,INDEX(Assumptions!$E$44:$E$46,MATCH($C66,Assumptions!$A$44:$A$46,0))*$C$34,0),IF(T$45=MAX($G66-1,1),INDEX(Assumptions!$E$44:$E$46,MATCH($C66,Assumptions!$A$44:$A$46,0)),0))*IF(AND($C66="Verified",$C$39=1),0,1)</f>
        <v>45000</v>
      </c>
      <c r="U132" s="23" t="n">
        <f aca="false">IF($F66=1,IF(U$45=1,INDEX(Assumptions!$E$44:$E$46,MATCH($C66,Assumptions!$A$44:$A$46,0))*$C$34,0),IF(U$45=MAX($G66-1,1),INDEX(Assumptions!$E$44:$E$46,MATCH($C66,Assumptions!$A$44:$A$46,0)),0))*IF(AND($C66="Verified",$C$39=1),0,1)</f>
        <v>0</v>
      </c>
      <c r="V132" s="23" t="n">
        <f aca="false">IF($F66=1,IF(V$45=1,INDEX(Assumptions!$E$44:$E$46,MATCH($C66,Assumptions!$A$44:$A$46,0))*$C$34,0),IF(V$45=MAX($G66-1,1),INDEX(Assumptions!$E$44:$E$46,MATCH($C66,Assumptions!$A$44:$A$46,0)),0))*IF(AND($C66="Verified",$C$39=1),0,1)</f>
        <v>0</v>
      </c>
      <c r="W132" s="23" t="n">
        <f aca="false">IF($F66=1,IF(W$45=1,INDEX(Assumptions!$E$44:$E$46,MATCH($C66,Assumptions!$A$44:$A$46,0))*$C$34,0),IF(W$45=MAX($G66-1,1),INDEX(Assumptions!$E$44:$E$46,MATCH($C66,Assumptions!$A$44:$A$46,0)),0))*IF(AND($C66="Verified",$C$39=1),0,1)</f>
        <v>0</v>
      </c>
      <c r="X132" s="23" t="n">
        <f aca="false">IF($F66=1,IF(X$45=1,INDEX(Assumptions!$E$44:$E$46,MATCH($C66,Assumptions!$A$44:$A$46,0))*$C$34,0),IF(X$45=MAX($G66-1,1),INDEX(Assumptions!$E$44:$E$46,MATCH($C66,Assumptions!$A$44:$A$46,0)),0))*IF(AND($C66="Verified",$C$39=1),0,1)</f>
        <v>0</v>
      </c>
      <c r="Y132" s="23" t="n">
        <f aca="false">IF($F66=1,IF(Y$45=1,INDEX(Assumptions!$E$44:$E$46,MATCH($C66,Assumptions!$A$44:$A$46,0))*$C$34,0),IF(Y$45=MAX($G66-1,1),INDEX(Assumptions!$E$44:$E$46,MATCH($C66,Assumptions!$A$44:$A$46,0)),0))*IF(AND($C66="Verified",$C$39=1),0,1)</f>
        <v>0</v>
      </c>
    </row>
    <row r="133" customFormat="false" ht="15" hidden="false" customHeight="false" outlineLevel="0" collapsed="false">
      <c r="A133" s="2" t="n">
        <f aca="false">A67</f>
        <v>20</v>
      </c>
      <c r="B133" s="2" t="str">
        <f aca="false">B67</f>
        <v>B</v>
      </c>
      <c r="C133" s="2" t="str">
        <f aca="false">C67</f>
        <v>Verified</v>
      </c>
      <c r="D133" s="2"/>
      <c r="E133" s="2"/>
      <c r="F133" s="2"/>
      <c r="G133" s="2"/>
      <c r="H133" s="23" t="n">
        <f aca="false">IF($F67=1,IF(H$45=1,INDEX(Assumptions!$E$44:$E$46,MATCH($C67,Assumptions!$A$44:$A$46,0))*$C$34,0),IF(H$45=MAX($G67-1,1),INDEX(Assumptions!$E$44:$E$46,MATCH($C67,Assumptions!$A$44:$A$46,0)),0))*IF(AND($C67="Verified",$C$39=1),0,1)</f>
        <v>0</v>
      </c>
      <c r="I133" s="23" t="n">
        <f aca="false">IF($F67=1,IF(I$45=1,INDEX(Assumptions!$E$44:$E$46,MATCH($C67,Assumptions!$A$44:$A$46,0))*$C$34,0),IF(I$45=MAX($G67-1,1),INDEX(Assumptions!$E$44:$E$46,MATCH($C67,Assumptions!$A$44:$A$46,0)),0))*IF(AND($C67="Verified",$C$39=1),0,1)</f>
        <v>0</v>
      </c>
      <c r="J133" s="23" t="n">
        <f aca="false">IF($F67=1,IF(J$45=1,INDEX(Assumptions!$E$44:$E$46,MATCH($C67,Assumptions!$A$44:$A$46,0))*$C$34,0),IF(J$45=MAX($G67-1,1),INDEX(Assumptions!$E$44:$E$46,MATCH($C67,Assumptions!$A$44:$A$46,0)),0))*IF(AND($C67="Verified",$C$39=1),0,1)</f>
        <v>0</v>
      </c>
      <c r="K133" s="23" t="n">
        <f aca="false">IF($F67=1,IF(K$45=1,INDEX(Assumptions!$E$44:$E$46,MATCH($C67,Assumptions!$A$44:$A$46,0))*$C$34,0),IF(K$45=MAX($G67-1,1),INDEX(Assumptions!$E$44:$E$46,MATCH($C67,Assumptions!$A$44:$A$46,0)),0))*IF(AND($C67="Verified",$C$39=1),0,1)</f>
        <v>0</v>
      </c>
      <c r="L133" s="23" t="n">
        <f aca="false">IF($F67=1,IF(L$45=1,INDEX(Assumptions!$E$44:$E$46,MATCH($C67,Assumptions!$A$44:$A$46,0))*$C$34,0),IF(L$45=MAX($G67-1,1),INDEX(Assumptions!$E$44:$E$46,MATCH($C67,Assumptions!$A$44:$A$46,0)),0))*IF(AND($C67="Verified",$C$39=1),0,1)</f>
        <v>0</v>
      </c>
      <c r="M133" s="23" t="n">
        <f aca="false">IF($F67=1,IF(M$45=1,INDEX(Assumptions!$E$44:$E$46,MATCH($C67,Assumptions!$A$44:$A$46,0))*$C$34,0),IF(M$45=MAX($G67-1,1),INDEX(Assumptions!$E$44:$E$46,MATCH($C67,Assumptions!$A$44:$A$46,0)),0))*IF(AND($C67="Verified",$C$39=1),0,1)</f>
        <v>0</v>
      </c>
      <c r="N133" s="23" t="n">
        <f aca="false">IF($F67=1,IF(N$45=1,INDEX(Assumptions!$E$44:$E$46,MATCH($C67,Assumptions!$A$44:$A$46,0))*$C$34,0),IF(N$45=MAX($G67-1,1),INDEX(Assumptions!$E$44:$E$46,MATCH($C67,Assumptions!$A$44:$A$46,0)),0))*IF(AND($C67="Verified",$C$39=1),0,1)</f>
        <v>0</v>
      </c>
      <c r="O133" s="23" t="n">
        <f aca="false">IF($F67=1,IF(O$45=1,INDEX(Assumptions!$E$44:$E$46,MATCH($C67,Assumptions!$A$44:$A$46,0))*$C$34,0),IF(O$45=MAX($G67-1,1),INDEX(Assumptions!$E$44:$E$46,MATCH($C67,Assumptions!$A$44:$A$46,0)),0))*IF(AND($C67="Verified",$C$39=1),0,1)</f>
        <v>0</v>
      </c>
      <c r="P133" s="23" t="n">
        <f aca="false">IF($F67=1,IF(P$45=1,INDEX(Assumptions!$E$44:$E$46,MATCH($C67,Assumptions!$A$44:$A$46,0))*$C$34,0),IF(P$45=MAX($G67-1,1),INDEX(Assumptions!$E$44:$E$46,MATCH($C67,Assumptions!$A$44:$A$46,0)),0))*IF(AND($C67="Verified",$C$39=1),0,1)</f>
        <v>0</v>
      </c>
      <c r="Q133" s="23" t="n">
        <f aca="false">IF($F67=1,IF(Q$45=1,INDEX(Assumptions!$E$44:$E$46,MATCH($C67,Assumptions!$A$44:$A$46,0))*$C$34,0),IF(Q$45=MAX($G67-1,1),INDEX(Assumptions!$E$44:$E$46,MATCH($C67,Assumptions!$A$44:$A$46,0)),0))*IF(AND($C67="Verified",$C$39=1),0,1)</f>
        <v>0</v>
      </c>
      <c r="R133" s="23" t="n">
        <f aca="false">IF($F67=1,IF(R$45=1,INDEX(Assumptions!$E$44:$E$46,MATCH($C67,Assumptions!$A$44:$A$46,0))*$C$34,0),IF(R$45=MAX($G67-1,1),INDEX(Assumptions!$E$44:$E$46,MATCH($C67,Assumptions!$A$44:$A$46,0)),0))*IF(AND($C67="Verified",$C$39=1),0,1)</f>
        <v>0</v>
      </c>
      <c r="S133" s="23" t="n">
        <f aca="false">IF($F67=1,IF(S$45=1,INDEX(Assumptions!$E$44:$E$46,MATCH($C67,Assumptions!$A$44:$A$46,0))*$C$34,0),IF(S$45=MAX($G67-1,1),INDEX(Assumptions!$E$44:$E$46,MATCH($C67,Assumptions!$A$44:$A$46,0)),0))*IF(AND($C67="Verified",$C$39=1),0,1)</f>
        <v>0</v>
      </c>
      <c r="T133" s="23" t="n">
        <f aca="false">IF($F67=1,IF(T$45=1,INDEX(Assumptions!$E$44:$E$46,MATCH($C67,Assumptions!$A$44:$A$46,0))*$C$34,0),IF(T$45=MAX($G67-1,1),INDEX(Assumptions!$E$44:$E$46,MATCH($C67,Assumptions!$A$44:$A$46,0)),0))*IF(AND($C67="Verified",$C$39=1),0,1)</f>
        <v>45000</v>
      </c>
      <c r="U133" s="23" t="n">
        <f aca="false">IF($F67=1,IF(U$45=1,INDEX(Assumptions!$E$44:$E$46,MATCH($C67,Assumptions!$A$44:$A$46,0))*$C$34,0),IF(U$45=MAX($G67-1,1),INDEX(Assumptions!$E$44:$E$46,MATCH($C67,Assumptions!$A$44:$A$46,0)),0))*IF(AND($C67="Verified",$C$39=1),0,1)</f>
        <v>0</v>
      </c>
      <c r="V133" s="23" t="n">
        <f aca="false">IF($F67=1,IF(V$45=1,INDEX(Assumptions!$E$44:$E$46,MATCH($C67,Assumptions!$A$44:$A$46,0))*$C$34,0),IF(V$45=MAX($G67-1,1),INDEX(Assumptions!$E$44:$E$46,MATCH($C67,Assumptions!$A$44:$A$46,0)),0))*IF(AND($C67="Verified",$C$39=1),0,1)</f>
        <v>0</v>
      </c>
      <c r="W133" s="23" t="n">
        <f aca="false">IF($F67=1,IF(W$45=1,INDEX(Assumptions!$E$44:$E$46,MATCH($C67,Assumptions!$A$44:$A$46,0))*$C$34,0),IF(W$45=MAX($G67-1,1),INDEX(Assumptions!$E$44:$E$46,MATCH($C67,Assumptions!$A$44:$A$46,0)),0))*IF(AND($C67="Verified",$C$39=1),0,1)</f>
        <v>0</v>
      </c>
      <c r="X133" s="23" t="n">
        <f aca="false">IF($F67=1,IF(X$45=1,INDEX(Assumptions!$E$44:$E$46,MATCH($C67,Assumptions!$A$44:$A$46,0))*$C$34,0),IF(X$45=MAX($G67-1,1),INDEX(Assumptions!$E$44:$E$46,MATCH($C67,Assumptions!$A$44:$A$46,0)),0))*IF(AND($C67="Verified",$C$39=1),0,1)</f>
        <v>0</v>
      </c>
      <c r="Y133" s="23" t="n">
        <f aca="false">IF($F67=1,IF(Y$45=1,INDEX(Assumptions!$E$44:$E$46,MATCH($C67,Assumptions!$A$44:$A$46,0))*$C$34,0),IF(Y$45=MAX($G67-1,1),INDEX(Assumptions!$E$44:$E$46,MATCH($C67,Assumptions!$A$44:$A$46,0)),0))*IF(AND($C67="Verified",$C$39=1),0,1)</f>
        <v>0</v>
      </c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" hidden="false" customHeight="false" outlineLevel="0" collapsed="false">
      <c r="A135" s="37" t="s">
        <v>202</v>
      </c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customFormat="false" ht="15" hidden="false" customHeight="false" outlineLevel="0" collapsed="false">
      <c r="A136" s="2" t="n">
        <f aca="false">A48</f>
        <v>1</v>
      </c>
      <c r="B136" s="2" t="str">
        <f aca="false">B48</f>
        <v>Pilot</v>
      </c>
      <c r="C136" s="2" t="str">
        <f aca="false">C48</f>
        <v>Assured</v>
      </c>
      <c r="D136" s="2"/>
      <c r="E136" s="2"/>
      <c r="F136" s="2"/>
      <c r="G136" s="2"/>
      <c r="H136" s="24" t="n">
        <f aca="false">H48*($C$30+(INDEX(Assumptions!$F$44:$F$46,MATCH($C48,Assumptions!$A$44:$A$46,0))-$C$30)*MIN(1,H$45/$C$29))</f>
        <v>14.1166666666667</v>
      </c>
      <c r="I136" s="24" t="n">
        <f aca="false">I48*($C$30+(INDEX(Assumptions!$F$44:$F$46,MATCH($C48,Assumptions!$A$44:$A$46,0))-$C$30)*MIN(1,I$45/$C$29))</f>
        <v>15.2777777777778</v>
      </c>
      <c r="J136" s="24" t="n">
        <f aca="false">J48*($C$30+(INDEX(Assumptions!$F$44:$F$46,MATCH($C48,Assumptions!$A$44:$A$46,0))-$C$30)*MIN(1,J$45/$C$29))</f>
        <v>16.4833333333333</v>
      </c>
      <c r="K136" s="24" t="n">
        <f aca="false">K48*($C$30+(INDEX(Assumptions!$F$44:$F$46,MATCH($C48,Assumptions!$A$44:$A$46,0))-$C$30)*MIN(1,K$45/$C$29))</f>
        <v>17.7333333333333</v>
      </c>
      <c r="L136" s="24" t="n">
        <f aca="false">L48*($C$30+(INDEX(Assumptions!$F$44:$F$46,MATCH($C48,Assumptions!$A$44:$A$46,0))-$C$30)*MIN(1,L$45/$C$29))</f>
        <v>18.2666666666667</v>
      </c>
      <c r="M136" s="24" t="n">
        <f aca="false">M48*($C$30+(INDEX(Assumptions!$F$44:$F$46,MATCH($C48,Assumptions!$A$44:$A$46,0))-$C$30)*MIN(1,M$45/$C$29))</f>
        <v>18.8</v>
      </c>
      <c r="N136" s="24" t="n">
        <f aca="false">N48*($C$30+(INDEX(Assumptions!$F$44:$F$46,MATCH($C48,Assumptions!$A$44:$A$46,0))-$C$30)*MIN(1,N$45/$C$29))</f>
        <v>18.8</v>
      </c>
      <c r="O136" s="24" t="n">
        <f aca="false">O48*($C$30+(INDEX(Assumptions!$F$44:$F$46,MATCH($C48,Assumptions!$A$44:$A$46,0))-$C$30)*MIN(1,O$45/$C$29))</f>
        <v>18.8</v>
      </c>
      <c r="P136" s="24" t="n">
        <f aca="false">P48*($C$30+(INDEX(Assumptions!$F$44:$F$46,MATCH($C48,Assumptions!$A$44:$A$46,0))-$C$30)*MIN(1,P$45/$C$29))</f>
        <v>18.8</v>
      </c>
      <c r="Q136" s="24" t="n">
        <f aca="false">Q48*($C$30+(INDEX(Assumptions!$F$44:$F$46,MATCH($C48,Assumptions!$A$44:$A$46,0))-$C$30)*MIN(1,Q$45/$C$29))</f>
        <v>18.8</v>
      </c>
      <c r="R136" s="24" t="n">
        <f aca="false">R48*($C$30+(INDEX(Assumptions!$F$44:$F$46,MATCH($C48,Assumptions!$A$44:$A$46,0))-$C$30)*MIN(1,R$45/$C$29))</f>
        <v>18.8</v>
      </c>
      <c r="S136" s="24" t="n">
        <f aca="false">S48*($C$30+(INDEX(Assumptions!$F$44:$F$46,MATCH($C48,Assumptions!$A$44:$A$46,0))-$C$30)*MIN(1,S$45/$C$29))</f>
        <v>18.8</v>
      </c>
      <c r="T136" s="24" t="n">
        <f aca="false">T48*($C$30+(INDEX(Assumptions!$F$44:$F$46,MATCH($C48,Assumptions!$A$44:$A$46,0))-$C$30)*MIN(1,T$45/$C$29))</f>
        <v>18.8</v>
      </c>
      <c r="U136" s="24" t="n">
        <f aca="false">U48*($C$30+(INDEX(Assumptions!$F$44:$F$46,MATCH($C48,Assumptions!$A$44:$A$46,0))-$C$30)*MIN(1,U$45/$C$29))</f>
        <v>18.8</v>
      </c>
      <c r="V136" s="24" t="n">
        <f aca="false">V48*($C$30+(INDEX(Assumptions!$F$44:$F$46,MATCH($C48,Assumptions!$A$44:$A$46,0))-$C$30)*MIN(1,V$45/$C$29))</f>
        <v>18.8</v>
      </c>
      <c r="W136" s="24" t="n">
        <f aca="false">W48*($C$30+(INDEX(Assumptions!$F$44:$F$46,MATCH($C48,Assumptions!$A$44:$A$46,0))-$C$30)*MIN(1,W$45/$C$29))</f>
        <v>18.8</v>
      </c>
      <c r="X136" s="24" t="n">
        <f aca="false">X48*($C$30+(INDEX(Assumptions!$F$44:$F$46,MATCH($C48,Assumptions!$A$44:$A$46,0))-$C$30)*MIN(1,X$45/$C$29))</f>
        <v>18.8</v>
      </c>
      <c r="Y136" s="24" t="n">
        <f aca="false">Y48*($C$30+(INDEX(Assumptions!$F$44:$F$46,MATCH($C48,Assumptions!$A$44:$A$46,0))-$C$30)*MIN(1,Y$45/$C$29))</f>
        <v>18.8</v>
      </c>
    </row>
    <row r="137" customFormat="false" ht="15" hidden="false" customHeight="false" outlineLevel="0" collapsed="false">
      <c r="A137" s="2" t="n">
        <f aca="false">A49</f>
        <v>2</v>
      </c>
      <c r="B137" s="2" t="str">
        <f aca="false">B49</f>
        <v>Pilot</v>
      </c>
      <c r="C137" s="2" t="str">
        <f aca="false">C49</f>
        <v>Assured</v>
      </c>
      <c r="D137" s="2"/>
      <c r="E137" s="2"/>
      <c r="F137" s="2"/>
      <c r="G137" s="2"/>
      <c r="H137" s="24" t="n">
        <f aca="false">H49*($C$30+(INDEX(Assumptions!$F$44:$F$46,MATCH($C49,Assumptions!$A$44:$A$46,0))-$C$30)*MIN(1,H$45/$C$29))</f>
        <v>14.1166666666667</v>
      </c>
      <c r="I137" s="24" t="n">
        <f aca="false">I49*($C$30+(INDEX(Assumptions!$F$44:$F$46,MATCH($C49,Assumptions!$A$44:$A$46,0))-$C$30)*MIN(1,I$45/$C$29))</f>
        <v>15.2777777777778</v>
      </c>
      <c r="J137" s="24" t="n">
        <f aca="false">J49*($C$30+(INDEX(Assumptions!$F$44:$F$46,MATCH($C49,Assumptions!$A$44:$A$46,0))-$C$30)*MIN(1,J$45/$C$29))</f>
        <v>16.4833333333333</v>
      </c>
      <c r="K137" s="24" t="n">
        <f aca="false">K49*($C$30+(INDEX(Assumptions!$F$44:$F$46,MATCH($C49,Assumptions!$A$44:$A$46,0))-$C$30)*MIN(1,K$45/$C$29))</f>
        <v>17.7333333333333</v>
      </c>
      <c r="L137" s="24" t="n">
        <f aca="false">L49*($C$30+(INDEX(Assumptions!$F$44:$F$46,MATCH($C49,Assumptions!$A$44:$A$46,0))-$C$30)*MIN(1,L$45/$C$29))</f>
        <v>18.2666666666667</v>
      </c>
      <c r="M137" s="24" t="n">
        <f aca="false">M49*($C$30+(INDEX(Assumptions!$F$44:$F$46,MATCH($C49,Assumptions!$A$44:$A$46,0))-$C$30)*MIN(1,M$45/$C$29))</f>
        <v>18.8</v>
      </c>
      <c r="N137" s="24" t="n">
        <f aca="false">N49*($C$30+(INDEX(Assumptions!$F$44:$F$46,MATCH($C49,Assumptions!$A$44:$A$46,0))-$C$30)*MIN(1,N$45/$C$29))</f>
        <v>18.8</v>
      </c>
      <c r="O137" s="24" t="n">
        <f aca="false">O49*($C$30+(INDEX(Assumptions!$F$44:$F$46,MATCH($C49,Assumptions!$A$44:$A$46,0))-$C$30)*MIN(1,O$45/$C$29))</f>
        <v>18.8</v>
      </c>
      <c r="P137" s="24" t="n">
        <f aca="false">P49*($C$30+(INDEX(Assumptions!$F$44:$F$46,MATCH($C49,Assumptions!$A$44:$A$46,0))-$C$30)*MIN(1,P$45/$C$29))</f>
        <v>18.8</v>
      </c>
      <c r="Q137" s="24" t="n">
        <f aca="false">Q49*($C$30+(INDEX(Assumptions!$F$44:$F$46,MATCH($C49,Assumptions!$A$44:$A$46,0))-$C$30)*MIN(1,Q$45/$C$29))</f>
        <v>18.8</v>
      </c>
      <c r="R137" s="24" t="n">
        <f aca="false">R49*($C$30+(INDEX(Assumptions!$F$44:$F$46,MATCH($C49,Assumptions!$A$44:$A$46,0))-$C$30)*MIN(1,R$45/$C$29))</f>
        <v>18.8</v>
      </c>
      <c r="S137" s="24" t="n">
        <f aca="false">S49*($C$30+(INDEX(Assumptions!$F$44:$F$46,MATCH($C49,Assumptions!$A$44:$A$46,0))-$C$30)*MIN(1,S$45/$C$29))</f>
        <v>18.8</v>
      </c>
      <c r="T137" s="24" t="n">
        <f aca="false">T49*($C$30+(INDEX(Assumptions!$F$44:$F$46,MATCH($C49,Assumptions!$A$44:$A$46,0))-$C$30)*MIN(1,T$45/$C$29))</f>
        <v>18.8</v>
      </c>
      <c r="U137" s="24" t="n">
        <f aca="false">U49*($C$30+(INDEX(Assumptions!$F$44:$F$46,MATCH($C49,Assumptions!$A$44:$A$46,0))-$C$30)*MIN(1,U$45/$C$29))</f>
        <v>18.8</v>
      </c>
      <c r="V137" s="24" t="n">
        <f aca="false">V49*($C$30+(INDEX(Assumptions!$F$44:$F$46,MATCH($C49,Assumptions!$A$44:$A$46,0))-$C$30)*MIN(1,V$45/$C$29))</f>
        <v>18.8</v>
      </c>
      <c r="W137" s="24" t="n">
        <f aca="false">W49*($C$30+(INDEX(Assumptions!$F$44:$F$46,MATCH($C49,Assumptions!$A$44:$A$46,0))-$C$30)*MIN(1,W$45/$C$29))</f>
        <v>18.8</v>
      </c>
      <c r="X137" s="24" t="n">
        <f aca="false">X49*($C$30+(INDEX(Assumptions!$F$44:$F$46,MATCH($C49,Assumptions!$A$44:$A$46,0))-$C$30)*MIN(1,X$45/$C$29))</f>
        <v>18.8</v>
      </c>
      <c r="Y137" s="24" t="n">
        <f aca="false">Y49*($C$30+(INDEX(Assumptions!$F$44:$F$46,MATCH($C49,Assumptions!$A$44:$A$46,0))-$C$30)*MIN(1,Y$45/$C$29))</f>
        <v>18.8</v>
      </c>
    </row>
    <row r="138" customFormat="false" ht="15" hidden="false" customHeight="false" outlineLevel="0" collapsed="false">
      <c r="A138" s="2" t="n">
        <f aca="false">A50</f>
        <v>3</v>
      </c>
      <c r="B138" s="2" t="str">
        <f aca="false">B50</f>
        <v>Pilot</v>
      </c>
      <c r="C138" s="2" t="str">
        <f aca="false">C50</f>
        <v>Assured</v>
      </c>
      <c r="D138" s="2"/>
      <c r="E138" s="2"/>
      <c r="F138" s="2"/>
      <c r="G138" s="2"/>
      <c r="H138" s="24" t="n">
        <f aca="false">H50*($C$30+(INDEX(Assumptions!$F$44:$F$46,MATCH($C50,Assumptions!$A$44:$A$46,0))-$C$30)*MIN(1,H$45/$C$29))</f>
        <v>14.1166666666667</v>
      </c>
      <c r="I138" s="24" t="n">
        <f aca="false">I50*($C$30+(INDEX(Assumptions!$F$44:$F$46,MATCH($C50,Assumptions!$A$44:$A$46,0))-$C$30)*MIN(1,I$45/$C$29))</f>
        <v>15.2777777777778</v>
      </c>
      <c r="J138" s="24" t="n">
        <f aca="false">J50*($C$30+(INDEX(Assumptions!$F$44:$F$46,MATCH($C50,Assumptions!$A$44:$A$46,0))-$C$30)*MIN(1,J$45/$C$29))</f>
        <v>16.4833333333333</v>
      </c>
      <c r="K138" s="24" t="n">
        <f aca="false">K50*($C$30+(INDEX(Assumptions!$F$44:$F$46,MATCH($C50,Assumptions!$A$44:$A$46,0))-$C$30)*MIN(1,K$45/$C$29))</f>
        <v>17.7333333333333</v>
      </c>
      <c r="L138" s="24" t="n">
        <f aca="false">L50*($C$30+(INDEX(Assumptions!$F$44:$F$46,MATCH($C50,Assumptions!$A$44:$A$46,0))-$C$30)*MIN(1,L$45/$C$29))</f>
        <v>18.2666666666667</v>
      </c>
      <c r="M138" s="24" t="n">
        <f aca="false">M50*($C$30+(INDEX(Assumptions!$F$44:$F$46,MATCH($C50,Assumptions!$A$44:$A$46,0))-$C$30)*MIN(1,M$45/$C$29))</f>
        <v>18.8</v>
      </c>
      <c r="N138" s="24" t="n">
        <f aca="false">N50*($C$30+(INDEX(Assumptions!$F$44:$F$46,MATCH($C50,Assumptions!$A$44:$A$46,0))-$C$30)*MIN(1,N$45/$C$29))</f>
        <v>18.8</v>
      </c>
      <c r="O138" s="24" t="n">
        <f aca="false">O50*($C$30+(INDEX(Assumptions!$F$44:$F$46,MATCH($C50,Assumptions!$A$44:$A$46,0))-$C$30)*MIN(1,O$45/$C$29))</f>
        <v>18.8</v>
      </c>
      <c r="P138" s="24" t="n">
        <f aca="false">P50*($C$30+(INDEX(Assumptions!$F$44:$F$46,MATCH($C50,Assumptions!$A$44:$A$46,0))-$C$30)*MIN(1,P$45/$C$29))</f>
        <v>18.8</v>
      </c>
      <c r="Q138" s="24" t="n">
        <f aca="false">Q50*($C$30+(INDEX(Assumptions!$F$44:$F$46,MATCH($C50,Assumptions!$A$44:$A$46,0))-$C$30)*MIN(1,Q$45/$C$29))</f>
        <v>18.8</v>
      </c>
      <c r="R138" s="24" t="n">
        <f aca="false">R50*($C$30+(INDEX(Assumptions!$F$44:$F$46,MATCH($C50,Assumptions!$A$44:$A$46,0))-$C$30)*MIN(1,R$45/$C$29))</f>
        <v>18.8</v>
      </c>
      <c r="S138" s="24" t="n">
        <f aca="false">S50*($C$30+(INDEX(Assumptions!$F$44:$F$46,MATCH($C50,Assumptions!$A$44:$A$46,0))-$C$30)*MIN(1,S$45/$C$29))</f>
        <v>18.8</v>
      </c>
      <c r="T138" s="24" t="n">
        <f aca="false">T50*($C$30+(INDEX(Assumptions!$F$44:$F$46,MATCH($C50,Assumptions!$A$44:$A$46,0))-$C$30)*MIN(1,T$45/$C$29))</f>
        <v>18.8</v>
      </c>
      <c r="U138" s="24" t="n">
        <f aca="false">U50*($C$30+(INDEX(Assumptions!$F$44:$F$46,MATCH($C50,Assumptions!$A$44:$A$46,0))-$C$30)*MIN(1,U$45/$C$29))</f>
        <v>18.8</v>
      </c>
      <c r="V138" s="24" t="n">
        <f aca="false">V50*($C$30+(INDEX(Assumptions!$F$44:$F$46,MATCH($C50,Assumptions!$A$44:$A$46,0))-$C$30)*MIN(1,V$45/$C$29))</f>
        <v>18.8</v>
      </c>
      <c r="W138" s="24" t="n">
        <f aca="false">W50*($C$30+(INDEX(Assumptions!$F$44:$F$46,MATCH($C50,Assumptions!$A$44:$A$46,0))-$C$30)*MIN(1,W$45/$C$29))</f>
        <v>18.8</v>
      </c>
      <c r="X138" s="24" t="n">
        <f aca="false">X50*($C$30+(INDEX(Assumptions!$F$44:$F$46,MATCH($C50,Assumptions!$A$44:$A$46,0))-$C$30)*MIN(1,X$45/$C$29))</f>
        <v>18.8</v>
      </c>
      <c r="Y138" s="24" t="n">
        <f aca="false">Y50*($C$30+(INDEX(Assumptions!$F$44:$F$46,MATCH($C50,Assumptions!$A$44:$A$46,0))-$C$30)*MIN(1,Y$45/$C$29))</f>
        <v>18.8</v>
      </c>
    </row>
    <row r="139" customFormat="false" ht="15" hidden="false" customHeight="false" outlineLevel="0" collapsed="false">
      <c r="A139" s="2" t="n">
        <f aca="false">A51</f>
        <v>4</v>
      </c>
      <c r="B139" s="2" t="str">
        <f aca="false">B51</f>
        <v>Pilot</v>
      </c>
      <c r="C139" s="2" t="str">
        <f aca="false">C51</f>
        <v>Assured</v>
      </c>
      <c r="D139" s="2"/>
      <c r="E139" s="2"/>
      <c r="F139" s="2"/>
      <c r="G139" s="2"/>
      <c r="H139" s="24" t="n">
        <f aca="false">H51*($C$30+(INDEX(Assumptions!$F$44:$F$46,MATCH($C51,Assumptions!$A$44:$A$46,0))-$C$30)*MIN(1,H$45/$C$29))</f>
        <v>14.1166666666667</v>
      </c>
      <c r="I139" s="24" t="n">
        <f aca="false">I51*($C$30+(INDEX(Assumptions!$F$44:$F$46,MATCH($C51,Assumptions!$A$44:$A$46,0))-$C$30)*MIN(1,I$45/$C$29))</f>
        <v>15.2777777777778</v>
      </c>
      <c r="J139" s="24" t="n">
        <f aca="false">J51*($C$30+(INDEX(Assumptions!$F$44:$F$46,MATCH($C51,Assumptions!$A$44:$A$46,0))-$C$30)*MIN(1,J$45/$C$29))</f>
        <v>16.4833333333333</v>
      </c>
      <c r="K139" s="24" t="n">
        <f aca="false">K51*($C$30+(INDEX(Assumptions!$F$44:$F$46,MATCH($C51,Assumptions!$A$44:$A$46,0))-$C$30)*MIN(1,K$45/$C$29))</f>
        <v>17.7333333333333</v>
      </c>
      <c r="L139" s="24" t="n">
        <f aca="false">L51*($C$30+(INDEX(Assumptions!$F$44:$F$46,MATCH($C51,Assumptions!$A$44:$A$46,0))-$C$30)*MIN(1,L$45/$C$29))</f>
        <v>18.2666666666667</v>
      </c>
      <c r="M139" s="24" t="n">
        <f aca="false">M51*($C$30+(INDEX(Assumptions!$F$44:$F$46,MATCH($C51,Assumptions!$A$44:$A$46,0))-$C$30)*MIN(1,M$45/$C$29))</f>
        <v>18.8</v>
      </c>
      <c r="N139" s="24" t="n">
        <f aca="false">N51*($C$30+(INDEX(Assumptions!$F$44:$F$46,MATCH($C51,Assumptions!$A$44:$A$46,0))-$C$30)*MIN(1,N$45/$C$29))</f>
        <v>18.8</v>
      </c>
      <c r="O139" s="24" t="n">
        <f aca="false">O51*($C$30+(INDEX(Assumptions!$F$44:$F$46,MATCH($C51,Assumptions!$A$44:$A$46,0))-$C$30)*MIN(1,O$45/$C$29))</f>
        <v>18.8</v>
      </c>
      <c r="P139" s="24" t="n">
        <f aca="false">P51*($C$30+(INDEX(Assumptions!$F$44:$F$46,MATCH($C51,Assumptions!$A$44:$A$46,0))-$C$30)*MIN(1,P$45/$C$29))</f>
        <v>18.8</v>
      </c>
      <c r="Q139" s="24" t="n">
        <f aca="false">Q51*($C$30+(INDEX(Assumptions!$F$44:$F$46,MATCH($C51,Assumptions!$A$44:$A$46,0))-$C$30)*MIN(1,Q$45/$C$29))</f>
        <v>18.8</v>
      </c>
      <c r="R139" s="24" t="n">
        <f aca="false">R51*($C$30+(INDEX(Assumptions!$F$44:$F$46,MATCH($C51,Assumptions!$A$44:$A$46,0))-$C$30)*MIN(1,R$45/$C$29))</f>
        <v>18.8</v>
      </c>
      <c r="S139" s="24" t="n">
        <f aca="false">S51*($C$30+(INDEX(Assumptions!$F$44:$F$46,MATCH($C51,Assumptions!$A$44:$A$46,0))-$C$30)*MIN(1,S$45/$C$29))</f>
        <v>18.8</v>
      </c>
      <c r="T139" s="24" t="n">
        <f aca="false">T51*($C$30+(INDEX(Assumptions!$F$44:$F$46,MATCH($C51,Assumptions!$A$44:$A$46,0))-$C$30)*MIN(1,T$45/$C$29))</f>
        <v>18.8</v>
      </c>
      <c r="U139" s="24" t="n">
        <f aca="false">U51*($C$30+(INDEX(Assumptions!$F$44:$F$46,MATCH($C51,Assumptions!$A$44:$A$46,0))-$C$30)*MIN(1,U$45/$C$29))</f>
        <v>18.8</v>
      </c>
      <c r="V139" s="24" t="n">
        <f aca="false">V51*($C$30+(INDEX(Assumptions!$F$44:$F$46,MATCH($C51,Assumptions!$A$44:$A$46,0))-$C$30)*MIN(1,V$45/$C$29))</f>
        <v>18.8</v>
      </c>
      <c r="W139" s="24" t="n">
        <f aca="false">W51*($C$30+(INDEX(Assumptions!$F$44:$F$46,MATCH($C51,Assumptions!$A$44:$A$46,0))-$C$30)*MIN(1,W$45/$C$29))</f>
        <v>18.8</v>
      </c>
      <c r="X139" s="24" t="n">
        <f aca="false">X51*($C$30+(INDEX(Assumptions!$F$44:$F$46,MATCH($C51,Assumptions!$A$44:$A$46,0))-$C$30)*MIN(1,X$45/$C$29))</f>
        <v>18.8</v>
      </c>
      <c r="Y139" s="24" t="n">
        <f aca="false">Y51*($C$30+(INDEX(Assumptions!$F$44:$F$46,MATCH($C51,Assumptions!$A$44:$A$46,0))-$C$30)*MIN(1,Y$45/$C$29))</f>
        <v>18.8</v>
      </c>
    </row>
    <row r="140" customFormat="false" ht="15" hidden="false" customHeight="false" outlineLevel="0" collapsed="false">
      <c r="A140" s="2" t="n">
        <f aca="false">A52</f>
        <v>5</v>
      </c>
      <c r="B140" s="2" t="str">
        <f aca="false">B52</f>
        <v>A</v>
      </c>
      <c r="C140" s="2" t="str">
        <f aca="false">C52</f>
        <v>Assured</v>
      </c>
      <c r="D140" s="2"/>
      <c r="E140" s="2"/>
      <c r="F140" s="2"/>
      <c r="G140" s="2"/>
      <c r="H140" s="24" t="n">
        <f aca="false">H52*($C$30+(INDEX(Assumptions!$F$44:$F$46,MATCH($C52,Assumptions!$A$44:$A$46,0))-$C$30)*MIN(1,H$45/$C$29))</f>
        <v>0</v>
      </c>
      <c r="I140" s="24" t="n">
        <f aca="false">I52*($C$30+(INDEX(Assumptions!$F$44:$F$46,MATCH($C52,Assumptions!$A$44:$A$46,0))-$C$30)*MIN(1,I$45/$C$29))</f>
        <v>0</v>
      </c>
      <c r="J140" s="24" t="n">
        <f aca="false">J52*($C$30+(INDEX(Assumptions!$F$44:$F$46,MATCH($C52,Assumptions!$A$44:$A$46,0))-$C$30)*MIN(1,J$45/$C$29))</f>
        <v>6.192</v>
      </c>
      <c r="K140" s="24" t="n">
        <f aca="false">K52*($C$30+(INDEX(Assumptions!$F$44:$F$46,MATCH($C52,Assumptions!$A$44:$A$46,0))-$C$30)*MIN(1,K$45/$C$29))</f>
        <v>12.768</v>
      </c>
      <c r="L140" s="24" t="n">
        <f aca="false">L52*($C$30+(INDEX(Assumptions!$F$44:$F$46,MATCH($C52,Assumptions!$A$44:$A$46,0))-$C$30)*MIN(1,L$45/$C$29))</f>
        <v>18.632</v>
      </c>
      <c r="M140" s="24" t="n">
        <f aca="false">M52*($C$30+(INDEX(Assumptions!$F$44:$F$46,MATCH($C52,Assumptions!$A$44:$A$46,0))-$C$30)*MIN(1,M$45/$C$29))</f>
        <v>22.56</v>
      </c>
      <c r="N140" s="24" t="n">
        <f aca="false">N52*($C$30+(INDEX(Assumptions!$F$44:$F$46,MATCH($C52,Assumptions!$A$44:$A$46,0))-$C$30)*MIN(1,N$45/$C$29))</f>
        <v>22.56</v>
      </c>
      <c r="O140" s="24" t="n">
        <f aca="false">O52*($C$30+(INDEX(Assumptions!$F$44:$F$46,MATCH($C52,Assumptions!$A$44:$A$46,0))-$C$30)*MIN(1,O$45/$C$29))</f>
        <v>22.56</v>
      </c>
      <c r="P140" s="24" t="n">
        <f aca="false">P52*($C$30+(INDEX(Assumptions!$F$44:$F$46,MATCH($C52,Assumptions!$A$44:$A$46,0))-$C$30)*MIN(1,P$45/$C$29))</f>
        <v>22.56</v>
      </c>
      <c r="Q140" s="24" t="n">
        <f aca="false">Q52*($C$30+(INDEX(Assumptions!$F$44:$F$46,MATCH($C52,Assumptions!$A$44:$A$46,0))-$C$30)*MIN(1,Q$45/$C$29))</f>
        <v>22.56</v>
      </c>
      <c r="R140" s="24" t="n">
        <f aca="false">R52*($C$30+(INDEX(Assumptions!$F$44:$F$46,MATCH($C52,Assumptions!$A$44:$A$46,0))-$C$30)*MIN(1,R$45/$C$29))</f>
        <v>22.56</v>
      </c>
      <c r="S140" s="24" t="n">
        <f aca="false">S52*($C$30+(INDEX(Assumptions!$F$44:$F$46,MATCH($C52,Assumptions!$A$44:$A$46,0))-$C$30)*MIN(1,S$45/$C$29))</f>
        <v>22.56</v>
      </c>
      <c r="T140" s="24" t="n">
        <f aca="false">T52*($C$30+(INDEX(Assumptions!$F$44:$F$46,MATCH($C52,Assumptions!$A$44:$A$46,0))-$C$30)*MIN(1,T$45/$C$29))</f>
        <v>22.56</v>
      </c>
      <c r="U140" s="24" t="n">
        <f aca="false">U52*($C$30+(INDEX(Assumptions!$F$44:$F$46,MATCH($C52,Assumptions!$A$44:$A$46,0))-$C$30)*MIN(1,U$45/$C$29))</f>
        <v>22.56</v>
      </c>
      <c r="V140" s="24" t="n">
        <f aca="false">V52*($C$30+(INDEX(Assumptions!$F$44:$F$46,MATCH($C52,Assumptions!$A$44:$A$46,0))-$C$30)*MIN(1,V$45/$C$29))</f>
        <v>22.56</v>
      </c>
      <c r="W140" s="24" t="n">
        <f aca="false">W52*($C$30+(INDEX(Assumptions!$F$44:$F$46,MATCH($C52,Assumptions!$A$44:$A$46,0))-$C$30)*MIN(1,W$45/$C$29))</f>
        <v>22.56</v>
      </c>
      <c r="X140" s="24" t="n">
        <f aca="false">X52*($C$30+(INDEX(Assumptions!$F$44:$F$46,MATCH($C52,Assumptions!$A$44:$A$46,0))-$C$30)*MIN(1,X$45/$C$29))</f>
        <v>22.56</v>
      </c>
      <c r="Y140" s="24" t="n">
        <f aca="false">Y52*($C$30+(INDEX(Assumptions!$F$44:$F$46,MATCH($C52,Assumptions!$A$44:$A$46,0))-$C$30)*MIN(1,Y$45/$C$29))</f>
        <v>22.56</v>
      </c>
    </row>
    <row r="141" customFormat="false" ht="15" hidden="false" customHeight="false" outlineLevel="0" collapsed="false">
      <c r="A141" s="2" t="n">
        <f aca="false">A53</f>
        <v>6</v>
      </c>
      <c r="B141" s="2" t="str">
        <f aca="false">B53</f>
        <v>A</v>
      </c>
      <c r="C141" s="2" t="str">
        <f aca="false">C53</f>
        <v>Assured</v>
      </c>
      <c r="D141" s="2"/>
      <c r="E141" s="2"/>
      <c r="F141" s="2"/>
      <c r="G141" s="2"/>
      <c r="H141" s="24" t="n">
        <f aca="false">H53*($C$30+(INDEX(Assumptions!$F$44:$F$46,MATCH($C53,Assumptions!$A$44:$A$46,0))-$C$30)*MIN(1,H$45/$C$29))</f>
        <v>0</v>
      </c>
      <c r="I141" s="24" t="n">
        <f aca="false">I53*($C$30+(INDEX(Assumptions!$F$44:$F$46,MATCH($C53,Assumptions!$A$44:$A$46,0))-$C$30)*MIN(1,I$45/$C$29))</f>
        <v>0</v>
      </c>
      <c r="J141" s="24" t="n">
        <f aca="false">J53*($C$30+(INDEX(Assumptions!$F$44:$F$46,MATCH($C53,Assumptions!$A$44:$A$46,0))-$C$30)*MIN(1,J$45/$C$29))</f>
        <v>6.192</v>
      </c>
      <c r="K141" s="24" t="n">
        <f aca="false">K53*($C$30+(INDEX(Assumptions!$F$44:$F$46,MATCH($C53,Assumptions!$A$44:$A$46,0))-$C$30)*MIN(1,K$45/$C$29))</f>
        <v>12.768</v>
      </c>
      <c r="L141" s="24" t="n">
        <f aca="false">L53*($C$30+(INDEX(Assumptions!$F$44:$F$46,MATCH($C53,Assumptions!$A$44:$A$46,0))-$C$30)*MIN(1,L$45/$C$29))</f>
        <v>18.632</v>
      </c>
      <c r="M141" s="24" t="n">
        <f aca="false">M53*($C$30+(INDEX(Assumptions!$F$44:$F$46,MATCH($C53,Assumptions!$A$44:$A$46,0))-$C$30)*MIN(1,M$45/$C$29))</f>
        <v>22.56</v>
      </c>
      <c r="N141" s="24" t="n">
        <f aca="false">N53*($C$30+(INDEX(Assumptions!$F$44:$F$46,MATCH($C53,Assumptions!$A$44:$A$46,0))-$C$30)*MIN(1,N$45/$C$29))</f>
        <v>22.56</v>
      </c>
      <c r="O141" s="24" t="n">
        <f aca="false">O53*($C$30+(INDEX(Assumptions!$F$44:$F$46,MATCH($C53,Assumptions!$A$44:$A$46,0))-$C$30)*MIN(1,O$45/$C$29))</f>
        <v>22.56</v>
      </c>
      <c r="P141" s="24" t="n">
        <f aca="false">P53*($C$30+(INDEX(Assumptions!$F$44:$F$46,MATCH($C53,Assumptions!$A$44:$A$46,0))-$C$30)*MIN(1,P$45/$C$29))</f>
        <v>22.56</v>
      </c>
      <c r="Q141" s="24" t="n">
        <f aca="false">Q53*($C$30+(INDEX(Assumptions!$F$44:$F$46,MATCH($C53,Assumptions!$A$44:$A$46,0))-$C$30)*MIN(1,Q$45/$C$29))</f>
        <v>22.56</v>
      </c>
      <c r="R141" s="24" t="n">
        <f aca="false">R53*($C$30+(INDEX(Assumptions!$F$44:$F$46,MATCH($C53,Assumptions!$A$44:$A$46,0))-$C$30)*MIN(1,R$45/$C$29))</f>
        <v>22.56</v>
      </c>
      <c r="S141" s="24" t="n">
        <f aca="false">S53*($C$30+(INDEX(Assumptions!$F$44:$F$46,MATCH($C53,Assumptions!$A$44:$A$46,0))-$C$30)*MIN(1,S$45/$C$29))</f>
        <v>22.56</v>
      </c>
      <c r="T141" s="24" t="n">
        <f aca="false">T53*($C$30+(INDEX(Assumptions!$F$44:$F$46,MATCH($C53,Assumptions!$A$44:$A$46,0))-$C$30)*MIN(1,T$45/$C$29))</f>
        <v>22.56</v>
      </c>
      <c r="U141" s="24" t="n">
        <f aca="false">U53*($C$30+(INDEX(Assumptions!$F$44:$F$46,MATCH($C53,Assumptions!$A$44:$A$46,0))-$C$30)*MIN(1,U$45/$C$29))</f>
        <v>22.56</v>
      </c>
      <c r="V141" s="24" t="n">
        <f aca="false">V53*($C$30+(INDEX(Assumptions!$F$44:$F$46,MATCH($C53,Assumptions!$A$44:$A$46,0))-$C$30)*MIN(1,V$45/$C$29))</f>
        <v>22.56</v>
      </c>
      <c r="W141" s="24" t="n">
        <f aca="false">W53*($C$30+(INDEX(Assumptions!$F$44:$F$46,MATCH($C53,Assumptions!$A$44:$A$46,0))-$C$30)*MIN(1,W$45/$C$29))</f>
        <v>22.56</v>
      </c>
      <c r="X141" s="24" t="n">
        <f aca="false">X53*($C$30+(INDEX(Assumptions!$F$44:$F$46,MATCH($C53,Assumptions!$A$44:$A$46,0))-$C$30)*MIN(1,X$45/$C$29))</f>
        <v>22.56</v>
      </c>
      <c r="Y141" s="24" t="n">
        <f aca="false">Y53*($C$30+(INDEX(Assumptions!$F$44:$F$46,MATCH($C53,Assumptions!$A$44:$A$46,0))-$C$30)*MIN(1,Y$45/$C$29))</f>
        <v>22.56</v>
      </c>
    </row>
    <row r="142" customFormat="false" ht="15" hidden="false" customHeight="false" outlineLevel="0" collapsed="false">
      <c r="A142" s="2" t="n">
        <f aca="false">A54</f>
        <v>7</v>
      </c>
      <c r="B142" s="2" t="str">
        <f aca="false">B54</f>
        <v>A</v>
      </c>
      <c r="C142" s="2" t="str">
        <f aca="false">C54</f>
        <v>Assured</v>
      </c>
      <c r="D142" s="2"/>
      <c r="E142" s="2"/>
      <c r="F142" s="2"/>
      <c r="G142" s="2"/>
      <c r="H142" s="24" t="n">
        <f aca="false">H54*($C$30+(INDEX(Assumptions!$F$44:$F$46,MATCH($C54,Assumptions!$A$44:$A$46,0))-$C$30)*MIN(1,H$45/$C$29))</f>
        <v>0</v>
      </c>
      <c r="I142" s="24" t="n">
        <f aca="false">I54*($C$30+(INDEX(Assumptions!$F$44:$F$46,MATCH($C54,Assumptions!$A$44:$A$46,0))-$C$30)*MIN(1,I$45/$C$29))</f>
        <v>0</v>
      </c>
      <c r="J142" s="24" t="n">
        <f aca="false">J54*($C$30+(INDEX(Assumptions!$F$44:$F$46,MATCH($C54,Assumptions!$A$44:$A$46,0))-$C$30)*MIN(1,J$45/$C$29))</f>
        <v>0</v>
      </c>
      <c r="K142" s="24" t="n">
        <f aca="false">K54*($C$30+(INDEX(Assumptions!$F$44:$F$46,MATCH($C54,Assumptions!$A$44:$A$46,0))-$C$30)*MIN(1,K$45/$C$29))</f>
        <v>6.384</v>
      </c>
      <c r="L142" s="24" t="n">
        <f aca="false">L54*($C$30+(INDEX(Assumptions!$F$44:$F$46,MATCH($C54,Assumptions!$A$44:$A$46,0))-$C$30)*MIN(1,L$45/$C$29))</f>
        <v>13.152</v>
      </c>
      <c r="M142" s="24" t="n">
        <f aca="false">M54*($C$30+(INDEX(Assumptions!$F$44:$F$46,MATCH($C54,Assumptions!$A$44:$A$46,0))-$C$30)*MIN(1,M$45/$C$29))</f>
        <v>19.176</v>
      </c>
      <c r="N142" s="24" t="n">
        <f aca="false">N54*($C$30+(INDEX(Assumptions!$F$44:$F$46,MATCH($C54,Assumptions!$A$44:$A$46,0))-$C$30)*MIN(1,N$45/$C$29))</f>
        <v>22.56</v>
      </c>
      <c r="O142" s="24" t="n">
        <f aca="false">O54*($C$30+(INDEX(Assumptions!$F$44:$F$46,MATCH($C54,Assumptions!$A$44:$A$46,0))-$C$30)*MIN(1,O$45/$C$29))</f>
        <v>22.56</v>
      </c>
      <c r="P142" s="24" t="n">
        <f aca="false">P54*($C$30+(INDEX(Assumptions!$F$44:$F$46,MATCH($C54,Assumptions!$A$44:$A$46,0))-$C$30)*MIN(1,P$45/$C$29))</f>
        <v>22.56</v>
      </c>
      <c r="Q142" s="24" t="n">
        <f aca="false">Q54*($C$30+(INDEX(Assumptions!$F$44:$F$46,MATCH($C54,Assumptions!$A$44:$A$46,0))-$C$30)*MIN(1,Q$45/$C$29))</f>
        <v>22.56</v>
      </c>
      <c r="R142" s="24" t="n">
        <f aca="false">R54*($C$30+(INDEX(Assumptions!$F$44:$F$46,MATCH($C54,Assumptions!$A$44:$A$46,0))-$C$30)*MIN(1,R$45/$C$29))</f>
        <v>22.56</v>
      </c>
      <c r="S142" s="24" t="n">
        <f aca="false">S54*($C$30+(INDEX(Assumptions!$F$44:$F$46,MATCH($C54,Assumptions!$A$44:$A$46,0))-$C$30)*MIN(1,S$45/$C$29))</f>
        <v>22.56</v>
      </c>
      <c r="T142" s="24" t="n">
        <f aca="false">T54*($C$30+(INDEX(Assumptions!$F$44:$F$46,MATCH($C54,Assumptions!$A$44:$A$46,0))-$C$30)*MIN(1,T$45/$C$29))</f>
        <v>22.56</v>
      </c>
      <c r="U142" s="24" t="n">
        <f aca="false">U54*($C$30+(INDEX(Assumptions!$F$44:$F$46,MATCH($C54,Assumptions!$A$44:$A$46,0))-$C$30)*MIN(1,U$45/$C$29))</f>
        <v>22.56</v>
      </c>
      <c r="V142" s="24" t="n">
        <f aca="false">V54*($C$30+(INDEX(Assumptions!$F$44:$F$46,MATCH($C54,Assumptions!$A$44:$A$46,0))-$C$30)*MIN(1,V$45/$C$29))</f>
        <v>22.56</v>
      </c>
      <c r="W142" s="24" t="n">
        <f aca="false">W54*($C$30+(INDEX(Assumptions!$F$44:$F$46,MATCH($C54,Assumptions!$A$44:$A$46,0))-$C$30)*MIN(1,W$45/$C$29))</f>
        <v>22.56</v>
      </c>
      <c r="X142" s="24" t="n">
        <f aca="false">X54*($C$30+(INDEX(Assumptions!$F$44:$F$46,MATCH($C54,Assumptions!$A$44:$A$46,0))-$C$30)*MIN(1,X$45/$C$29))</f>
        <v>22.56</v>
      </c>
      <c r="Y142" s="24" t="n">
        <f aca="false">Y54*($C$30+(INDEX(Assumptions!$F$44:$F$46,MATCH($C54,Assumptions!$A$44:$A$46,0))-$C$30)*MIN(1,Y$45/$C$29))</f>
        <v>22.56</v>
      </c>
    </row>
    <row r="143" customFormat="false" ht="15" hidden="false" customHeight="false" outlineLevel="0" collapsed="false">
      <c r="A143" s="2" t="n">
        <f aca="false">A55</f>
        <v>8</v>
      </c>
      <c r="B143" s="2" t="str">
        <f aca="false">B55</f>
        <v>A</v>
      </c>
      <c r="C143" s="2" t="str">
        <f aca="false">C55</f>
        <v>Assured</v>
      </c>
      <c r="D143" s="2"/>
      <c r="E143" s="2"/>
      <c r="F143" s="2"/>
      <c r="G143" s="2"/>
      <c r="H143" s="24" t="n">
        <f aca="false">H55*($C$30+(INDEX(Assumptions!$F$44:$F$46,MATCH($C55,Assumptions!$A$44:$A$46,0))-$C$30)*MIN(1,H$45/$C$29))</f>
        <v>0</v>
      </c>
      <c r="I143" s="24" t="n">
        <f aca="false">I55*($C$30+(INDEX(Assumptions!$F$44:$F$46,MATCH($C55,Assumptions!$A$44:$A$46,0))-$C$30)*MIN(1,I$45/$C$29))</f>
        <v>0</v>
      </c>
      <c r="J143" s="24" t="n">
        <f aca="false">J55*($C$30+(INDEX(Assumptions!$F$44:$F$46,MATCH($C55,Assumptions!$A$44:$A$46,0))-$C$30)*MIN(1,J$45/$C$29))</f>
        <v>0</v>
      </c>
      <c r="K143" s="24" t="n">
        <f aca="false">K55*($C$30+(INDEX(Assumptions!$F$44:$F$46,MATCH($C55,Assumptions!$A$44:$A$46,0))-$C$30)*MIN(1,K$45/$C$29))</f>
        <v>6.384</v>
      </c>
      <c r="L143" s="24" t="n">
        <f aca="false">L55*($C$30+(INDEX(Assumptions!$F$44:$F$46,MATCH($C55,Assumptions!$A$44:$A$46,0))-$C$30)*MIN(1,L$45/$C$29))</f>
        <v>13.152</v>
      </c>
      <c r="M143" s="24" t="n">
        <f aca="false">M55*($C$30+(INDEX(Assumptions!$F$44:$F$46,MATCH($C55,Assumptions!$A$44:$A$46,0))-$C$30)*MIN(1,M$45/$C$29))</f>
        <v>19.176</v>
      </c>
      <c r="N143" s="24" t="n">
        <f aca="false">N55*($C$30+(INDEX(Assumptions!$F$44:$F$46,MATCH($C55,Assumptions!$A$44:$A$46,0))-$C$30)*MIN(1,N$45/$C$29))</f>
        <v>22.56</v>
      </c>
      <c r="O143" s="24" t="n">
        <f aca="false">O55*($C$30+(INDEX(Assumptions!$F$44:$F$46,MATCH($C55,Assumptions!$A$44:$A$46,0))-$C$30)*MIN(1,O$45/$C$29))</f>
        <v>22.56</v>
      </c>
      <c r="P143" s="24" t="n">
        <f aca="false">P55*($C$30+(INDEX(Assumptions!$F$44:$F$46,MATCH($C55,Assumptions!$A$44:$A$46,0))-$C$30)*MIN(1,P$45/$C$29))</f>
        <v>22.56</v>
      </c>
      <c r="Q143" s="24" t="n">
        <f aca="false">Q55*($C$30+(INDEX(Assumptions!$F$44:$F$46,MATCH($C55,Assumptions!$A$44:$A$46,0))-$C$30)*MIN(1,Q$45/$C$29))</f>
        <v>22.56</v>
      </c>
      <c r="R143" s="24" t="n">
        <f aca="false">R55*($C$30+(INDEX(Assumptions!$F$44:$F$46,MATCH($C55,Assumptions!$A$44:$A$46,0))-$C$30)*MIN(1,R$45/$C$29))</f>
        <v>22.56</v>
      </c>
      <c r="S143" s="24" t="n">
        <f aca="false">S55*($C$30+(INDEX(Assumptions!$F$44:$F$46,MATCH($C55,Assumptions!$A$44:$A$46,0))-$C$30)*MIN(1,S$45/$C$29))</f>
        <v>22.56</v>
      </c>
      <c r="T143" s="24" t="n">
        <f aca="false">T55*($C$30+(INDEX(Assumptions!$F$44:$F$46,MATCH($C55,Assumptions!$A$44:$A$46,0))-$C$30)*MIN(1,T$45/$C$29))</f>
        <v>22.56</v>
      </c>
      <c r="U143" s="24" t="n">
        <f aca="false">U55*($C$30+(INDEX(Assumptions!$F$44:$F$46,MATCH($C55,Assumptions!$A$44:$A$46,0))-$C$30)*MIN(1,U$45/$C$29))</f>
        <v>22.56</v>
      </c>
      <c r="V143" s="24" t="n">
        <f aca="false">V55*($C$30+(INDEX(Assumptions!$F$44:$F$46,MATCH($C55,Assumptions!$A$44:$A$46,0))-$C$30)*MIN(1,V$45/$C$29))</f>
        <v>22.56</v>
      </c>
      <c r="W143" s="24" t="n">
        <f aca="false">W55*($C$30+(INDEX(Assumptions!$F$44:$F$46,MATCH($C55,Assumptions!$A$44:$A$46,0))-$C$30)*MIN(1,W$45/$C$29))</f>
        <v>22.56</v>
      </c>
      <c r="X143" s="24" t="n">
        <f aca="false">X55*($C$30+(INDEX(Assumptions!$F$44:$F$46,MATCH($C55,Assumptions!$A$44:$A$46,0))-$C$30)*MIN(1,X$45/$C$29))</f>
        <v>22.56</v>
      </c>
      <c r="Y143" s="24" t="n">
        <f aca="false">Y55*($C$30+(INDEX(Assumptions!$F$44:$F$46,MATCH($C55,Assumptions!$A$44:$A$46,0))-$C$30)*MIN(1,Y$45/$C$29))</f>
        <v>22.56</v>
      </c>
    </row>
    <row r="144" customFormat="false" ht="15" hidden="false" customHeight="false" outlineLevel="0" collapsed="false">
      <c r="A144" s="2" t="n">
        <f aca="false">A56</f>
        <v>9</v>
      </c>
      <c r="B144" s="2" t="str">
        <f aca="false">B56</f>
        <v>A</v>
      </c>
      <c r="C144" s="2" t="str">
        <f aca="false">C56</f>
        <v>Assured</v>
      </c>
      <c r="D144" s="2"/>
      <c r="E144" s="2"/>
      <c r="F144" s="2"/>
      <c r="G144" s="2"/>
      <c r="H144" s="24" t="n">
        <f aca="false">H56*($C$30+(INDEX(Assumptions!$F$44:$F$46,MATCH($C56,Assumptions!$A$44:$A$46,0))-$C$30)*MIN(1,H$45/$C$29))</f>
        <v>0</v>
      </c>
      <c r="I144" s="24" t="n">
        <f aca="false">I56*($C$30+(INDEX(Assumptions!$F$44:$F$46,MATCH($C56,Assumptions!$A$44:$A$46,0))-$C$30)*MIN(1,I$45/$C$29))</f>
        <v>0</v>
      </c>
      <c r="J144" s="24" t="n">
        <f aca="false">J56*($C$30+(INDEX(Assumptions!$F$44:$F$46,MATCH($C56,Assumptions!$A$44:$A$46,0))-$C$30)*MIN(1,J$45/$C$29))</f>
        <v>0</v>
      </c>
      <c r="K144" s="24" t="n">
        <f aca="false">K56*($C$30+(INDEX(Assumptions!$F$44:$F$46,MATCH($C56,Assumptions!$A$44:$A$46,0))-$C$30)*MIN(1,K$45/$C$29))</f>
        <v>0</v>
      </c>
      <c r="L144" s="24" t="n">
        <f aca="false">L56*($C$30+(INDEX(Assumptions!$F$44:$F$46,MATCH($C56,Assumptions!$A$44:$A$46,0))-$C$30)*MIN(1,L$45/$C$29))</f>
        <v>6.576</v>
      </c>
      <c r="M144" s="24" t="n">
        <f aca="false">M56*($C$30+(INDEX(Assumptions!$F$44:$F$46,MATCH($C56,Assumptions!$A$44:$A$46,0))-$C$30)*MIN(1,M$45/$C$29))</f>
        <v>13.536</v>
      </c>
      <c r="N144" s="24" t="n">
        <f aca="false">N56*($C$30+(INDEX(Assumptions!$F$44:$F$46,MATCH($C56,Assumptions!$A$44:$A$46,0))-$C$30)*MIN(1,N$45/$C$29))</f>
        <v>19.176</v>
      </c>
      <c r="O144" s="24" t="n">
        <f aca="false">O56*($C$30+(INDEX(Assumptions!$F$44:$F$46,MATCH($C56,Assumptions!$A$44:$A$46,0))-$C$30)*MIN(1,O$45/$C$29))</f>
        <v>22.56</v>
      </c>
      <c r="P144" s="24" t="n">
        <f aca="false">P56*($C$30+(INDEX(Assumptions!$F$44:$F$46,MATCH($C56,Assumptions!$A$44:$A$46,0))-$C$30)*MIN(1,P$45/$C$29))</f>
        <v>22.56</v>
      </c>
      <c r="Q144" s="24" t="n">
        <f aca="false">Q56*($C$30+(INDEX(Assumptions!$F$44:$F$46,MATCH($C56,Assumptions!$A$44:$A$46,0))-$C$30)*MIN(1,Q$45/$C$29))</f>
        <v>22.56</v>
      </c>
      <c r="R144" s="24" t="n">
        <f aca="false">R56*($C$30+(INDEX(Assumptions!$F$44:$F$46,MATCH($C56,Assumptions!$A$44:$A$46,0))-$C$30)*MIN(1,R$45/$C$29))</f>
        <v>22.56</v>
      </c>
      <c r="S144" s="24" t="n">
        <f aca="false">S56*($C$30+(INDEX(Assumptions!$F$44:$F$46,MATCH($C56,Assumptions!$A$44:$A$46,0))-$C$30)*MIN(1,S$45/$C$29))</f>
        <v>22.56</v>
      </c>
      <c r="T144" s="24" t="n">
        <f aca="false">T56*($C$30+(INDEX(Assumptions!$F$44:$F$46,MATCH($C56,Assumptions!$A$44:$A$46,0))-$C$30)*MIN(1,T$45/$C$29))</f>
        <v>22.56</v>
      </c>
      <c r="U144" s="24" t="n">
        <f aca="false">U56*($C$30+(INDEX(Assumptions!$F$44:$F$46,MATCH($C56,Assumptions!$A$44:$A$46,0))-$C$30)*MIN(1,U$45/$C$29))</f>
        <v>22.56</v>
      </c>
      <c r="V144" s="24" t="n">
        <f aca="false">V56*($C$30+(INDEX(Assumptions!$F$44:$F$46,MATCH($C56,Assumptions!$A$44:$A$46,0))-$C$30)*MIN(1,V$45/$C$29))</f>
        <v>22.56</v>
      </c>
      <c r="W144" s="24" t="n">
        <f aca="false">W56*($C$30+(INDEX(Assumptions!$F$44:$F$46,MATCH($C56,Assumptions!$A$44:$A$46,0))-$C$30)*MIN(1,W$45/$C$29))</f>
        <v>22.56</v>
      </c>
      <c r="X144" s="24" t="n">
        <f aca="false">X56*($C$30+(INDEX(Assumptions!$F$44:$F$46,MATCH($C56,Assumptions!$A$44:$A$46,0))-$C$30)*MIN(1,X$45/$C$29))</f>
        <v>22.56</v>
      </c>
      <c r="Y144" s="24" t="n">
        <f aca="false">Y56*($C$30+(INDEX(Assumptions!$F$44:$F$46,MATCH($C56,Assumptions!$A$44:$A$46,0))-$C$30)*MIN(1,Y$45/$C$29))</f>
        <v>22.56</v>
      </c>
    </row>
    <row r="145" customFormat="false" ht="15" hidden="false" customHeight="false" outlineLevel="0" collapsed="false">
      <c r="A145" s="2" t="n">
        <f aca="false">A57</f>
        <v>10</v>
      </c>
      <c r="B145" s="2" t="str">
        <f aca="false">B57</f>
        <v>C</v>
      </c>
      <c r="C145" s="2" t="str">
        <f aca="false">C57</f>
        <v>Assured</v>
      </c>
      <c r="D145" s="2"/>
      <c r="E145" s="2"/>
      <c r="F145" s="2"/>
      <c r="G145" s="2"/>
      <c r="H145" s="24" t="n">
        <f aca="false">H57*($C$30+(INDEX(Assumptions!$F$44:$F$46,MATCH($C57,Assumptions!$A$44:$A$46,0))-$C$30)*MIN(1,H$45/$C$29))</f>
        <v>0</v>
      </c>
      <c r="I145" s="24" t="n">
        <f aca="false">I57*($C$30+(INDEX(Assumptions!$F$44:$F$46,MATCH($C57,Assumptions!$A$44:$A$46,0))-$C$30)*MIN(1,I$45/$C$29))</f>
        <v>0</v>
      </c>
      <c r="J145" s="24" t="n">
        <f aca="false">J57*($C$30+(INDEX(Assumptions!$F$44:$F$46,MATCH($C57,Assumptions!$A$44:$A$46,0))-$C$30)*MIN(1,J$45/$C$29))</f>
        <v>0</v>
      </c>
      <c r="K145" s="24" t="n">
        <f aca="false">K57*($C$30+(INDEX(Assumptions!$F$44:$F$46,MATCH($C57,Assumptions!$A$44:$A$46,0))-$C$30)*MIN(1,K$45/$C$29))</f>
        <v>0</v>
      </c>
      <c r="L145" s="24" t="n">
        <f aca="false">L57*($C$30+(INDEX(Assumptions!$F$44:$F$46,MATCH($C57,Assumptions!$A$44:$A$46,0))-$C$30)*MIN(1,L$45/$C$29))</f>
        <v>0</v>
      </c>
      <c r="M145" s="24" t="n">
        <f aca="false">M57*($C$30+(INDEX(Assumptions!$F$44:$F$46,MATCH($C57,Assumptions!$A$44:$A$46,0))-$C$30)*MIN(1,M$45/$C$29))</f>
        <v>7.332</v>
      </c>
      <c r="N145" s="24" t="n">
        <f aca="false">N57*($C$30+(INDEX(Assumptions!$F$44:$F$46,MATCH($C57,Assumptions!$A$44:$A$46,0))-$C$30)*MIN(1,N$45/$C$29))</f>
        <v>14.664</v>
      </c>
      <c r="O145" s="24" t="n">
        <f aca="false">O57*($C$30+(INDEX(Assumptions!$F$44:$F$46,MATCH($C57,Assumptions!$A$44:$A$46,0))-$C$30)*MIN(1,O$45/$C$29))</f>
        <v>20.774</v>
      </c>
      <c r="P145" s="24" t="n">
        <f aca="false">P57*($C$30+(INDEX(Assumptions!$F$44:$F$46,MATCH($C57,Assumptions!$A$44:$A$46,0))-$C$30)*MIN(1,P$45/$C$29))</f>
        <v>24.44</v>
      </c>
      <c r="Q145" s="24" t="n">
        <f aca="false">Q57*($C$30+(INDEX(Assumptions!$F$44:$F$46,MATCH($C57,Assumptions!$A$44:$A$46,0))-$C$30)*MIN(1,Q$45/$C$29))</f>
        <v>24.44</v>
      </c>
      <c r="R145" s="24" t="n">
        <f aca="false">R57*($C$30+(INDEX(Assumptions!$F$44:$F$46,MATCH($C57,Assumptions!$A$44:$A$46,0))-$C$30)*MIN(1,R$45/$C$29))</f>
        <v>24.44</v>
      </c>
      <c r="S145" s="24" t="n">
        <f aca="false">S57*($C$30+(INDEX(Assumptions!$F$44:$F$46,MATCH($C57,Assumptions!$A$44:$A$46,0))-$C$30)*MIN(1,S$45/$C$29))</f>
        <v>24.44</v>
      </c>
      <c r="T145" s="24" t="n">
        <f aca="false">T57*($C$30+(INDEX(Assumptions!$F$44:$F$46,MATCH($C57,Assumptions!$A$44:$A$46,0))-$C$30)*MIN(1,T$45/$C$29))</f>
        <v>24.44</v>
      </c>
      <c r="U145" s="24" t="n">
        <f aca="false">U57*($C$30+(INDEX(Assumptions!$F$44:$F$46,MATCH($C57,Assumptions!$A$44:$A$46,0))-$C$30)*MIN(1,U$45/$C$29))</f>
        <v>24.44</v>
      </c>
      <c r="V145" s="24" t="n">
        <f aca="false">V57*($C$30+(INDEX(Assumptions!$F$44:$F$46,MATCH($C57,Assumptions!$A$44:$A$46,0))-$C$30)*MIN(1,V$45/$C$29))</f>
        <v>24.44</v>
      </c>
      <c r="W145" s="24" t="n">
        <f aca="false">W57*($C$30+(INDEX(Assumptions!$F$44:$F$46,MATCH($C57,Assumptions!$A$44:$A$46,0))-$C$30)*MIN(1,W$45/$C$29))</f>
        <v>24.44</v>
      </c>
      <c r="X145" s="24" t="n">
        <f aca="false">X57*($C$30+(INDEX(Assumptions!$F$44:$F$46,MATCH($C57,Assumptions!$A$44:$A$46,0))-$C$30)*MIN(1,X$45/$C$29))</f>
        <v>24.44</v>
      </c>
      <c r="Y145" s="24" t="n">
        <f aca="false">Y57*($C$30+(INDEX(Assumptions!$F$44:$F$46,MATCH($C57,Assumptions!$A$44:$A$46,0))-$C$30)*MIN(1,Y$45/$C$29))</f>
        <v>24.44</v>
      </c>
    </row>
    <row r="146" customFormat="false" ht="15" hidden="false" customHeight="false" outlineLevel="0" collapsed="false">
      <c r="A146" s="2" t="n">
        <f aca="false">A58</f>
        <v>11</v>
      </c>
      <c r="B146" s="2" t="str">
        <f aca="false">B58</f>
        <v>C</v>
      </c>
      <c r="C146" s="2" t="str">
        <f aca="false">C58</f>
        <v>Assured</v>
      </c>
      <c r="D146" s="2"/>
      <c r="E146" s="2"/>
      <c r="F146" s="2"/>
      <c r="G146" s="2"/>
      <c r="H146" s="24" t="n">
        <f aca="false">H58*($C$30+(INDEX(Assumptions!$F$44:$F$46,MATCH($C58,Assumptions!$A$44:$A$46,0))-$C$30)*MIN(1,H$45/$C$29))</f>
        <v>0</v>
      </c>
      <c r="I146" s="24" t="n">
        <f aca="false">I58*($C$30+(INDEX(Assumptions!$F$44:$F$46,MATCH($C58,Assumptions!$A$44:$A$46,0))-$C$30)*MIN(1,I$45/$C$29))</f>
        <v>0</v>
      </c>
      <c r="J146" s="24" t="n">
        <f aca="false">J58*($C$30+(INDEX(Assumptions!$F$44:$F$46,MATCH($C58,Assumptions!$A$44:$A$46,0))-$C$30)*MIN(1,J$45/$C$29))</f>
        <v>0</v>
      </c>
      <c r="K146" s="24" t="n">
        <f aca="false">K58*($C$30+(INDEX(Assumptions!$F$44:$F$46,MATCH($C58,Assumptions!$A$44:$A$46,0))-$C$30)*MIN(1,K$45/$C$29))</f>
        <v>0</v>
      </c>
      <c r="L146" s="24" t="n">
        <f aca="false">L58*($C$30+(INDEX(Assumptions!$F$44:$F$46,MATCH($C58,Assumptions!$A$44:$A$46,0))-$C$30)*MIN(1,L$45/$C$29))</f>
        <v>0</v>
      </c>
      <c r="M146" s="24" t="n">
        <f aca="false">M58*($C$30+(INDEX(Assumptions!$F$44:$F$46,MATCH($C58,Assumptions!$A$44:$A$46,0))-$C$30)*MIN(1,M$45/$C$29))</f>
        <v>0</v>
      </c>
      <c r="N146" s="24" t="n">
        <f aca="false">N58*($C$30+(INDEX(Assumptions!$F$44:$F$46,MATCH($C58,Assumptions!$A$44:$A$46,0))-$C$30)*MIN(1,N$45/$C$29))</f>
        <v>7.332</v>
      </c>
      <c r="O146" s="24" t="n">
        <f aca="false">O58*($C$30+(INDEX(Assumptions!$F$44:$F$46,MATCH($C58,Assumptions!$A$44:$A$46,0))-$C$30)*MIN(1,O$45/$C$29))</f>
        <v>14.664</v>
      </c>
      <c r="P146" s="24" t="n">
        <f aca="false">P58*($C$30+(INDEX(Assumptions!$F$44:$F$46,MATCH($C58,Assumptions!$A$44:$A$46,0))-$C$30)*MIN(1,P$45/$C$29))</f>
        <v>20.774</v>
      </c>
      <c r="Q146" s="24" t="n">
        <f aca="false">Q58*($C$30+(INDEX(Assumptions!$F$44:$F$46,MATCH($C58,Assumptions!$A$44:$A$46,0))-$C$30)*MIN(1,Q$45/$C$29))</f>
        <v>24.44</v>
      </c>
      <c r="R146" s="24" t="n">
        <f aca="false">R58*($C$30+(INDEX(Assumptions!$F$44:$F$46,MATCH($C58,Assumptions!$A$44:$A$46,0))-$C$30)*MIN(1,R$45/$C$29))</f>
        <v>24.44</v>
      </c>
      <c r="S146" s="24" t="n">
        <f aca="false">S58*($C$30+(INDEX(Assumptions!$F$44:$F$46,MATCH($C58,Assumptions!$A$44:$A$46,0))-$C$30)*MIN(1,S$45/$C$29))</f>
        <v>24.44</v>
      </c>
      <c r="T146" s="24" t="n">
        <f aca="false">T58*($C$30+(INDEX(Assumptions!$F$44:$F$46,MATCH($C58,Assumptions!$A$44:$A$46,0))-$C$30)*MIN(1,T$45/$C$29))</f>
        <v>24.44</v>
      </c>
      <c r="U146" s="24" t="n">
        <f aca="false">U58*($C$30+(INDEX(Assumptions!$F$44:$F$46,MATCH($C58,Assumptions!$A$44:$A$46,0))-$C$30)*MIN(1,U$45/$C$29))</f>
        <v>24.44</v>
      </c>
      <c r="V146" s="24" t="n">
        <f aca="false">V58*($C$30+(INDEX(Assumptions!$F$44:$F$46,MATCH($C58,Assumptions!$A$44:$A$46,0))-$C$30)*MIN(1,V$45/$C$29))</f>
        <v>24.44</v>
      </c>
      <c r="W146" s="24" t="n">
        <f aca="false">W58*($C$30+(INDEX(Assumptions!$F$44:$F$46,MATCH($C58,Assumptions!$A$44:$A$46,0))-$C$30)*MIN(1,W$45/$C$29))</f>
        <v>24.44</v>
      </c>
      <c r="X146" s="24" t="n">
        <f aca="false">X58*($C$30+(INDEX(Assumptions!$F$44:$F$46,MATCH($C58,Assumptions!$A$44:$A$46,0))-$C$30)*MIN(1,X$45/$C$29))</f>
        <v>24.44</v>
      </c>
      <c r="Y146" s="24" t="n">
        <f aca="false">Y58*($C$30+(INDEX(Assumptions!$F$44:$F$46,MATCH($C58,Assumptions!$A$44:$A$46,0))-$C$30)*MIN(1,Y$45/$C$29))</f>
        <v>24.44</v>
      </c>
    </row>
    <row r="147" customFormat="false" ht="15" hidden="false" customHeight="false" outlineLevel="0" collapsed="false">
      <c r="A147" s="2" t="n">
        <f aca="false">A59</f>
        <v>12</v>
      </c>
      <c r="B147" s="2" t="str">
        <f aca="false">B59</f>
        <v>C</v>
      </c>
      <c r="C147" s="2" t="str">
        <f aca="false">C59</f>
        <v>Assured</v>
      </c>
      <c r="D147" s="2"/>
      <c r="E147" s="2"/>
      <c r="F147" s="2"/>
      <c r="G147" s="2"/>
      <c r="H147" s="24" t="n">
        <f aca="false">H59*($C$30+(INDEX(Assumptions!$F$44:$F$46,MATCH($C59,Assumptions!$A$44:$A$46,0))-$C$30)*MIN(1,H$45/$C$29))</f>
        <v>0</v>
      </c>
      <c r="I147" s="24" t="n">
        <f aca="false">I59*($C$30+(INDEX(Assumptions!$F$44:$F$46,MATCH($C59,Assumptions!$A$44:$A$46,0))-$C$30)*MIN(1,I$45/$C$29))</f>
        <v>0</v>
      </c>
      <c r="J147" s="24" t="n">
        <f aca="false">J59*($C$30+(INDEX(Assumptions!$F$44:$F$46,MATCH($C59,Assumptions!$A$44:$A$46,0))-$C$30)*MIN(1,J$45/$C$29))</f>
        <v>0</v>
      </c>
      <c r="K147" s="24" t="n">
        <f aca="false">K59*($C$30+(INDEX(Assumptions!$F$44:$F$46,MATCH($C59,Assumptions!$A$44:$A$46,0))-$C$30)*MIN(1,K$45/$C$29))</f>
        <v>0</v>
      </c>
      <c r="L147" s="24" t="n">
        <f aca="false">L59*($C$30+(INDEX(Assumptions!$F$44:$F$46,MATCH($C59,Assumptions!$A$44:$A$46,0))-$C$30)*MIN(1,L$45/$C$29))</f>
        <v>0</v>
      </c>
      <c r="M147" s="24" t="n">
        <f aca="false">M59*($C$30+(INDEX(Assumptions!$F$44:$F$46,MATCH($C59,Assumptions!$A$44:$A$46,0))-$C$30)*MIN(1,M$45/$C$29))</f>
        <v>0</v>
      </c>
      <c r="N147" s="24" t="n">
        <f aca="false">N59*($C$30+(INDEX(Assumptions!$F$44:$F$46,MATCH($C59,Assumptions!$A$44:$A$46,0))-$C$30)*MIN(1,N$45/$C$29))</f>
        <v>7.332</v>
      </c>
      <c r="O147" s="24" t="n">
        <f aca="false">O59*($C$30+(INDEX(Assumptions!$F$44:$F$46,MATCH($C59,Assumptions!$A$44:$A$46,0))-$C$30)*MIN(1,O$45/$C$29))</f>
        <v>14.664</v>
      </c>
      <c r="P147" s="24" t="n">
        <f aca="false">P59*($C$30+(INDEX(Assumptions!$F$44:$F$46,MATCH($C59,Assumptions!$A$44:$A$46,0))-$C$30)*MIN(1,P$45/$C$29))</f>
        <v>20.774</v>
      </c>
      <c r="Q147" s="24" t="n">
        <f aca="false">Q59*($C$30+(INDEX(Assumptions!$F$44:$F$46,MATCH($C59,Assumptions!$A$44:$A$46,0))-$C$30)*MIN(1,Q$45/$C$29))</f>
        <v>24.44</v>
      </c>
      <c r="R147" s="24" t="n">
        <f aca="false">R59*($C$30+(INDEX(Assumptions!$F$44:$F$46,MATCH($C59,Assumptions!$A$44:$A$46,0))-$C$30)*MIN(1,R$45/$C$29))</f>
        <v>24.44</v>
      </c>
      <c r="S147" s="24" t="n">
        <f aca="false">S59*($C$30+(INDEX(Assumptions!$F$44:$F$46,MATCH($C59,Assumptions!$A$44:$A$46,0))-$C$30)*MIN(1,S$45/$C$29))</f>
        <v>24.44</v>
      </c>
      <c r="T147" s="24" t="n">
        <f aca="false">T59*($C$30+(INDEX(Assumptions!$F$44:$F$46,MATCH($C59,Assumptions!$A$44:$A$46,0))-$C$30)*MIN(1,T$45/$C$29))</f>
        <v>24.44</v>
      </c>
      <c r="U147" s="24" t="n">
        <f aca="false">U59*($C$30+(INDEX(Assumptions!$F$44:$F$46,MATCH($C59,Assumptions!$A$44:$A$46,0))-$C$30)*MIN(1,U$45/$C$29))</f>
        <v>24.44</v>
      </c>
      <c r="V147" s="24" t="n">
        <f aca="false">V59*($C$30+(INDEX(Assumptions!$F$44:$F$46,MATCH($C59,Assumptions!$A$44:$A$46,0))-$C$30)*MIN(1,V$45/$C$29))</f>
        <v>24.44</v>
      </c>
      <c r="W147" s="24" t="n">
        <f aca="false">W59*($C$30+(INDEX(Assumptions!$F$44:$F$46,MATCH($C59,Assumptions!$A$44:$A$46,0))-$C$30)*MIN(1,W$45/$C$29))</f>
        <v>24.44</v>
      </c>
      <c r="X147" s="24" t="n">
        <f aca="false">X59*($C$30+(INDEX(Assumptions!$F$44:$F$46,MATCH($C59,Assumptions!$A$44:$A$46,0))-$C$30)*MIN(1,X$45/$C$29))</f>
        <v>24.44</v>
      </c>
      <c r="Y147" s="24" t="n">
        <f aca="false">Y59*($C$30+(INDEX(Assumptions!$F$44:$F$46,MATCH($C59,Assumptions!$A$44:$A$46,0))-$C$30)*MIN(1,Y$45/$C$29))</f>
        <v>24.44</v>
      </c>
    </row>
    <row r="148" customFormat="false" ht="15" hidden="false" customHeight="false" outlineLevel="0" collapsed="false">
      <c r="A148" s="2" t="n">
        <f aca="false">A60</f>
        <v>13</v>
      </c>
      <c r="B148" s="2" t="str">
        <f aca="false">B60</f>
        <v>C</v>
      </c>
      <c r="C148" s="2" t="str">
        <f aca="false">C60</f>
        <v>Assured</v>
      </c>
      <c r="D148" s="2"/>
      <c r="E148" s="2"/>
      <c r="F148" s="2"/>
      <c r="G148" s="2"/>
      <c r="H148" s="24" t="n">
        <f aca="false">H60*($C$30+(INDEX(Assumptions!$F$44:$F$46,MATCH($C60,Assumptions!$A$44:$A$46,0))-$C$30)*MIN(1,H$45/$C$29))</f>
        <v>0</v>
      </c>
      <c r="I148" s="24" t="n">
        <f aca="false">I60*($C$30+(INDEX(Assumptions!$F$44:$F$46,MATCH($C60,Assumptions!$A$44:$A$46,0))-$C$30)*MIN(1,I$45/$C$29))</f>
        <v>0</v>
      </c>
      <c r="J148" s="24" t="n">
        <f aca="false">J60*($C$30+(INDEX(Assumptions!$F$44:$F$46,MATCH($C60,Assumptions!$A$44:$A$46,0))-$C$30)*MIN(1,J$45/$C$29))</f>
        <v>0</v>
      </c>
      <c r="K148" s="24" t="n">
        <f aca="false">K60*($C$30+(INDEX(Assumptions!$F$44:$F$46,MATCH($C60,Assumptions!$A$44:$A$46,0))-$C$30)*MIN(1,K$45/$C$29))</f>
        <v>0</v>
      </c>
      <c r="L148" s="24" t="n">
        <f aca="false">L60*($C$30+(INDEX(Assumptions!$F$44:$F$46,MATCH($C60,Assumptions!$A$44:$A$46,0))-$C$30)*MIN(1,L$45/$C$29))</f>
        <v>0</v>
      </c>
      <c r="M148" s="24" t="n">
        <f aca="false">M60*($C$30+(INDEX(Assumptions!$F$44:$F$46,MATCH($C60,Assumptions!$A$44:$A$46,0))-$C$30)*MIN(1,M$45/$C$29))</f>
        <v>0</v>
      </c>
      <c r="N148" s="24" t="n">
        <f aca="false">N60*($C$30+(INDEX(Assumptions!$F$44:$F$46,MATCH($C60,Assumptions!$A$44:$A$46,0))-$C$30)*MIN(1,N$45/$C$29))</f>
        <v>0</v>
      </c>
      <c r="O148" s="24" t="n">
        <f aca="false">O60*($C$30+(INDEX(Assumptions!$F$44:$F$46,MATCH($C60,Assumptions!$A$44:$A$46,0))-$C$30)*MIN(1,O$45/$C$29))</f>
        <v>7.332</v>
      </c>
      <c r="P148" s="24" t="n">
        <f aca="false">P60*($C$30+(INDEX(Assumptions!$F$44:$F$46,MATCH($C60,Assumptions!$A$44:$A$46,0))-$C$30)*MIN(1,P$45/$C$29))</f>
        <v>14.664</v>
      </c>
      <c r="Q148" s="24" t="n">
        <f aca="false">Q60*($C$30+(INDEX(Assumptions!$F$44:$F$46,MATCH($C60,Assumptions!$A$44:$A$46,0))-$C$30)*MIN(1,Q$45/$C$29))</f>
        <v>20.774</v>
      </c>
      <c r="R148" s="24" t="n">
        <f aca="false">R60*($C$30+(INDEX(Assumptions!$F$44:$F$46,MATCH($C60,Assumptions!$A$44:$A$46,0))-$C$30)*MIN(1,R$45/$C$29))</f>
        <v>24.44</v>
      </c>
      <c r="S148" s="24" t="n">
        <f aca="false">S60*($C$30+(INDEX(Assumptions!$F$44:$F$46,MATCH($C60,Assumptions!$A$44:$A$46,0))-$C$30)*MIN(1,S$45/$C$29))</f>
        <v>24.44</v>
      </c>
      <c r="T148" s="24" t="n">
        <f aca="false">T60*($C$30+(INDEX(Assumptions!$F$44:$F$46,MATCH($C60,Assumptions!$A$44:$A$46,0))-$C$30)*MIN(1,T$45/$C$29))</f>
        <v>24.44</v>
      </c>
      <c r="U148" s="24" t="n">
        <f aca="false">U60*($C$30+(INDEX(Assumptions!$F$44:$F$46,MATCH($C60,Assumptions!$A$44:$A$46,0))-$C$30)*MIN(1,U$45/$C$29))</f>
        <v>24.44</v>
      </c>
      <c r="V148" s="24" t="n">
        <f aca="false">V60*($C$30+(INDEX(Assumptions!$F$44:$F$46,MATCH($C60,Assumptions!$A$44:$A$46,0))-$C$30)*MIN(1,V$45/$C$29))</f>
        <v>24.44</v>
      </c>
      <c r="W148" s="24" t="n">
        <f aca="false">W60*($C$30+(INDEX(Assumptions!$F$44:$F$46,MATCH($C60,Assumptions!$A$44:$A$46,0))-$C$30)*MIN(1,W$45/$C$29))</f>
        <v>24.44</v>
      </c>
      <c r="X148" s="24" t="n">
        <f aca="false">X60*($C$30+(INDEX(Assumptions!$F$44:$F$46,MATCH($C60,Assumptions!$A$44:$A$46,0))-$C$30)*MIN(1,X$45/$C$29))</f>
        <v>24.44</v>
      </c>
      <c r="Y148" s="24" t="n">
        <f aca="false">Y60*($C$30+(INDEX(Assumptions!$F$44:$F$46,MATCH($C60,Assumptions!$A$44:$A$46,0))-$C$30)*MIN(1,Y$45/$C$29))</f>
        <v>24.44</v>
      </c>
    </row>
    <row r="149" customFormat="false" ht="15" hidden="false" customHeight="false" outlineLevel="0" collapsed="false">
      <c r="A149" s="2" t="n">
        <f aca="false">A61</f>
        <v>14</v>
      </c>
      <c r="B149" s="2" t="str">
        <f aca="false">B61</f>
        <v>B</v>
      </c>
      <c r="C149" s="2" t="str">
        <f aca="false">C61</f>
        <v>Connect</v>
      </c>
      <c r="D149" s="2"/>
      <c r="E149" s="2"/>
      <c r="F149" s="2"/>
      <c r="G149" s="2"/>
      <c r="H149" s="24" t="n">
        <f aca="false">H61*($C$30+(INDEX(Assumptions!$F$44:$F$46,MATCH($C61,Assumptions!$A$44:$A$46,0))-$C$30)*MIN(1,H$45/$C$29))</f>
        <v>0</v>
      </c>
      <c r="I149" s="24" t="n">
        <f aca="false">I61*($C$30+(INDEX(Assumptions!$F$44:$F$46,MATCH($C61,Assumptions!$A$44:$A$46,0))-$C$30)*MIN(1,I$45/$C$29))</f>
        <v>0</v>
      </c>
      <c r="J149" s="24" t="n">
        <f aca="false">J61*($C$30+(INDEX(Assumptions!$F$44:$F$46,MATCH($C61,Assumptions!$A$44:$A$46,0))-$C$30)*MIN(1,J$45/$C$29))</f>
        <v>0</v>
      </c>
      <c r="K149" s="24" t="n">
        <f aca="false">K61*($C$30+(INDEX(Assumptions!$F$44:$F$46,MATCH($C61,Assumptions!$A$44:$A$46,0))-$C$30)*MIN(1,K$45/$C$29))</f>
        <v>0</v>
      </c>
      <c r="L149" s="24" t="n">
        <f aca="false">L61*($C$30+(INDEX(Assumptions!$F$44:$F$46,MATCH($C61,Assumptions!$A$44:$A$46,0))-$C$30)*MIN(1,L$45/$C$29))</f>
        <v>0</v>
      </c>
      <c r="M149" s="24" t="n">
        <f aca="false">M61*($C$30+(INDEX(Assumptions!$F$44:$F$46,MATCH($C61,Assumptions!$A$44:$A$46,0))-$C$30)*MIN(1,M$45/$C$29))</f>
        <v>0</v>
      </c>
      <c r="N149" s="24" t="n">
        <f aca="false">N61*($C$30+(INDEX(Assumptions!$F$44:$F$46,MATCH($C61,Assumptions!$A$44:$A$46,0))-$C$30)*MIN(1,N$45/$C$29))</f>
        <v>0</v>
      </c>
      <c r="O149" s="24" t="n">
        <f aca="false">O61*($C$30+(INDEX(Assumptions!$F$44:$F$46,MATCH($C61,Assumptions!$A$44:$A$46,0))-$C$30)*MIN(1,O$45/$C$29))</f>
        <v>0</v>
      </c>
      <c r="P149" s="24" t="n">
        <f aca="false">P61*($C$30+(INDEX(Assumptions!$F$44:$F$46,MATCH($C61,Assumptions!$A$44:$A$46,0))-$C$30)*MIN(1,P$45/$C$29))</f>
        <v>7.74</v>
      </c>
      <c r="Q149" s="24" t="n">
        <f aca="false">Q61*($C$30+(INDEX(Assumptions!$F$44:$F$46,MATCH($C61,Assumptions!$A$44:$A$46,0))-$C$30)*MIN(1,Q$45/$C$29))</f>
        <v>15.48</v>
      </c>
      <c r="R149" s="24" t="n">
        <f aca="false">R61*($C$30+(INDEX(Assumptions!$F$44:$F$46,MATCH($C61,Assumptions!$A$44:$A$46,0))-$C$30)*MIN(1,R$45/$C$29))</f>
        <v>21.93</v>
      </c>
      <c r="S149" s="24" t="n">
        <f aca="false">S61*($C$30+(INDEX(Assumptions!$F$44:$F$46,MATCH($C61,Assumptions!$A$44:$A$46,0))-$C$30)*MIN(1,S$45/$C$29))</f>
        <v>25.8</v>
      </c>
      <c r="T149" s="24" t="n">
        <f aca="false">T61*($C$30+(INDEX(Assumptions!$F$44:$F$46,MATCH($C61,Assumptions!$A$44:$A$46,0))-$C$30)*MIN(1,T$45/$C$29))</f>
        <v>25.8</v>
      </c>
      <c r="U149" s="24" t="n">
        <f aca="false">U61*($C$30+(INDEX(Assumptions!$F$44:$F$46,MATCH($C61,Assumptions!$A$44:$A$46,0))-$C$30)*MIN(1,U$45/$C$29))</f>
        <v>25.8</v>
      </c>
      <c r="V149" s="24" t="n">
        <f aca="false">V61*($C$30+(INDEX(Assumptions!$F$44:$F$46,MATCH($C61,Assumptions!$A$44:$A$46,0))-$C$30)*MIN(1,V$45/$C$29))</f>
        <v>25.8</v>
      </c>
      <c r="W149" s="24" t="n">
        <f aca="false">W61*($C$30+(INDEX(Assumptions!$F$44:$F$46,MATCH($C61,Assumptions!$A$44:$A$46,0))-$C$30)*MIN(1,W$45/$C$29))</f>
        <v>25.8</v>
      </c>
      <c r="X149" s="24" t="n">
        <f aca="false">X61*($C$30+(INDEX(Assumptions!$F$44:$F$46,MATCH($C61,Assumptions!$A$44:$A$46,0))-$C$30)*MIN(1,X$45/$C$29))</f>
        <v>25.8</v>
      </c>
      <c r="Y149" s="24" t="n">
        <f aca="false">Y61*($C$30+(INDEX(Assumptions!$F$44:$F$46,MATCH($C61,Assumptions!$A$44:$A$46,0))-$C$30)*MIN(1,Y$45/$C$29))</f>
        <v>25.8</v>
      </c>
    </row>
    <row r="150" customFormat="false" ht="15" hidden="false" customHeight="false" outlineLevel="0" collapsed="false">
      <c r="A150" s="2" t="n">
        <f aca="false">A62</f>
        <v>15</v>
      </c>
      <c r="B150" s="2" t="str">
        <f aca="false">B62</f>
        <v>B</v>
      </c>
      <c r="C150" s="2" t="str">
        <f aca="false">C62</f>
        <v>Connect</v>
      </c>
      <c r="D150" s="2"/>
      <c r="E150" s="2"/>
      <c r="F150" s="2"/>
      <c r="G150" s="2"/>
      <c r="H150" s="24" t="n">
        <f aca="false">H62*($C$30+(INDEX(Assumptions!$F$44:$F$46,MATCH($C62,Assumptions!$A$44:$A$46,0))-$C$30)*MIN(1,H$45/$C$29))</f>
        <v>0</v>
      </c>
      <c r="I150" s="24" t="n">
        <f aca="false">I62*($C$30+(INDEX(Assumptions!$F$44:$F$46,MATCH($C62,Assumptions!$A$44:$A$46,0))-$C$30)*MIN(1,I$45/$C$29))</f>
        <v>0</v>
      </c>
      <c r="J150" s="24" t="n">
        <f aca="false">J62*($C$30+(INDEX(Assumptions!$F$44:$F$46,MATCH($C62,Assumptions!$A$44:$A$46,0))-$C$30)*MIN(1,J$45/$C$29))</f>
        <v>0</v>
      </c>
      <c r="K150" s="24" t="n">
        <f aca="false">K62*($C$30+(INDEX(Assumptions!$F$44:$F$46,MATCH($C62,Assumptions!$A$44:$A$46,0))-$C$30)*MIN(1,K$45/$C$29))</f>
        <v>0</v>
      </c>
      <c r="L150" s="24" t="n">
        <f aca="false">L62*($C$30+(INDEX(Assumptions!$F$44:$F$46,MATCH($C62,Assumptions!$A$44:$A$46,0))-$C$30)*MIN(1,L$45/$C$29))</f>
        <v>0</v>
      </c>
      <c r="M150" s="24" t="n">
        <f aca="false">M62*($C$30+(INDEX(Assumptions!$F$44:$F$46,MATCH($C62,Assumptions!$A$44:$A$46,0))-$C$30)*MIN(1,M$45/$C$29))</f>
        <v>0</v>
      </c>
      <c r="N150" s="24" t="n">
        <f aca="false">N62*($C$30+(INDEX(Assumptions!$F$44:$F$46,MATCH($C62,Assumptions!$A$44:$A$46,0))-$C$30)*MIN(1,N$45/$C$29))</f>
        <v>0</v>
      </c>
      <c r="O150" s="24" t="n">
        <f aca="false">O62*($C$30+(INDEX(Assumptions!$F$44:$F$46,MATCH($C62,Assumptions!$A$44:$A$46,0))-$C$30)*MIN(1,O$45/$C$29))</f>
        <v>0</v>
      </c>
      <c r="P150" s="24" t="n">
        <f aca="false">P62*($C$30+(INDEX(Assumptions!$F$44:$F$46,MATCH($C62,Assumptions!$A$44:$A$46,0))-$C$30)*MIN(1,P$45/$C$29))</f>
        <v>0</v>
      </c>
      <c r="Q150" s="24" t="n">
        <f aca="false">Q62*($C$30+(INDEX(Assumptions!$F$44:$F$46,MATCH($C62,Assumptions!$A$44:$A$46,0))-$C$30)*MIN(1,Q$45/$C$29))</f>
        <v>7.74</v>
      </c>
      <c r="R150" s="24" t="n">
        <f aca="false">R62*($C$30+(INDEX(Assumptions!$F$44:$F$46,MATCH($C62,Assumptions!$A$44:$A$46,0))-$C$30)*MIN(1,R$45/$C$29))</f>
        <v>15.48</v>
      </c>
      <c r="S150" s="24" t="n">
        <f aca="false">S62*($C$30+(INDEX(Assumptions!$F$44:$F$46,MATCH($C62,Assumptions!$A$44:$A$46,0))-$C$30)*MIN(1,S$45/$C$29))</f>
        <v>21.93</v>
      </c>
      <c r="T150" s="24" t="n">
        <f aca="false">T62*($C$30+(INDEX(Assumptions!$F$44:$F$46,MATCH($C62,Assumptions!$A$44:$A$46,0))-$C$30)*MIN(1,T$45/$C$29))</f>
        <v>25.8</v>
      </c>
      <c r="U150" s="24" t="n">
        <f aca="false">U62*($C$30+(INDEX(Assumptions!$F$44:$F$46,MATCH($C62,Assumptions!$A$44:$A$46,0))-$C$30)*MIN(1,U$45/$C$29))</f>
        <v>25.8</v>
      </c>
      <c r="V150" s="24" t="n">
        <f aca="false">V62*($C$30+(INDEX(Assumptions!$F$44:$F$46,MATCH($C62,Assumptions!$A$44:$A$46,0))-$C$30)*MIN(1,V$45/$C$29))</f>
        <v>25.8</v>
      </c>
      <c r="W150" s="24" t="n">
        <f aca="false">W62*($C$30+(INDEX(Assumptions!$F$44:$F$46,MATCH($C62,Assumptions!$A$44:$A$46,0))-$C$30)*MIN(1,W$45/$C$29))</f>
        <v>25.8</v>
      </c>
      <c r="X150" s="24" t="n">
        <f aca="false">X62*($C$30+(INDEX(Assumptions!$F$44:$F$46,MATCH($C62,Assumptions!$A$44:$A$46,0))-$C$30)*MIN(1,X$45/$C$29))</f>
        <v>25.8</v>
      </c>
      <c r="Y150" s="24" t="n">
        <f aca="false">Y62*($C$30+(INDEX(Assumptions!$F$44:$F$46,MATCH($C62,Assumptions!$A$44:$A$46,0))-$C$30)*MIN(1,Y$45/$C$29))</f>
        <v>25.8</v>
      </c>
    </row>
    <row r="151" customFormat="false" ht="15" hidden="false" customHeight="false" outlineLevel="0" collapsed="false">
      <c r="A151" s="2" t="n">
        <f aca="false">A63</f>
        <v>16</v>
      </c>
      <c r="B151" s="2" t="str">
        <f aca="false">B63</f>
        <v>B</v>
      </c>
      <c r="C151" s="2" t="str">
        <f aca="false">C63</f>
        <v>Connect</v>
      </c>
      <c r="D151" s="2"/>
      <c r="E151" s="2"/>
      <c r="F151" s="2"/>
      <c r="G151" s="2"/>
      <c r="H151" s="24" t="n">
        <f aca="false">H63*($C$30+(INDEX(Assumptions!$F$44:$F$46,MATCH($C63,Assumptions!$A$44:$A$46,0))-$C$30)*MIN(1,H$45/$C$29))</f>
        <v>0</v>
      </c>
      <c r="I151" s="24" t="n">
        <f aca="false">I63*($C$30+(INDEX(Assumptions!$F$44:$F$46,MATCH($C63,Assumptions!$A$44:$A$46,0))-$C$30)*MIN(1,I$45/$C$29))</f>
        <v>0</v>
      </c>
      <c r="J151" s="24" t="n">
        <f aca="false">J63*($C$30+(INDEX(Assumptions!$F$44:$F$46,MATCH($C63,Assumptions!$A$44:$A$46,0))-$C$30)*MIN(1,J$45/$C$29))</f>
        <v>0</v>
      </c>
      <c r="K151" s="24" t="n">
        <f aca="false">K63*($C$30+(INDEX(Assumptions!$F$44:$F$46,MATCH($C63,Assumptions!$A$44:$A$46,0))-$C$30)*MIN(1,K$45/$C$29))</f>
        <v>0</v>
      </c>
      <c r="L151" s="24" t="n">
        <f aca="false">L63*($C$30+(INDEX(Assumptions!$F$44:$F$46,MATCH($C63,Assumptions!$A$44:$A$46,0))-$C$30)*MIN(1,L$45/$C$29))</f>
        <v>0</v>
      </c>
      <c r="M151" s="24" t="n">
        <f aca="false">M63*($C$30+(INDEX(Assumptions!$F$44:$F$46,MATCH($C63,Assumptions!$A$44:$A$46,0))-$C$30)*MIN(1,M$45/$C$29))</f>
        <v>0</v>
      </c>
      <c r="N151" s="24" t="n">
        <f aca="false">N63*($C$30+(INDEX(Assumptions!$F$44:$F$46,MATCH($C63,Assumptions!$A$44:$A$46,0))-$C$30)*MIN(1,N$45/$C$29))</f>
        <v>0</v>
      </c>
      <c r="O151" s="24" t="n">
        <f aca="false">O63*($C$30+(INDEX(Assumptions!$F$44:$F$46,MATCH($C63,Assumptions!$A$44:$A$46,0))-$C$30)*MIN(1,O$45/$C$29))</f>
        <v>0</v>
      </c>
      <c r="P151" s="24" t="n">
        <f aca="false">P63*($C$30+(INDEX(Assumptions!$F$44:$F$46,MATCH($C63,Assumptions!$A$44:$A$46,0))-$C$30)*MIN(1,P$45/$C$29))</f>
        <v>0</v>
      </c>
      <c r="Q151" s="24" t="n">
        <f aca="false">Q63*($C$30+(INDEX(Assumptions!$F$44:$F$46,MATCH($C63,Assumptions!$A$44:$A$46,0))-$C$30)*MIN(1,Q$45/$C$29))</f>
        <v>0</v>
      </c>
      <c r="R151" s="24" t="n">
        <f aca="false">R63*($C$30+(INDEX(Assumptions!$F$44:$F$46,MATCH($C63,Assumptions!$A$44:$A$46,0))-$C$30)*MIN(1,R$45/$C$29))</f>
        <v>7.74</v>
      </c>
      <c r="S151" s="24" t="n">
        <f aca="false">S63*($C$30+(INDEX(Assumptions!$F$44:$F$46,MATCH($C63,Assumptions!$A$44:$A$46,0))-$C$30)*MIN(1,S$45/$C$29))</f>
        <v>15.48</v>
      </c>
      <c r="T151" s="24" t="n">
        <f aca="false">T63*($C$30+(INDEX(Assumptions!$F$44:$F$46,MATCH($C63,Assumptions!$A$44:$A$46,0))-$C$30)*MIN(1,T$45/$C$29))</f>
        <v>21.93</v>
      </c>
      <c r="U151" s="24" t="n">
        <f aca="false">U63*($C$30+(INDEX(Assumptions!$F$44:$F$46,MATCH($C63,Assumptions!$A$44:$A$46,0))-$C$30)*MIN(1,U$45/$C$29))</f>
        <v>25.8</v>
      </c>
      <c r="V151" s="24" t="n">
        <f aca="false">V63*($C$30+(INDEX(Assumptions!$F$44:$F$46,MATCH($C63,Assumptions!$A$44:$A$46,0))-$C$30)*MIN(1,V$45/$C$29))</f>
        <v>25.8</v>
      </c>
      <c r="W151" s="24" t="n">
        <f aca="false">W63*($C$30+(INDEX(Assumptions!$F$44:$F$46,MATCH($C63,Assumptions!$A$44:$A$46,0))-$C$30)*MIN(1,W$45/$C$29))</f>
        <v>25.8</v>
      </c>
      <c r="X151" s="24" t="n">
        <f aca="false">X63*($C$30+(INDEX(Assumptions!$F$44:$F$46,MATCH($C63,Assumptions!$A$44:$A$46,0))-$C$30)*MIN(1,X$45/$C$29))</f>
        <v>25.8</v>
      </c>
      <c r="Y151" s="24" t="n">
        <f aca="false">Y63*($C$30+(INDEX(Assumptions!$F$44:$F$46,MATCH($C63,Assumptions!$A$44:$A$46,0))-$C$30)*MIN(1,Y$45/$C$29))</f>
        <v>25.8</v>
      </c>
    </row>
    <row r="152" customFormat="false" ht="15" hidden="false" customHeight="false" outlineLevel="0" collapsed="false">
      <c r="A152" s="2" t="n">
        <f aca="false">A64</f>
        <v>17</v>
      </c>
      <c r="B152" s="2" t="str">
        <f aca="false">B64</f>
        <v>B</v>
      </c>
      <c r="C152" s="2" t="str">
        <f aca="false">C64</f>
        <v>Verified</v>
      </c>
      <c r="D152" s="2"/>
      <c r="E152" s="2"/>
      <c r="F152" s="2"/>
      <c r="G152" s="2"/>
      <c r="H152" s="24" t="n">
        <f aca="false">H64*($C$30+(INDEX(Assumptions!$F$44:$F$46,MATCH($C64,Assumptions!$A$44:$A$46,0))-$C$30)*MIN(1,H$45/$C$29))</f>
        <v>0</v>
      </c>
      <c r="I152" s="24" t="n">
        <f aca="false">I64*($C$30+(INDEX(Assumptions!$F$44:$F$46,MATCH($C64,Assumptions!$A$44:$A$46,0))-$C$30)*MIN(1,I$45/$C$29))</f>
        <v>0</v>
      </c>
      <c r="J152" s="24" t="n">
        <f aca="false">J64*($C$30+(INDEX(Assumptions!$F$44:$F$46,MATCH($C64,Assumptions!$A$44:$A$46,0))-$C$30)*MIN(1,J$45/$C$29))</f>
        <v>0</v>
      </c>
      <c r="K152" s="24" t="n">
        <f aca="false">K64*($C$30+(INDEX(Assumptions!$F$44:$F$46,MATCH($C64,Assumptions!$A$44:$A$46,0))-$C$30)*MIN(1,K$45/$C$29))</f>
        <v>0</v>
      </c>
      <c r="L152" s="24" t="n">
        <f aca="false">L64*($C$30+(INDEX(Assumptions!$F$44:$F$46,MATCH($C64,Assumptions!$A$44:$A$46,0))-$C$30)*MIN(1,L$45/$C$29))</f>
        <v>0</v>
      </c>
      <c r="M152" s="24" t="n">
        <f aca="false">M64*($C$30+(INDEX(Assumptions!$F$44:$F$46,MATCH($C64,Assumptions!$A$44:$A$46,0))-$C$30)*MIN(1,M$45/$C$29))</f>
        <v>0</v>
      </c>
      <c r="N152" s="24" t="n">
        <f aca="false">N64*($C$30+(INDEX(Assumptions!$F$44:$F$46,MATCH($C64,Assumptions!$A$44:$A$46,0))-$C$30)*MIN(1,N$45/$C$29))</f>
        <v>0</v>
      </c>
      <c r="O152" s="24" t="n">
        <f aca="false">O64*($C$30+(INDEX(Assumptions!$F$44:$F$46,MATCH($C64,Assumptions!$A$44:$A$46,0))-$C$30)*MIN(1,O$45/$C$29))</f>
        <v>0</v>
      </c>
      <c r="P152" s="24" t="n">
        <f aca="false">P64*($C$30+(INDEX(Assumptions!$F$44:$F$46,MATCH($C64,Assumptions!$A$44:$A$46,0))-$C$30)*MIN(1,P$45/$C$29))</f>
        <v>0</v>
      </c>
      <c r="Q152" s="24" t="n">
        <f aca="false">Q64*($C$30+(INDEX(Assumptions!$F$44:$F$46,MATCH($C64,Assumptions!$A$44:$A$46,0))-$C$30)*MIN(1,Q$45/$C$29))</f>
        <v>0</v>
      </c>
      <c r="R152" s="24" t="n">
        <f aca="false">R64*($C$30+(INDEX(Assumptions!$F$44:$F$46,MATCH($C64,Assumptions!$A$44:$A$46,0))-$C$30)*MIN(1,R$45/$C$29))</f>
        <v>0</v>
      </c>
      <c r="S152" s="24" t="n">
        <f aca="false">S64*($C$30+(INDEX(Assumptions!$F$44:$F$46,MATCH($C64,Assumptions!$A$44:$A$46,0))-$C$30)*MIN(1,S$45/$C$29))</f>
        <v>7.38</v>
      </c>
      <c r="T152" s="24" t="n">
        <f aca="false">T64*($C$30+(INDEX(Assumptions!$F$44:$F$46,MATCH($C64,Assumptions!$A$44:$A$46,0))-$C$30)*MIN(1,T$45/$C$29))</f>
        <v>14.76</v>
      </c>
      <c r="U152" s="24" t="n">
        <f aca="false">U64*($C$30+(INDEX(Assumptions!$F$44:$F$46,MATCH($C64,Assumptions!$A$44:$A$46,0))-$C$30)*MIN(1,U$45/$C$29))</f>
        <v>20.91</v>
      </c>
      <c r="V152" s="24" t="n">
        <f aca="false">V64*($C$30+(INDEX(Assumptions!$F$44:$F$46,MATCH($C64,Assumptions!$A$44:$A$46,0))-$C$30)*MIN(1,V$45/$C$29))</f>
        <v>24.6</v>
      </c>
      <c r="W152" s="24" t="n">
        <f aca="false">W64*($C$30+(INDEX(Assumptions!$F$44:$F$46,MATCH($C64,Assumptions!$A$44:$A$46,0))-$C$30)*MIN(1,W$45/$C$29))</f>
        <v>24.6</v>
      </c>
      <c r="X152" s="24" t="n">
        <f aca="false">X64*($C$30+(INDEX(Assumptions!$F$44:$F$46,MATCH($C64,Assumptions!$A$44:$A$46,0))-$C$30)*MIN(1,X$45/$C$29))</f>
        <v>24.6</v>
      </c>
      <c r="Y152" s="24" t="n">
        <f aca="false">Y64*($C$30+(INDEX(Assumptions!$F$44:$F$46,MATCH($C64,Assumptions!$A$44:$A$46,0))-$C$30)*MIN(1,Y$45/$C$29))</f>
        <v>24.6</v>
      </c>
    </row>
    <row r="153" customFormat="false" ht="15" hidden="false" customHeight="false" outlineLevel="0" collapsed="false">
      <c r="A153" s="2" t="n">
        <f aca="false">A65</f>
        <v>18</v>
      </c>
      <c r="B153" s="2" t="str">
        <f aca="false">B65</f>
        <v>B</v>
      </c>
      <c r="C153" s="2" t="str">
        <f aca="false">C65</f>
        <v>Verified</v>
      </c>
      <c r="D153" s="2"/>
      <c r="E153" s="2"/>
      <c r="F153" s="2"/>
      <c r="G153" s="2"/>
      <c r="H153" s="24" t="n">
        <f aca="false">H65*($C$30+(INDEX(Assumptions!$F$44:$F$46,MATCH($C65,Assumptions!$A$44:$A$46,0))-$C$30)*MIN(1,H$45/$C$29))</f>
        <v>0</v>
      </c>
      <c r="I153" s="24" t="n">
        <f aca="false">I65*($C$30+(INDEX(Assumptions!$F$44:$F$46,MATCH($C65,Assumptions!$A$44:$A$46,0))-$C$30)*MIN(1,I$45/$C$29))</f>
        <v>0</v>
      </c>
      <c r="J153" s="24" t="n">
        <f aca="false">J65*($C$30+(INDEX(Assumptions!$F$44:$F$46,MATCH($C65,Assumptions!$A$44:$A$46,0))-$C$30)*MIN(1,J$45/$C$29))</f>
        <v>0</v>
      </c>
      <c r="K153" s="24" t="n">
        <f aca="false">K65*($C$30+(INDEX(Assumptions!$F$44:$F$46,MATCH($C65,Assumptions!$A$44:$A$46,0))-$C$30)*MIN(1,K$45/$C$29))</f>
        <v>0</v>
      </c>
      <c r="L153" s="24" t="n">
        <f aca="false">L65*($C$30+(INDEX(Assumptions!$F$44:$F$46,MATCH($C65,Assumptions!$A$44:$A$46,0))-$C$30)*MIN(1,L$45/$C$29))</f>
        <v>0</v>
      </c>
      <c r="M153" s="24" t="n">
        <f aca="false">M65*($C$30+(INDEX(Assumptions!$F$44:$F$46,MATCH($C65,Assumptions!$A$44:$A$46,0))-$C$30)*MIN(1,M$45/$C$29))</f>
        <v>0</v>
      </c>
      <c r="N153" s="24" t="n">
        <f aca="false">N65*($C$30+(INDEX(Assumptions!$F$44:$F$46,MATCH($C65,Assumptions!$A$44:$A$46,0))-$C$30)*MIN(1,N$45/$C$29))</f>
        <v>0</v>
      </c>
      <c r="O153" s="24" t="n">
        <f aca="false">O65*($C$30+(INDEX(Assumptions!$F$44:$F$46,MATCH($C65,Assumptions!$A$44:$A$46,0))-$C$30)*MIN(1,O$45/$C$29))</f>
        <v>0</v>
      </c>
      <c r="P153" s="24" t="n">
        <f aca="false">P65*($C$30+(INDEX(Assumptions!$F$44:$F$46,MATCH($C65,Assumptions!$A$44:$A$46,0))-$C$30)*MIN(1,P$45/$C$29))</f>
        <v>0</v>
      </c>
      <c r="Q153" s="24" t="n">
        <f aca="false">Q65*($C$30+(INDEX(Assumptions!$F$44:$F$46,MATCH($C65,Assumptions!$A$44:$A$46,0))-$C$30)*MIN(1,Q$45/$C$29))</f>
        <v>0</v>
      </c>
      <c r="R153" s="24" t="n">
        <f aca="false">R65*($C$30+(INDEX(Assumptions!$F$44:$F$46,MATCH($C65,Assumptions!$A$44:$A$46,0))-$C$30)*MIN(1,R$45/$C$29))</f>
        <v>0</v>
      </c>
      <c r="S153" s="24" t="n">
        <f aca="false">S65*($C$30+(INDEX(Assumptions!$F$44:$F$46,MATCH($C65,Assumptions!$A$44:$A$46,0))-$C$30)*MIN(1,S$45/$C$29))</f>
        <v>0</v>
      </c>
      <c r="T153" s="24" t="n">
        <f aca="false">T65*($C$30+(INDEX(Assumptions!$F$44:$F$46,MATCH($C65,Assumptions!$A$44:$A$46,0))-$C$30)*MIN(1,T$45/$C$29))</f>
        <v>7.38</v>
      </c>
      <c r="U153" s="24" t="n">
        <f aca="false">U65*($C$30+(INDEX(Assumptions!$F$44:$F$46,MATCH($C65,Assumptions!$A$44:$A$46,0))-$C$30)*MIN(1,U$45/$C$29))</f>
        <v>14.76</v>
      </c>
      <c r="V153" s="24" t="n">
        <f aca="false">V65*($C$30+(INDEX(Assumptions!$F$44:$F$46,MATCH($C65,Assumptions!$A$44:$A$46,0))-$C$30)*MIN(1,V$45/$C$29))</f>
        <v>20.91</v>
      </c>
      <c r="W153" s="24" t="n">
        <f aca="false">W65*($C$30+(INDEX(Assumptions!$F$44:$F$46,MATCH($C65,Assumptions!$A$44:$A$46,0))-$C$30)*MIN(1,W$45/$C$29))</f>
        <v>24.6</v>
      </c>
      <c r="X153" s="24" t="n">
        <f aca="false">X65*($C$30+(INDEX(Assumptions!$F$44:$F$46,MATCH($C65,Assumptions!$A$44:$A$46,0))-$C$30)*MIN(1,X$45/$C$29))</f>
        <v>24.6</v>
      </c>
      <c r="Y153" s="24" t="n">
        <f aca="false">Y65*($C$30+(INDEX(Assumptions!$F$44:$F$46,MATCH($C65,Assumptions!$A$44:$A$46,0))-$C$30)*MIN(1,Y$45/$C$29))</f>
        <v>24.6</v>
      </c>
    </row>
    <row r="154" customFormat="false" ht="15" hidden="false" customHeight="false" outlineLevel="0" collapsed="false">
      <c r="A154" s="2" t="n">
        <f aca="false">A66</f>
        <v>19</v>
      </c>
      <c r="B154" s="2" t="str">
        <f aca="false">B66</f>
        <v>B</v>
      </c>
      <c r="C154" s="2" t="str">
        <f aca="false">C66</f>
        <v>Verified</v>
      </c>
      <c r="D154" s="2"/>
      <c r="E154" s="2"/>
      <c r="F154" s="2"/>
      <c r="G154" s="2"/>
      <c r="H154" s="24" t="n">
        <f aca="false">H66*($C$30+(INDEX(Assumptions!$F$44:$F$46,MATCH($C66,Assumptions!$A$44:$A$46,0))-$C$30)*MIN(1,H$45/$C$29))</f>
        <v>0</v>
      </c>
      <c r="I154" s="24" t="n">
        <f aca="false">I66*($C$30+(INDEX(Assumptions!$F$44:$F$46,MATCH($C66,Assumptions!$A$44:$A$46,0))-$C$30)*MIN(1,I$45/$C$29))</f>
        <v>0</v>
      </c>
      <c r="J154" s="24" t="n">
        <f aca="false">J66*($C$30+(INDEX(Assumptions!$F$44:$F$46,MATCH($C66,Assumptions!$A$44:$A$46,0))-$C$30)*MIN(1,J$45/$C$29))</f>
        <v>0</v>
      </c>
      <c r="K154" s="24" t="n">
        <f aca="false">K66*($C$30+(INDEX(Assumptions!$F$44:$F$46,MATCH($C66,Assumptions!$A$44:$A$46,0))-$C$30)*MIN(1,K$45/$C$29))</f>
        <v>0</v>
      </c>
      <c r="L154" s="24" t="n">
        <f aca="false">L66*($C$30+(INDEX(Assumptions!$F$44:$F$46,MATCH($C66,Assumptions!$A$44:$A$46,0))-$C$30)*MIN(1,L$45/$C$29))</f>
        <v>0</v>
      </c>
      <c r="M154" s="24" t="n">
        <f aca="false">M66*($C$30+(INDEX(Assumptions!$F$44:$F$46,MATCH($C66,Assumptions!$A$44:$A$46,0))-$C$30)*MIN(1,M$45/$C$29))</f>
        <v>0</v>
      </c>
      <c r="N154" s="24" t="n">
        <f aca="false">N66*($C$30+(INDEX(Assumptions!$F$44:$F$46,MATCH($C66,Assumptions!$A$44:$A$46,0))-$C$30)*MIN(1,N$45/$C$29))</f>
        <v>0</v>
      </c>
      <c r="O154" s="24" t="n">
        <f aca="false">O66*($C$30+(INDEX(Assumptions!$F$44:$F$46,MATCH($C66,Assumptions!$A$44:$A$46,0))-$C$30)*MIN(1,O$45/$C$29))</f>
        <v>0</v>
      </c>
      <c r="P154" s="24" t="n">
        <f aca="false">P66*($C$30+(INDEX(Assumptions!$F$44:$F$46,MATCH($C66,Assumptions!$A$44:$A$46,0))-$C$30)*MIN(1,P$45/$C$29))</f>
        <v>0</v>
      </c>
      <c r="Q154" s="24" t="n">
        <f aca="false">Q66*($C$30+(INDEX(Assumptions!$F$44:$F$46,MATCH($C66,Assumptions!$A$44:$A$46,0))-$C$30)*MIN(1,Q$45/$C$29))</f>
        <v>0</v>
      </c>
      <c r="R154" s="24" t="n">
        <f aca="false">R66*($C$30+(INDEX(Assumptions!$F$44:$F$46,MATCH($C66,Assumptions!$A$44:$A$46,0))-$C$30)*MIN(1,R$45/$C$29))</f>
        <v>0</v>
      </c>
      <c r="S154" s="24" t="n">
        <f aca="false">S66*($C$30+(INDEX(Assumptions!$F$44:$F$46,MATCH($C66,Assumptions!$A$44:$A$46,0))-$C$30)*MIN(1,S$45/$C$29))</f>
        <v>0</v>
      </c>
      <c r="T154" s="24" t="n">
        <f aca="false">T66*($C$30+(INDEX(Assumptions!$F$44:$F$46,MATCH($C66,Assumptions!$A$44:$A$46,0))-$C$30)*MIN(1,T$45/$C$29))</f>
        <v>0</v>
      </c>
      <c r="U154" s="24" t="n">
        <f aca="false">U66*($C$30+(INDEX(Assumptions!$F$44:$F$46,MATCH($C66,Assumptions!$A$44:$A$46,0))-$C$30)*MIN(1,U$45/$C$29))</f>
        <v>7.38</v>
      </c>
      <c r="V154" s="24" t="n">
        <f aca="false">V66*($C$30+(INDEX(Assumptions!$F$44:$F$46,MATCH($C66,Assumptions!$A$44:$A$46,0))-$C$30)*MIN(1,V$45/$C$29))</f>
        <v>14.76</v>
      </c>
      <c r="W154" s="24" t="n">
        <f aca="false">W66*($C$30+(INDEX(Assumptions!$F$44:$F$46,MATCH($C66,Assumptions!$A$44:$A$46,0))-$C$30)*MIN(1,W$45/$C$29))</f>
        <v>20.91</v>
      </c>
      <c r="X154" s="24" t="n">
        <f aca="false">X66*($C$30+(INDEX(Assumptions!$F$44:$F$46,MATCH($C66,Assumptions!$A$44:$A$46,0))-$C$30)*MIN(1,X$45/$C$29))</f>
        <v>24.6</v>
      </c>
      <c r="Y154" s="24" t="n">
        <f aca="false">Y66*($C$30+(INDEX(Assumptions!$F$44:$F$46,MATCH($C66,Assumptions!$A$44:$A$46,0))-$C$30)*MIN(1,Y$45/$C$29))</f>
        <v>24.6</v>
      </c>
    </row>
    <row r="155" customFormat="false" ht="15" hidden="false" customHeight="false" outlineLevel="0" collapsed="false">
      <c r="A155" s="2" t="n">
        <f aca="false">A67</f>
        <v>20</v>
      </c>
      <c r="B155" s="2" t="str">
        <f aca="false">B67</f>
        <v>B</v>
      </c>
      <c r="C155" s="2" t="str">
        <f aca="false">C67</f>
        <v>Verified</v>
      </c>
      <c r="D155" s="2"/>
      <c r="E155" s="2"/>
      <c r="F155" s="2"/>
      <c r="G155" s="2"/>
      <c r="H155" s="24" t="n">
        <f aca="false">H67*($C$30+(INDEX(Assumptions!$F$44:$F$46,MATCH($C67,Assumptions!$A$44:$A$46,0))-$C$30)*MIN(1,H$45/$C$29))</f>
        <v>0</v>
      </c>
      <c r="I155" s="24" t="n">
        <f aca="false">I67*($C$30+(INDEX(Assumptions!$F$44:$F$46,MATCH($C67,Assumptions!$A$44:$A$46,0))-$C$30)*MIN(1,I$45/$C$29))</f>
        <v>0</v>
      </c>
      <c r="J155" s="24" t="n">
        <f aca="false">J67*($C$30+(INDEX(Assumptions!$F$44:$F$46,MATCH($C67,Assumptions!$A$44:$A$46,0))-$C$30)*MIN(1,J$45/$C$29))</f>
        <v>0</v>
      </c>
      <c r="K155" s="24" t="n">
        <f aca="false">K67*($C$30+(INDEX(Assumptions!$F$44:$F$46,MATCH($C67,Assumptions!$A$44:$A$46,0))-$C$30)*MIN(1,K$45/$C$29))</f>
        <v>0</v>
      </c>
      <c r="L155" s="24" t="n">
        <f aca="false">L67*($C$30+(INDEX(Assumptions!$F$44:$F$46,MATCH($C67,Assumptions!$A$44:$A$46,0))-$C$30)*MIN(1,L$45/$C$29))</f>
        <v>0</v>
      </c>
      <c r="M155" s="24" t="n">
        <f aca="false">M67*($C$30+(INDEX(Assumptions!$F$44:$F$46,MATCH($C67,Assumptions!$A$44:$A$46,0))-$C$30)*MIN(1,M$45/$C$29))</f>
        <v>0</v>
      </c>
      <c r="N155" s="24" t="n">
        <f aca="false">N67*($C$30+(INDEX(Assumptions!$F$44:$F$46,MATCH($C67,Assumptions!$A$44:$A$46,0))-$C$30)*MIN(1,N$45/$C$29))</f>
        <v>0</v>
      </c>
      <c r="O155" s="24" t="n">
        <f aca="false">O67*($C$30+(INDEX(Assumptions!$F$44:$F$46,MATCH($C67,Assumptions!$A$44:$A$46,0))-$C$30)*MIN(1,O$45/$C$29))</f>
        <v>0</v>
      </c>
      <c r="P155" s="24" t="n">
        <f aca="false">P67*($C$30+(INDEX(Assumptions!$F$44:$F$46,MATCH($C67,Assumptions!$A$44:$A$46,0))-$C$30)*MIN(1,P$45/$C$29))</f>
        <v>0</v>
      </c>
      <c r="Q155" s="24" t="n">
        <f aca="false">Q67*($C$30+(INDEX(Assumptions!$F$44:$F$46,MATCH($C67,Assumptions!$A$44:$A$46,0))-$C$30)*MIN(1,Q$45/$C$29))</f>
        <v>0</v>
      </c>
      <c r="R155" s="24" t="n">
        <f aca="false">R67*($C$30+(INDEX(Assumptions!$F$44:$F$46,MATCH($C67,Assumptions!$A$44:$A$46,0))-$C$30)*MIN(1,R$45/$C$29))</f>
        <v>0</v>
      </c>
      <c r="S155" s="24" t="n">
        <f aca="false">S67*($C$30+(INDEX(Assumptions!$F$44:$F$46,MATCH($C67,Assumptions!$A$44:$A$46,0))-$C$30)*MIN(1,S$45/$C$29))</f>
        <v>0</v>
      </c>
      <c r="T155" s="24" t="n">
        <f aca="false">T67*($C$30+(INDEX(Assumptions!$F$44:$F$46,MATCH($C67,Assumptions!$A$44:$A$46,0))-$C$30)*MIN(1,T$45/$C$29))</f>
        <v>0</v>
      </c>
      <c r="U155" s="24" t="n">
        <f aca="false">U67*($C$30+(INDEX(Assumptions!$F$44:$F$46,MATCH($C67,Assumptions!$A$44:$A$46,0))-$C$30)*MIN(1,U$45/$C$29))</f>
        <v>7.38</v>
      </c>
      <c r="V155" s="24" t="n">
        <f aca="false">V67*($C$30+(INDEX(Assumptions!$F$44:$F$46,MATCH($C67,Assumptions!$A$44:$A$46,0))-$C$30)*MIN(1,V$45/$C$29))</f>
        <v>14.76</v>
      </c>
      <c r="W155" s="24" t="n">
        <f aca="false">W67*($C$30+(INDEX(Assumptions!$F$44:$F$46,MATCH($C67,Assumptions!$A$44:$A$46,0))-$C$30)*MIN(1,W$45/$C$29))</f>
        <v>20.91</v>
      </c>
      <c r="X155" s="24" t="n">
        <f aca="false">X67*($C$30+(INDEX(Assumptions!$F$44:$F$46,MATCH($C67,Assumptions!$A$44:$A$46,0))-$C$30)*MIN(1,X$45/$C$29))</f>
        <v>24.6</v>
      </c>
      <c r="Y155" s="24" t="n">
        <f aca="false">Y67*($C$30+(INDEX(Assumptions!$F$44:$F$46,MATCH($C67,Assumptions!$A$44:$A$46,0))-$C$30)*MIN(1,Y$45/$C$29))</f>
        <v>24.6</v>
      </c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" hidden="false" customHeight="false" outlineLevel="0" collapsed="false">
      <c r="A157" s="37" t="s">
        <v>203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customFormat="false" ht="15" hidden="false" customHeight="false" outlineLevel="0" collapsed="false">
      <c r="A158" s="5" t="s">
        <v>204</v>
      </c>
      <c r="B158" s="2"/>
      <c r="C158" s="2"/>
      <c r="D158" s="2"/>
      <c r="E158" s="2"/>
      <c r="F158" s="2"/>
      <c r="G158" s="2"/>
      <c r="H158" s="26" t="n">
        <f aca="false">COUNTIF($G$48:$G$67,"&lt;="&amp;H$45)</f>
        <v>4</v>
      </c>
      <c r="I158" s="26" t="n">
        <f aca="false">COUNTIF($G$48:$G$67,"&lt;="&amp;I$45)</f>
        <v>4</v>
      </c>
      <c r="J158" s="26" t="n">
        <f aca="false">COUNTIF($G$48:$G$67,"&lt;="&amp;J$45)</f>
        <v>6</v>
      </c>
      <c r="K158" s="26" t="n">
        <f aca="false">COUNTIF($G$48:$G$67,"&lt;="&amp;K$45)</f>
        <v>8</v>
      </c>
      <c r="L158" s="26" t="n">
        <f aca="false">COUNTIF($G$48:$G$67,"&lt;="&amp;L$45)</f>
        <v>9</v>
      </c>
      <c r="M158" s="26" t="n">
        <f aca="false">COUNTIF($G$48:$G$67,"&lt;="&amp;M$45)</f>
        <v>10</v>
      </c>
      <c r="N158" s="26" t="n">
        <f aca="false">COUNTIF($G$48:$G$67,"&lt;="&amp;N$45)</f>
        <v>12</v>
      </c>
      <c r="O158" s="26" t="n">
        <f aca="false">COUNTIF($G$48:$G$67,"&lt;="&amp;O$45)</f>
        <v>13</v>
      </c>
      <c r="P158" s="26" t="n">
        <f aca="false">COUNTIF($G$48:$G$67,"&lt;="&amp;P$45)</f>
        <v>14</v>
      </c>
      <c r="Q158" s="26" t="n">
        <f aca="false">COUNTIF($G$48:$G$67,"&lt;="&amp;Q$45)</f>
        <v>15</v>
      </c>
      <c r="R158" s="26" t="n">
        <f aca="false">COUNTIF($G$48:$G$67,"&lt;="&amp;R$45)</f>
        <v>16</v>
      </c>
      <c r="S158" s="26" t="n">
        <f aca="false">COUNTIF($G$48:$G$67,"&lt;="&amp;S$45)</f>
        <v>17</v>
      </c>
      <c r="T158" s="26" t="n">
        <f aca="false">COUNTIF($G$48:$G$67,"&lt;="&amp;T$45)</f>
        <v>18</v>
      </c>
      <c r="U158" s="26" t="n">
        <f aca="false">COUNTIF($G$48:$G$67,"&lt;="&amp;U$45)</f>
        <v>20</v>
      </c>
      <c r="V158" s="26" t="n">
        <f aca="false">COUNTIF($G$48:$G$67,"&lt;="&amp;V$45)</f>
        <v>20</v>
      </c>
      <c r="W158" s="26" t="n">
        <f aca="false">COUNTIF($G$48:$G$67,"&lt;="&amp;W$45)</f>
        <v>20</v>
      </c>
      <c r="X158" s="26" t="n">
        <f aca="false">COUNTIF($G$48:$G$67,"&lt;="&amp;X$45)</f>
        <v>20</v>
      </c>
      <c r="Y158" s="26" t="n">
        <f aca="false">COUNTIF($G$48:$G$67,"&lt;="&amp;Y$45)</f>
        <v>20</v>
      </c>
    </row>
    <row r="159" customFormat="false" ht="15" hidden="false" customHeight="false" outlineLevel="0" collapsed="false">
      <c r="A159" s="5" t="s">
        <v>205</v>
      </c>
      <c r="B159" s="2"/>
      <c r="C159" s="2"/>
      <c r="D159" s="2"/>
      <c r="E159" s="2"/>
      <c r="F159" s="2"/>
      <c r="G159" s="2"/>
      <c r="H159" s="26" t="n">
        <f aca="false">SUM(H48:H67)</f>
        <v>70</v>
      </c>
      <c r="I159" s="26" t="n">
        <f aca="false">SUM(I48:I67)</f>
        <v>73.3333333333333</v>
      </c>
      <c r="J159" s="26" t="n">
        <f aca="false">SUM(J48:J67)</f>
        <v>91.0666666666667</v>
      </c>
      <c r="K159" s="26" t="n">
        <f aca="false">SUM(K48:K67)</f>
        <v>123.2</v>
      </c>
      <c r="L159" s="26" t="n">
        <f aca="false">SUM(L48:L67)</f>
        <v>156.8</v>
      </c>
      <c r="M159" s="26" t="n">
        <f aca="false">SUM(M48:M67)</f>
        <v>191</v>
      </c>
      <c r="N159" s="26" t="n">
        <f aca="false">SUM(N48:N67)</f>
        <v>227.6</v>
      </c>
      <c r="O159" s="26" t="n">
        <f aca="false">SUM(O48:O67)</f>
        <v>261.1</v>
      </c>
      <c r="P159" s="26" t="n">
        <f aca="false">SUM(P48:P67)</f>
        <v>294.8</v>
      </c>
      <c r="Q159" s="26" t="n">
        <f aca="false">SUM(Q48:Q67)</f>
        <v>327.1</v>
      </c>
      <c r="R159" s="26" t="n">
        <f aca="false">SUM(R48:R67)</f>
        <v>356.5</v>
      </c>
      <c r="S159" s="26" t="n">
        <f aca="false">SUM(S48:S67)</f>
        <v>386.5</v>
      </c>
      <c r="T159" s="26" t="n">
        <f aca="false">SUM(T48:T67)</f>
        <v>416.5</v>
      </c>
      <c r="U159" s="26" t="n">
        <f aca="false">SUM(U48:U67)</f>
        <v>455.5</v>
      </c>
      <c r="V159" s="26" t="n">
        <f aca="false">SUM(V48:V67)</f>
        <v>485.5</v>
      </c>
      <c r="W159" s="26" t="n">
        <f aca="false">SUM(W48:W67)</f>
        <v>505</v>
      </c>
      <c r="X159" s="26" t="n">
        <f aca="false">SUM(X48:X67)</f>
        <v>514</v>
      </c>
      <c r="Y159" s="26" t="n">
        <f aca="false">SUM(Y48:Y67)</f>
        <v>514</v>
      </c>
    </row>
    <row r="160" customFormat="false" ht="15" hidden="false" customHeight="false" outlineLevel="0" collapsed="false">
      <c r="A160" s="5" t="s">
        <v>206</v>
      </c>
      <c r="B160" s="2"/>
      <c r="C160" s="2"/>
      <c r="D160" s="2"/>
      <c r="E160" s="2"/>
      <c r="F160" s="2"/>
      <c r="G160" s="2"/>
      <c r="H160" s="26" t="n">
        <f aca="false">H159</f>
        <v>70</v>
      </c>
      <c r="I160" s="26" t="n">
        <f aca="false">H160+I159</f>
        <v>143.333333333333</v>
      </c>
      <c r="J160" s="26" t="n">
        <f aca="false">I160+J159</f>
        <v>234.4</v>
      </c>
      <c r="K160" s="26" t="n">
        <f aca="false">J160+K159</f>
        <v>357.6</v>
      </c>
      <c r="L160" s="26" t="n">
        <f aca="false">K160+L159</f>
        <v>514.4</v>
      </c>
      <c r="M160" s="26" t="n">
        <f aca="false">L160+M159</f>
        <v>705.4</v>
      </c>
      <c r="N160" s="26" t="n">
        <f aca="false">M160+N159</f>
        <v>933</v>
      </c>
      <c r="O160" s="26" t="n">
        <f aca="false">N160+O159</f>
        <v>1194.1</v>
      </c>
      <c r="P160" s="26" t="n">
        <f aca="false">O160+P159</f>
        <v>1488.9</v>
      </c>
      <c r="Q160" s="26" t="n">
        <f aca="false">P160+Q159</f>
        <v>1816</v>
      </c>
      <c r="R160" s="26" t="n">
        <f aca="false">Q160+R159</f>
        <v>2172.5</v>
      </c>
      <c r="S160" s="26" t="n">
        <f aca="false">R160+S159</f>
        <v>2559</v>
      </c>
      <c r="T160" s="26" t="n">
        <f aca="false">S160+T159</f>
        <v>2975.5</v>
      </c>
      <c r="U160" s="26" t="n">
        <f aca="false">T160+U159</f>
        <v>3431</v>
      </c>
      <c r="V160" s="26" t="n">
        <f aca="false">U160+V159</f>
        <v>3916.5</v>
      </c>
      <c r="W160" s="26" t="n">
        <f aca="false">V160+W159</f>
        <v>4421.5</v>
      </c>
      <c r="X160" s="26" t="n">
        <f aca="false">W160+X159</f>
        <v>4935.5</v>
      </c>
      <c r="Y160" s="26" t="n">
        <f aca="false">X160+Y159</f>
        <v>5449.5</v>
      </c>
    </row>
    <row r="161" customFormat="false" ht="15" hidden="false" customHeight="false" outlineLevel="0" collapsed="false">
      <c r="A161" s="5" t="s">
        <v>207</v>
      </c>
      <c r="B161" s="2"/>
      <c r="C161" s="2"/>
      <c r="D161" s="2"/>
      <c r="E161" s="2"/>
      <c r="F161" s="2"/>
      <c r="G161" s="2"/>
      <c r="H161" s="23" t="n">
        <f aca="false">SUMPRODUCT(H48:H67,$D$48:$D$67)*$C$13</f>
        <v>595000</v>
      </c>
      <c r="I161" s="23" t="n">
        <f aca="false">SUMPRODUCT(I48:I67,$D$48:$D$67)*$C$13</f>
        <v>623333.333333333</v>
      </c>
      <c r="J161" s="23" t="n">
        <f aca="false">SUMPRODUCT(J48:J67,$D$48:$D$67)*$C$13</f>
        <v>824466.666666667</v>
      </c>
      <c r="K161" s="23" t="n">
        <f aca="false">SUMPRODUCT(K48:K67,$D$48:$D$67)*$C$13</f>
        <v>1198400</v>
      </c>
      <c r="L161" s="23" t="n">
        <f aca="false">SUMPRODUCT(L48:L67,$D$48:$D$67)*$C$13</f>
        <v>1601600</v>
      </c>
      <c r="M161" s="23" t="n">
        <f aca="false">SUMPRODUCT(M48:M67,$D$48:$D$67)*$C$13</f>
        <v>1980800</v>
      </c>
      <c r="N161" s="23" t="n">
        <f aca="false">SUMPRODUCT(N48:N67,$D$48:$D$67)*$C$13</f>
        <v>2326400</v>
      </c>
      <c r="O161" s="23" t="n">
        <f aca="false">SUMPRODUCT(O48:O67,$D$48:$D$67)*$C$13</f>
        <v>2608800</v>
      </c>
      <c r="P161" s="23" t="n">
        <f aca="false">SUMPRODUCT(P48:P67,$D$48:$D$67)*$C$13</f>
        <v>2864900</v>
      </c>
      <c r="Q161" s="23" t="n">
        <f aca="false">SUMPRODUCT(Q48:Q67,$D$48:$D$67)*$C$13</f>
        <v>3096300</v>
      </c>
      <c r="R161" s="23" t="n">
        <f aca="false">SUMPRODUCT(R48:R67,$D$48:$D$67)*$C$13</f>
        <v>3293250</v>
      </c>
      <c r="S161" s="23" t="n">
        <f aca="false">SUMPRODUCT(S48:S67,$D$48:$D$67)*$C$13</f>
        <v>3488250</v>
      </c>
      <c r="T161" s="23" t="n">
        <f aca="false">SUMPRODUCT(T48:T67,$D$48:$D$67)*$C$13</f>
        <v>3683250</v>
      </c>
      <c r="U161" s="23" t="n">
        <f aca="false">SUMPRODUCT(U48:U67,$D$48:$D$67)*$C$13</f>
        <v>3936750</v>
      </c>
      <c r="V161" s="23" t="n">
        <f aca="false">SUMPRODUCT(V48:V67,$D$48:$D$67)*$C$13</f>
        <v>4131750</v>
      </c>
      <c r="W161" s="23" t="n">
        <f aca="false">SUMPRODUCT(W48:W67,$D$48:$D$67)*$C$13</f>
        <v>4258500</v>
      </c>
      <c r="X161" s="23" t="n">
        <f aca="false">SUMPRODUCT(X48:X67,$D$48:$D$67)*$C$13</f>
        <v>4317000</v>
      </c>
      <c r="Y161" s="23" t="n">
        <f aca="false">SUMPRODUCT(Y48:Y67,$D$48:$D$67)*$C$13</f>
        <v>4317000</v>
      </c>
    </row>
    <row r="162" customFormat="false" ht="15" hidden="false" customHeight="false" outlineLevel="0" collapsed="false">
      <c r="A162" s="5" t="s">
        <v>208</v>
      </c>
      <c r="B162" s="2"/>
      <c r="C162" s="2"/>
      <c r="D162" s="2"/>
      <c r="E162" s="2"/>
      <c r="F162" s="2"/>
      <c r="G162" s="2"/>
      <c r="H162" s="23" t="n">
        <f aca="false">SUM(H70:H89)</f>
        <v>188912.5</v>
      </c>
      <c r="I162" s="23" t="n">
        <f aca="false">SUM(I70:I89)</f>
        <v>197908.333333333</v>
      </c>
      <c r="J162" s="23" t="n">
        <f aca="false">SUM(J70:J89)</f>
        <v>261768.166666667</v>
      </c>
      <c r="K162" s="23" t="n">
        <f aca="false">SUM(K70:K89)</f>
        <v>380492</v>
      </c>
      <c r="L162" s="23" t="n">
        <f aca="false">SUM(L70:L89)</f>
        <v>508508</v>
      </c>
      <c r="M162" s="23" t="n">
        <f aca="false">SUM(M70:M89)</f>
        <v>628904</v>
      </c>
      <c r="N162" s="23" t="n">
        <f aca="false">SUM(N70:N89)</f>
        <v>738632</v>
      </c>
      <c r="O162" s="23" t="n">
        <f aca="false">SUM(O70:O89)</f>
        <v>828294</v>
      </c>
      <c r="P162" s="23" t="n">
        <f aca="false">SUM(P70:P89)</f>
        <v>907712</v>
      </c>
      <c r="Q162" s="23" t="n">
        <f aca="false">SUM(Q70:Q89)</f>
        <v>965394</v>
      </c>
      <c r="R162" s="23" t="n">
        <f aca="false">SUM(R70:R89)</f>
        <v>1000560</v>
      </c>
      <c r="S162" s="23" t="n">
        <f aca="false">SUM(S70:S89)</f>
        <v>1022010</v>
      </c>
      <c r="T162" s="23" t="n">
        <f aca="false">SUM(T70:T89)</f>
        <v>1049310</v>
      </c>
      <c r="U162" s="23" t="n">
        <f aca="false">SUM(U70:U89)</f>
        <v>1092015</v>
      </c>
      <c r="V162" s="23" t="n">
        <f aca="false">SUM(V70:V89)</f>
        <v>1127115</v>
      </c>
      <c r="W162" s="23" t="n">
        <f aca="false">SUM(W70:W89)</f>
        <v>1149930</v>
      </c>
      <c r="X162" s="23" t="n">
        <f aca="false">SUM(X70:X89)</f>
        <v>1160460</v>
      </c>
      <c r="Y162" s="23" t="n">
        <f aca="false">SUM(Y70:Y89)</f>
        <v>1160460</v>
      </c>
    </row>
    <row r="163" customFormat="false" ht="15" hidden="false" customHeight="false" outlineLevel="0" collapsed="false">
      <c r="A163" s="5" t="s">
        <v>209</v>
      </c>
      <c r="B163" s="2"/>
      <c r="C163" s="2"/>
      <c r="D163" s="2"/>
      <c r="E163" s="2"/>
      <c r="F163" s="2"/>
      <c r="G163" s="2"/>
      <c r="H163" s="28" t="n">
        <f aca="false">IF(H161=0,0,H162/H161)</f>
        <v>0.3175</v>
      </c>
      <c r="I163" s="28" t="n">
        <f aca="false">IF(I161=0,0,I162/I161)</f>
        <v>0.3175</v>
      </c>
      <c r="J163" s="28" t="n">
        <f aca="false">IF(J161=0,0,J162/J161)</f>
        <v>0.3175</v>
      </c>
      <c r="K163" s="28" t="n">
        <f aca="false">IF(K161=0,0,K162/K161)</f>
        <v>0.3175</v>
      </c>
      <c r="L163" s="28" t="n">
        <f aca="false">IF(L161=0,0,L162/L161)</f>
        <v>0.3175</v>
      </c>
      <c r="M163" s="28" t="n">
        <f aca="false">IF(M161=0,0,M162/M161)</f>
        <v>0.3175</v>
      </c>
      <c r="N163" s="28" t="n">
        <f aca="false">IF(N161=0,0,N162/N161)</f>
        <v>0.3175</v>
      </c>
      <c r="O163" s="28" t="n">
        <f aca="false">IF(O161=0,0,O162/O161)</f>
        <v>0.3175</v>
      </c>
      <c r="P163" s="28" t="n">
        <f aca="false">IF(P161=0,0,P162/P161)</f>
        <v>0.316838982163426</v>
      </c>
      <c r="Q163" s="28" t="n">
        <f aca="false">IF(Q161=0,0,Q162/Q161)</f>
        <v>0.311789555275652</v>
      </c>
      <c r="R163" s="28" t="n">
        <f aca="false">IF(R161=0,0,R162/R161)</f>
        <v>0.303821452971988</v>
      </c>
      <c r="S163" s="28" t="n">
        <f aca="false">IF(S161=0,0,S162/S161)</f>
        <v>0.292986454525908</v>
      </c>
      <c r="T163" s="28" t="n">
        <f aca="false">IF(T161=0,0,T162/T161)</f>
        <v>0.284886988393403</v>
      </c>
      <c r="U163" s="28" t="n">
        <f aca="false">IF(U161=0,0,U162/U161)</f>
        <v>0.277389979043627</v>
      </c>
      <c r="V163" s="28" t="n">
        <f aca="false">IF(V161=0,0,V162/V161)</f>
        <v>0.272793610455618</v>
      </c>
      <c r="W163" s="28" t="n">
        <f aca="false">IF(W161=0,0,W162/W161)</f>
        <v>0.270031701303276</v>
      </c>
      <c r="X163" s="28" t="n">
        <f aca="false">IF(X161=0,0,X162/X161)</f>
        <v>0.268811674774149</v>
      </c>
      <c r="Y163" s="28" t="n">
        <f aca="false">IF(Y161=0,0,Y162/Y161)</f>
        <v>0.268811674774149</v>
      </c>
    </row>
    <row r="164" customFormat="false" ht="15" hidden="false" customHeight="false" outlineLevel="0" collapsed="false">
      <c r="A164" s="5" t="s">
        <v>210</v>
      </c>
      <c r="B164" s="2"/>
      <c r="C164" s="2"/>
      <c r="D164" s="2"/>
      <c r="E164" s="2"/>
      <c r="F164" s="2"/>
      <c r="G164" s="2"/>
      <c r="H164" s="23" t="n">
        <f aca="false">SUM(H92:H111)</f>
        <v>94500</v>
      </c>
      <c r="I164" s="23" t="n">
        <f aca="false">SUM(I92:I111)</f>
        <v>99000</v>
      </c>
      <c r="J164" s="23" t="n">
        <f aca="false">SUM(J92:J111)</f>
        <v>122940</v>
      </c>
      <c r="K164" s="23" t="n">
        <f aca="false">SUM(K92:K111)</f>
        <v>166320</v>
      </c>
      <c r="L164" s="23" t="n">
        <f aca="false">SUM(L92:L111)</f>
        <v>211680</v>
      </c>
      <c r="M164" s="23" t="n">
        <f aca="false">SUM(M92:M111)</f>
        <v>257850</v>
      </c>
      <c r="N164" s="23" t="n">
        <f aca="false">SUM(N92:N111)</f>
        <v>307260</v>
      </c>
      <c r="O164" s="23" t="n">
        <f aca="false">SUM(O92:O111)</f>
        <v>352485</v>
      </c>
      <c r="P164" s="23" t="n">
        <f aca="false">SUM(P92:P111)</f>
        <v>389430</v>
      </c>
      <c r="Q164" s="23" t="n">
        <f aca="false">SUM(Q92:Q111)</f>
        <v>370920</v>
      </c>
      <c r="R164" s="23" t="n">
        <f aca="false">SUM(R92:R111)</f>
        <v>385800</v>
      </c>
      <c r="S164" s="23" t="n">
        <f aca="false">SUM(S92:S111)</f>
        <v>399600</v>
      </c>
      <c r="T164" s="23" t="n">
        <f aca="false">SUM(T92:T111)</f>
        <v>415200</v>
      </c>
      <c r="U164" s="23" t="n">
        <f aca="false">SUM(U92:U111)</f>
        <v>437700</v>
      </c>
      <c r="V164" s="23" t="n">
        <f aca="false">SUM(V92:V111)</f>
        <v>455700</v>
      </c>
      <c r="W164" s="23" t="n">
        <f aca="false">SUM(W92:W111)</f>
        <v>467400</v>
      </c>
      <c r="X164" s="23" t="n">
        <f aca="false">SUM(X92:X111)</f>
        <v>472800</v>
      </c>
      <c r="Y164" s="23" t="n">
        <f aca="false">SUM(Y92:Y111)</f>
        <v>472800</v>
      </c>
    </row>
    <row r="165" customFormat="false" ht="15" hidden="false" customHeight="false" outlineLevel="0" collapsed="false">
      <c r="A165" s="5" t="s">
        <v>211</v>
      </c>
      <c r="B165" s="2"/>
      <c r="C165" s="2"/>
      <c r="D165" s="2"/>
      <c r="E165" s="2"/>
      <c r="F165" s="2"/>
      <c r="G165" s="2"/>
      <c r="H165" s="23" t="n">
        <f aca="false">H162-H164</f>
        <v>94412.5</v>
      </c>
      <c r="I165" s="23" t="n">
        <f aca="false">I162-I164</f>
        <v>98908.3333333333</v>
      </c>
      <c r="J165" s="23" t="n">
        <f aca="false">J162-J164</f>
        <v>138828.166666667</v>
      </c>
      <c r="K165" s="23" t="n">
        <f aca="false">K162-K164</f>
        <v>214172</v>
      </c>
      <c r="L165" s="23" t="n">
        <f aca="false">L162-L164</f>
        <v>296828</v>
      </c>
      <c r="M165" s="23" t="n">
        <f aca="false">M162-M164</f>
        <v>371054</v>
      </c>
      <c r="N165" s="23" t="n">
        <f aca="false">N162-N164</f>
        <v>431372</v>
      </c>
      <c r="O165" s="23" t="n">
        <f aca="false">O162-O164</f>
        <v>475809</v>
      </c>
      <c r="P165" s="23" t="n">
        <f aca="false">P162-P164</f>
        <v>518282</v>
      </c>
      <c r="Q165" s="23" t="n">
        <f aca="false">Q162-Q164</f>
        <v>594474</v>
      </c>
      <c r="R165" s="23" t="n">
        <f aca="false">R162-R164</f>
        <v>614760</v>
      </c>
      <c r="S165" s="23" t="n">
        <f aca="false">S162-S164</f>
        <v>622410</v>
      </c>
      <c r="T165" s="23" t="n">
        <f aca="false">T162-T164</f>
        <v>634110</v>
      </c>
      <c r="U165" s="23" t="n">
        <f aca="false">U162-U164</f>
        <v>654315</v>
      </c>
      <c r="V165" s="23" t="n">
        <f aca="false">V162-V164</f>
        <v>671415</v>
      </c>
      <c r="W165" s="23" t="n">
        <f aca="false">W162-W164</f>
        <v>682530</v>
      </c>
      <c r="X165" s="23" t="n">
        <f aca="false">X162-X164</f>
        <v>687660</v>
      </c>
      <c r="Y165" s="23" t="n">
        <f aca="false">Y162-Y164</f>
        <v>687660</v>
      </c>
    </row>
    <row r="166" customFormat="false" ht="15" hidden="false" customHeight="false" outlineLevel="0" collapsed="false">
      <c r="A166" s="5" t="s">
        <v>212</v>
      </c>
      <c r="B166" s="2"/>
      <c r="C166" s="2"/>
      <c r="D166" s="2"/>
      <c r="E166" s="2"/>
      <c r="F166" s="2"/>
      <c r="G166" s="2"/>
      <c r="H166" s="23" t="n">
        <f aca="false">IF(H159=0,0,H165/H159)</f>
        <v>1348.75</v>
      </c>
      <c r="I166" s="23" t="n">
        <f aca="false">IF(I159=0,0,I165/I159)</f>
        <v>1348.75</v>
      </c>
      <c r="J166" s="23" t="n">
        <f aca="false">IF(J159=0,0,J165/J159)</f>
        <v>1524.46742313324</v>
      </c>
      <c r="K166" s="23" t="n">
        <f aca="false">IF(K159=0,0,K165/K159)</f>
        <v>1738.40909090909</v>
      </c>
      <c r="L166" s="23" t="n">
        <f aca="false">IF(L159=0,0,L165/L159)</f>
        <v>1893.03571428571</v>
      </c>
      <c r="M166" s="23" t="n">
        <f aca="false">IF(M159=0,0,M165/M159)</f>
        <v>1942.69109947644</v>
      </c>
      <c r="N166" s="23" t="n">
        <f aca="false">IF(N159=0,0,N165/N159)</f>
        <v>1895.30755711775</v>
      </c>
      <c r="O166" s="23" t="n">
        <f aca="false">IF(O159=0,0,O165/O159)</f>
        <v>1822.32477977786</v>
      </c>
      <c r="P166" s="23" t="n">
        <f aca="false">IF(P159=0,0,P165/P159)</f>
        <v>1758.08005427408</v>
      </c>
      <c r="Q166" s="23" t="n">
        <f aca="false">IF(Q159=0,0,Q165/Q159)</f>
        <v>1817.40752063589</v>
      </c>
      <c r="R166" s="23" t="n">
        <f aca="false">IF(R159=0,0,R165/R159)</f>
        <v>1724.43197755961</v>
      </c>
      <c r="S166" s="23" t="n">
        <f aca="false">IF(S159=0,0,S165/S159)</f>
        <v>1610.37516170763</v>
      </c>
      <c r="T166" s="23" t="n">
        <f aca="false">IF(T159=0,0,T165/T159)</f>
        <v>1522.47298919568</v>
      </c>
      <c r="U166" s="23" t="n">
        <f aca="false">IF(U159=0,0,U165/U159)</f>
        <v>1436.47639956092</v>
      </c>
      <c r="V166" s="23" t="n">
        <f aca="false">IF(V159=0,0,V165/V159)</f>
        <v>1382.9351184346</v>
      </c>
      <c r="W166" s="23" t="n">
        <f aca="false">IF(W159=0,0,W165/W159)</f>
        <v>1351.54455445545</v>
      </c>
      <c r="X166" s="23" t="n">
        <f aca="false">IF(X159=0,0,X165/X159)</f>
        <v>1337.85992217899</v>
      </c>
      <c r="Y166" s="23" t="n">
        <f aca="false">IF(Y159=0,0,Y165/Y159)</f>
        <v>1337.85992217899</v>
      </c>
    </row>
    <row r="167" customFormat="false" ht="15" hidden="false" customHeight="false" outlineLevel="0" collapsed="false">
      <c r="A167" s="5" t="s">
        <v>213</v>
      </c>
      <c r="B167" s="2"/>
      <c r="C167" s="2"/>
      <c r="D167" s="2"/>
      <c r="E167" s="2"/>
      <c r="F167" s="2"/>
      <c r="G167" s="2"/>
      <c r="H167" s="23" t="n">
        <f aca="false">($C$17+IF(H$45&gt;=$C$19,$C$18,0)+$C$20*((H$45&gt;=$C$21+$C$15)+(H$45&gt;=$C$22+$C$15)+(H$45&gt;=$C$23+$C$15)*(H$45&lt;$C$40)))*$C$16</f>
        <v>360000</v>
      </c>
      <c r="I167" s="23" t="n">
        <f aca="false">($C$17+IF(I$45&gt;=$C$19,$C$18,0)+$C$20*((I$45&gt;=$C$21+$C$15)+(I$45&gt;=$C$22+$C$15)+(I$45&gt;=$C$23+$C$15)*(I$45&lt;$C$40)))*$C$16</f>
        <v>450000</v>
      </c>
      <c r="J167" s="23" t="n">
        <f aca="false">($C$17+IF(J$45&gt;=$C$19,$C$18,0)+$C$20*((J$45&gt;=$C$21+$C$15)+(J$45&gt;=$C$22+$C$15)+(J$45&gt;=$C$23+$C$15)*(J$45&lt;$C$40)))*$C$16</f>
        <v>450000</v>
      </c>
      <c r="K167" s="23" t="n">
        <f aca="false">($C$17+IF(K$45&gt;=$C$19,$C$18,0)+$C$20*((K$45&gt;=$C$21+$C$15)+(K$45&gt;=$C$22+$C$15)+(K$45&gt;=$C$23+$C$15)*(K$45&lt;$C$40)))*$C$16</f>
        <v>450000</v>
      </c>
      <c r="L167" s="23" t="n">
        <f aca="false">($C$17+IF(L$45&gt;=$C$19,$C$18,0)+$C$20*((L$45&gt;=$C$21+$C$15)+(L$45&gt;=$C$22+$C$15)+(L$45&gt;=$C$23+$C$15)*(L$45&lt;$C$40)))*$C$16</f>
        <v>500000</v>
      </c>
      <c r="M167" s="23" t="n">
        <f aca="false">($C$17+IF(M$45&gt;=$C$19,$C$18,0)+$C$20*((M$45&gt;=$C$21+$C$15)+(M$45&gt;=$C$22+$C$15)+(M$45&gt;=$C$23+$C$15)*(M$45&lt;$C$40)))*$C$16</f>
        <v>500000</v>
      </c>
      <c r="N167" s="23" t="n">
        <f aca="false">($C$17+IF(N$45&gt;=$C$19,$C$18,0)+$C$20*((N$45&gt;=$C$21+$C$15)+(N$45&gt;=$C$22+$C$15)+(N$45&gt;=$C$23+$C$15)*(N$45&lt;$C$40)))*$C$16</f>
        <v>500000</v>
      </c>
      <c r="O167" s="23" t="n">
        <f aca="false">($C$17+IF(O$45&gt;=$C$19,$C$18,0)+$C$20*((O$45&gt;=$C$21+$C$15)+(O$45&gt;=$C$22+$C$15)+(O$45&gt;=$C$23+$C$15)*(O$45&lt;$C$40)))*$C$16</f>
        <v>550000</v>
      </c>
      <c r="P167" s="23" t="n">
        <f aca="false">($C$17+IF(P$45&gt;=$C$19,$C$18,0)+$C$20*((P$45&gt;=$C$21+$C$15)+(P$45&gt;=$C$22+$C$15)+(P$45&gt;=$C$23+$C$15)*(P$45&lt;$C$40)))*$C$16</f>
        <v>550000</v>
      </c>
      <c r="Q167" s="23" t="n">
        <f aca="false">($C$17+IF(Q$45&gt;=$C$19,$C$18,0)+$C$20*((Q$45&gt;=$C$21+$C$15)+(Q$45&gt;=$C$22+$C$15)+(Q$45&gt;=$C$23+$C$15)*(Q$45&lt;$C$40)))*$C$16</f>
        <v>550000</v>
      </c>
      <c r="R167" s="23" t="n">
        <f aca="false">($C$17+IF(R$45&gt;=$C$19,$C$18,0)+$C$20*((R$45&gt;=$C$21+$C$15)+(R$45&gt;=$C$22+$C$15)+(R$45&gt;=$C$23+$C$15)*(R$45&lt;$C$40)))*$C$16</f>
        <v>550000</v>
      </c>
      <c r="S167" s="23" t="n">
        <f aca="false">($C$17+IF(S$45&gt;=$C$19,$C$18,0)+$C$20*((S$45&gt;=$C$21+$C$15)+(S$45&gt;=$C$22+$C$15)+(S$45&gt;=$C$23+$C$15)*(S$45&lt;$C$40)))*$C$16</f>
        <v>550000</v>
      </c>
      <c r="T167" s="23" t="n">
        <f aca="false">($C$17+IF(T$45&gt;=$C$19,$C$18,0)+$C$20*((T$45&gt;=$C$21+$C$15)+(T$45&gt;=$C$22+$C$15)+(T$45&gt;=$C$23+$C$15)*(T$45&lt;$C$40)))*$C$16</f>
        <v>550000</v>
      </c>
      <c r="U167" s="23" t="n">
        <f aca="false">($C$17+IF(U$45&gt;=$C$19,$C$18,0)+$C$20*((U$45&gt;=$C$21+$C$15)+(U$45&gt;=$C$22+$C$15)+(U$45&gt;=$C$23+$C$15)*(U$45&lt;$C$40)))*$C$16</f>
        <v>550000</v>
      </c>
      <c r="V167" s="23" t="n">
        <f aca="false">($C$17+IF(V$45&gt;=$C$19,$C$18,0)+$C$20*((V$45&gt;=$C$21+$C$15)+(V$45&gt;=$C$22+$C$15)+(V$45&gt;=$C$23+$C$15)*(V$45&lt;$C$40)))*$C$16</f>
        <v>550000</v>
      </c>
      <c r="W167" s="23" t="n">
        <f aca="false">($C$17+IF(W$45&gt;=$C$19,$C$18,0)+$C$20*((W$45&gt;=$C$21+$C$15)+(W$45&gt;=$C$22+$C$15)+(W$45&gt;=$C$23+$C$15)*(W$45&lt;$C$40)))*$C$16</f>
        <v>550000</v>
      </c>
      <c r="X167" s="23" t="n">
        <f aca="false">($C$17+IF(X$45&gt;=$C$19,$C$18,0)+$C$20*((X$45&gt;=$C$21+$C$15)+(X$45&gt;=$C$22+$C$15)+(X$45&gt;=$C$23+$C$15)*(X$45&lt;$C$40)))*$C$16</f>
        <v>550000</v>
      </c>
      <c r="Y167" s="23" t="n">
        <f aca="false">($C$17+IF(Y$45&gt;=$C$19,$C$18,0)+$C$20*((Y$45&gt;=$C$21+$C$15)+(Y$45&gt;=$C$22+$C$15)+(Y$45&gt;=$C$23+$C$15)*(Y$45&lt;$C$40)))*$C$16</f>
        <v>550000</v>
      </c>
    </row>
    <row r="168" customFormat="false" ht="15" hidden="false" customHeight="false" outlineLevel="0" collapsed="false">
      <c r="A168" s="5" t="s">
        <v>214</v>
      </c>
      <c r="B168" s="2"/>
      <c r="C168" s="2"/>
      <c r="D168" s="2"/>
      <c r="E168" s="2"/>
      <c r="F168" s="2"/>
      <c r="G168" s="2"/>
      <c r="H168" s="24" t="n">
        <f aca="false">H159*$C$36*(1-H175)/(1-$C$32)</f>
        <v>28.35</v>
      </c>
      <c r="I168" s="24" t="n">
        <f aca="false">I159*$C$36*(1-I175)/(1-$C$32)</f>
        <v>29.7</v>
      </c>
      <c r="J168" s="24" t="n">
        <f aca="false">J159*$C$36*(1-J175)/(1-$C$32)</f>
        <v>36.882</v>
      </c>
      <c r="K168" s="24" t="n">
        <f aca="false">K159*$C$36*(1-K175)/(1-$C$32)</f>
        <v>47.6019310344828</v>
      </c>
      <c r="L168" s="24" t="n">
        <f aca="false">L159*$C$36*(1-L175)/(1-$C$32)</f>
        <v>57.6645517241379</v>
      </c>
      <c r="M168" s="24" t="n">
        <f aca="false">M159*$C$36*(1-M175)/(1-$C$32)</f>
        <v>66.6853448275862</v>
      </c>
      <c r="N168" s="24" t="n">
        <f aca="false">N159*$C$36*(1-N175)/(1-$C$32)</f>
        <v>75.2257241379311</v>
      </c>
      <c r="O168" s="24" t="n">
        <f aca="false">O159*$C$36*(1-O175)/(1-$C$32)</f>
        <v>81.4361896551724</v>
      </c>
      <c r="P168" s="24" t="n">
        <f aca="false">P159*$C$36*(1-P175)/(1-$C$32)</f>
        <v>86.4577241379311</v>
      </c>
      <c r="Q168" s="24" t="n">
        <f aca="false">Q159*$C$36*(1-Q175)/(1-$C$32)</f>
        <v>95.9305344827587</v>
      </c>
      <c r="R168" s="24" t="n">
        <f aca="false">R159*$C$36*(1-R175)/(1-$C$32)</f>
        <v>104.552844827586</v>
      </c>
      <c r="S168" s="24" t="n">
        <f aca="false">S159*$C$36*(1-S175)/(1-$C$32)</f>
        <v>114.01026657465</v>
      </c>
      <c r="T168" s="24" t="n">
        <f aca="false">T159*$C$36*(1-T175)/(1-$C$32)</f>
        <v>124.06990066836</v>
      </c>
      <c r="U168" s="24" t="n">
        <f aca="false">U159*$C$36*(1-U175)/(1-$C$32)</f>
        <v>137.334340450742</v>
      </c>
      <c r="V168" s="24" t="n">
        <f aca="false">V159*$C$36*(1-V175)/(1-$C$32)</f>
        <v>148.490295200071</v>
      </c>
      <c r="W168" s="24" t="n">
        <f aca="false">W159*$C$36*(1-W175)/(1-$C$32)</f>
        <v>156.638532309476</v>
      </c>
      <c r="X168" s="24" t="n">
        <f aca="false">X159*$C$36*(1-X175)/(1-$C$32)</f>
        <v>162.232186305311</v>
      </c>
      <c r="Y168" s="24" t="n">
        <f aca="false">Y159*$C$36*(1-Y175)/(1-$C$32)</f>
        <v>164.183654604212</v>
      </c>
    </row>
    <row r="169" customFormat="false" ht="15" hidden="false" customHeight="false" outlineLevel="0" collapsed="false">
      <c r="A169" s="5" t="s">
        <v>215</v>
      </c>
      <c r="B169" s="2"/>
      <c r="C169" s="2"/>
      <c r="D169" s="2"/>
      <c r="E169" s="2"/>
      <c r="F169" s="2"/>
      <c r="G169" s="2"/>
      <c r="H169" s="23" t="n">
        <f aca="false">H168*$C$35*(1-$C$37)</f>
        <v>8505</v>
      </c>
      <c r="I169" s="23" t="n">
        <f aca="false">I168*$C$35*(1-$C$37)</f>
        <v>8910</v>
      </c>
      <c r="J169" s="23" t="n">
        <f aca="false">J168*$C$35*(1-$C$37)</f>
        <v>11064.6</v>
      </c>
      <c r="K169" s="23" t="n">
        <f aca="false">K168*$C$35*(1-$C$37)</f>
        <v>14280.5793103448</v>
      </c>
      <c r="L169" s="23" t="n">
        <f aca="false">L168*$C$35*(1-$C$37)</f>
        <v>17299.3655172414</v>
      </c>
      <c r="M169" s="23" t="n">
        <f aca="false">M168*$C$35*(1-$C$37)</f>
        <v>20005.6034482759</v>
      </c>
      <c r="N169" s="23" t="n">
        <f aca="false">N168*$C$35*(1-$C$37)</f>
        <v>22567.7172413793</v>
      </c>
      <c r="O169" s="23" t="n">
        <f aca="false">O168*$C$35*(1-$C$37)</f>
        <v>24430.8568965517</v>
      </c>
      <c r="P169" s="23" t="n">
        <f aca="false">P168*$C$35*(1-$C$37)</f>
        <v>25937.3172413793</v>
      </c>
      <c r="Q169" s="23" t="n">
        <f aca="false">Q168*$C$35*(1-$C$37)</f>
        <v>28779.1603448276</v>
      </c>
      <c r="R169" s="23" t="n">
        <f aca="false">R168*$C$35*(1-$C$37)</f>
        <v>31365.8534482759</v>
      </c>
      <c r="S169" s="23" t="n">
        <f aca="false">S168*$C$35*(1-$C$37)</f>
        <v>34203.0799723951</v>
      </c>
      <c r="T169" s="23" t="n">
        <f aca="false">T168*$C$35*(1-$C$37)</f>
        <v>37220.9702005081</v>
      </c>
      <c r="U169" s="23" t="n">
        <f aca="false">U168*$C$35*(1-$C$37)</f>
        <v>41200.3021352227</v>
      </c>
      <c r="V169" s="23" t="n">
        <f aca="false">V168*$C$35*(1-$C$37)</f>
        <v>44547.0885600214</v>
      </c>
      <c r="W169" s="23" t="n">
        <f aca="false">W168*$C$35*(1-$C$37)</f>
        <v>46991.5596928427</v>
      </c>
      <c r="X169" s="23" t="n">
        <f aca="false">X168*$C$35*(1-$C$37)</f>
        <v>48669.6558915932</v>
      </c>
      <c r="Y169" s="23" t="n">
        <f aca="false">Y168*$C$35*(1-$C$37)</f>
        <v>49255.0963812635</v>
      </c>
    </row>
    <row r="170" customFormat="false" ht="15" hidden="false" customHeight="false" outlineLevel="0" collapsed="false">
      <c r="A170" s="5" t="s">
        <v>216</v>
      </c>
      <c r="B170" s="2"/>
      <c r="C170" s="2"/>
      <c r="D170" s="2"/>
      <c r="E170" s="2"/>
      <c r="F170" s="2"/>
      <c r="G170" s="2"/>
      <c r="H170" s="23" t="n">
        <f aca="false">H165-H167-H169</f>
        <v>-274092.5</v>
      </c>
      <c r="I170" s="23" t="n">
        <f aca="false">I165-I167-I169</f>
        <v>-360001.666666667</v>
      </c>
      <c r="J170" s="23" t="n">
        <f aca="false">J165-J167-J169</f>
        <v>-322236.433333333</v>
      </c>
      <c r="K170" s="23" t="n">
        <f aca="false">K165-K167-K169</f>
        <v>-250108.579310345</v>
      </c>
      <c r="L170" s="23" t="n">
        <f aca="false">L165-L167-L169</f>
        <v>-220471.365517241</v>
      </c>
      <c r="M170" s="23" t="n">
        <f aca="false">M165-M167-M169</f>
        <v>-148951.603448276</v>
      </c>
      <c r="N170" s="23" t="n">
        <f aca="false">N165-N167-N169</f>
        <v>-91195.7172413792</v>
      </c>
      <c r="O170" s="23" t="n">
        <f aca="false">O165-O167-O169</f>
        <v>-98621.8568965516</v>
      </c>
      <c r="P170" s="23" t="n">
        <f aca="false">P165-P167-P169</f>
        <v>-57655.3172413792</v>
      </c>
      <c r="Q170" s="23" t="n">
        <f aca="false">Q165-Q167-Q169</f>
        <v>15694.8396551725</v>
      </c>
      <c r="R170" s="23" t="n">
        <f aca="false">R165-R167-R169</f>
        <v>33394.1465517243</v>
      </c>
      <c r="S170" s="23" t="n">
        <f aca="false">S165-S167-S169</f>
        <v>38206.9200276051</v>
      </c>
      <c r="T170" s="23" t="n">
        <f aca="false">T165-T167-T169</f>
        <v>46889.0297994919</v>
      </c>
      <c r="U170" s="23" t="n">
        <f aca="false">U165-U167-U169</f>
        <v>63114.6978647773</v>
      </c>
      <c r="V170" s="23" t="n">
        <f aca="false">V165-V167-V169</f>
        <v>76867.9114399786</v>
      </c>
      <c r="W170" s="23" t="n">
        <f aca="false">W165-W167-W169</f>
        <v>85538.4403071574</v>
      </c>
      <c r="X170" s="23" t="n">
        <f aca="false">X165-X167-X169</f>
        <v>88990.3441084068</v>
      </c>
      <c r="Y170" s="23" t="n">
        <f aca="false">Y165-Y167-Y169</f>
        <v>88404.9036187365</v>
      </c>
    </row>
    <row r="171" customFormat="false" ht="15" hidden="false" customHeight="false" outlineLevel="0" collapsed="false">
      <c r="A171" s="5" t="s">
        <v>217</v>
      </c>
      <c r="B171" s="2"/>
      <c r="C171" s="2"/>
      <c r="D171" s="2"/>
      <c r="E171" s="2"/>
      <c r="F171" s="2"/>
      <c r="G171" s="2"/>
      <c r="H171" s="23" t="n">
        <f aca="false">SUM(H114:H133)</f>
        <v>240000</v>
      </c>
      <c r="I171" s="23" t="n">
        <f aca="false">SUM(I114:I133)</f>
        <v>240000</v>
      </c>
      <c r="J171" s="23" t="n">
        <f aca="false">SUM(J114:J133)</f>
        <v>240000</v>
      </c>
      <c r="K171" s="23" t="n">
        <f aca="false">SUM(K114:K133)</f>
        <v>120000</v>
      </c>
      <c r="L171" s="23" t="n">
        <f aca="false">SUM(L114:L133)</f>
        <v>120000</v>
      </c>
      <c r="M171" s="23" t="n">
        <f aca="false">SUM(M114:M133)</f>
        <v>240000</v>
      </c>
      <c r="N171" s="23" t="n">
        <f aca="false">SUM(N114:N133)</f>
        <v>120000</v>
      </c>
      <c r="O171" s="23" t="n">
        <f aca="false">SUM(O114:O133)</f>
        <v>70000</v>
      </c>
      <c r="P171" s="23" t="n">
        <f aca="false">SUM(P114:P133)</f>
        <v>70000</v>
      </c>
      <c r="Q171" s="23" t="n">
        <f aca="false">SUM(Q114:Q133)</f>
        <v>70000</v>
      </c>
      <c r="R171" s="23" t="n">
        <f aca="false">SUM(R114:R133)</f>
        <v>45000</v>
      </c>
      <c r="S171" s="23" t="n">
        <f aca="false">SUM(S114:S133)</f>
        <v>45000</v>
      </c>
      <c r="T171" s="23" t="n">
        <f aca="false">SUM(T114:T133)</f>
        <v>90000</v>
      </c>
      <c r="U171" s="23" t="n">
        <f aca="false">SUM(U114:U133)</f>
        <v>0</v>
      </c>
      <c r="V171" s="23" t="n">
        <f aca="false">SUM(V114:V133)</f>
        <v>0</v>
      </c>
      <c r="W171" s="23" t="n">
        <f aca="false">SUM(W114:W133)</f>
        <v>0</v>
      </c>
      <c r="X171" s="23" t="n">
        <f aca="false">SUM(X114:X133)</f>
        <v>0</v>
      </c>
      <c r="Y171" s="23" t="n">
        <f aca="false">SUM(Y114:Y133)</f>
        <v>0</v>
      </c>
    </row>
    <row r="172" customFormat="false" ht="15" hidden="false" customHeight="false" outlineLevel="0" collapsed="false">
      <c r="A172" s="5" t="s">
        <v>218</v>
      </c>
      <c r="B172" s="2"/>
      <c r="C172" s="2"/>
      <c r="D172" s="2"/>
      <c r="E172" s="2"/>
      <c r="F172" s="2"/>
      <c r="G172" s="2"/>
      <c r="H172" s="23" t="n">
        <f aca="false">H170-H171</f>
        <v>-514092.5</v>
      </c>
      <c r="I172" s="23" t="n">
        <f aca="false">I170-I171</f>
        <v>-600001.666666667</v>
      </c>
      <c r="J172" s="23" t="n">
        <f aca="false">J170-J171</f>
        <v>-562236.433333333</v>
      </c>
      <c r="K172" s="23" t="n">
        <f aca="false">K170-K171</f>
        <v>-370108.579310345</v>
      </c>
      <c r="L172" s="23" t="n">
        <f aca="false">L170-L171</f>
        <v>-340471.365517241</v>
      </c>
      <c r="M172" s="23" t="n">
        <f aca="false">M170-M171</f>
        <v>-388951.603448276</v>
      </c>
      <c r="N172" s="23" t="n">
        <f aca="false">N170-N171</f>
        <v>-211195.717241379</v>
      </c>
      <c r="O172" s="23" t="n">
        <f aca="false">O170-O171</f>
        <v>-168621.856896552</v>
      </c>
      <c r="P172" s="23" t="n">
        <f aca="false">P170-P171</f>
        <v>-127655.317241379</v>
      </c>
      <c r="Q172" s="23" t="n">
        <f aca="false">Q170-Q171</f>
        <v>-54305.1603448275</v>
      </c>
      <c r="R172" s="23" t="n">
        <f aca="false">R170-R171</f>
        <v>-11605.8534482758</v>
      </c>
      <c r="S172" s="23" t="n">
        <f aca="false">S170-S171</f>
        <v>-6793.07997239495</v>
      </c>
      <c r="T172" s="23" t="n">
        <f aca="false">T170-T171</f>
        <v>-43110.9702005081</v>
      </c>
      <c r="U172" s="23" t="n">
        <f aca="false">U170-U171</f>
        <v>63114.6978647773</v>
      </c>
      <c r="V172" s="23" t="n">
        <f aca="false">V170-V171</f>
        <v>76867.9114399786</v>
      </c>
      <c r="W172" s="23" t="n">
        <f aca="false">W170-W171</f>
        <v>85538.4403071574</v>
      </c>
      <c r="X172" s="23" t="n">
        <f aca="false">X170-X171</f>
        <v>88990.3441084068</v>
      </c>
      <c r="Y172" s="23" t="n">
        <f aca="false">Y170-Y171</f>
        <v>88404.9036187365</v>
      </c>
    </row>
    <row r="173" customFormat="false" ht="15" hidden="false" customHeight="false" outlineLevel="0" collapsed="false">
      <c r="A173" s="5" t="s">
        <v>219</v>
      </c>
      <c r="B173" s="2"/>
      <c r="C173" s="2"/>
      <c r="D173" s="2"/>
      <c r="E173" s="2"/>
      <c r="F173" s="2"/>
      <c r="G173" s="2"/>
      <c r="H173" s="23" t="n">
        <f aca="false">$C$33+H172</f>
        <v>11485907.5</v>
      </c>
      <c r="I173" s="23" t="n">
        <f aca="false">H173+I172</f>
        <v>10885905.8333333</v>
      </c>
      <c r="J173" s="23" t="n">
        <f aca="false">I173+J172</f>
        <v>10323669.4</v>
      </c>
      <c r="K173" s="23" t="n">
        <f aca="false">J173+K172</f>
        <v>9953560.82068966</v>
      </c>
      <c r="L173" s="23" t="n">
        <f aca="false">K173+L172</f>
        <v>9613089.45517241</v>
      </c>
      <c r="M173" s="23" t="n">
        <f aca="false">L173+M172</f>
        <v>9224137.85172414</v>
      </c>
      <c r="N173" s="23" t="n">
        <f aca="false">M173+N172</f>
        <v>9012942.13448276</v>
      </c>
      <c r="O173" s="23" t="n">
        <f aca="false">N173+O172</f>
        <v>8844320.27758621</v>
      </c>
      <c r="P173" s="23" t="n">
        <f aca="false">O173+P172</f>
        <v>8716664.96034483</v>
      </c>
      <c r="Q173" s="23" t="n">
        <f aca="false">P173+Q172</f>
        <v>8662359.8</v>
      </c>
      <c r="R173" s="23" t="n">
        <f aca="false">Q173+R172</f>
        <v>8650753.94655173</v>
      </c>
      <c r="S173" s="23" t="n">
        <f aca="false">R173+S172</f>
        <v>8643960.86657933</v>
      </c>
      <c r="T173" s="23" t="n">
        <f aca="false">S173+T172</f>
        <v>8600849.89637882</v>
      </c>
      <c r="U173" s="23" t="n">
        <f aca="false">T173+U172</f>
        <v>8663964.5942436</v>
      </c>
      <c r="V173" s="23" t="n">
        <f aca="false">U173+V172</f>
        <v>8740832.50568358</v>
      </c>
      <c r="W173" s="23" t="n">
        <f aca="false">V173+W172</f>
        <v>8826370.94599073</v>
      </c>
      <c r="X173" s="23" t="n">
        <f aca="false">W173+X172</f>
        <v>8915361.29009914</v>
      </c>
      <c r="Y173" s="23" t="n">
        <f aca="false">X173+Y172</f>
        <v>9003766.19371788</v>
      </c>
    </row>
    <row r="174" customFormat="false" ht="15" hidden="false" customHeight="false" outlineLevel="0" collapsed="false">
      <c r="A174" s="5" t="s">
        <v>220</v>
      </c>
      <c r="B174" s="2"/>
      <c r="C174" s="2"/>
      <c r="D174" s="2"/>
      <c r="E174" s="2"/>
      <c r="F174" s="2"/>
      <c r="G174" s="2"/>
      <c r="H174" s="28" t="n">
        <f aca="false">IF(H159=0,0,SUM(H136:H155)/H159)</f>
        <v>0.806666666666667</v>
      </c>
      <c r="I174" s="28" t="n">
        <f aca="false">IF(I159=0,0,SUM(I136:I155)/I159)</f>
        <v>0.833333333333333</v>
      </c>
      <c r="J174" s="28" t="n">
        <f aca="false">IF(J159=0,0,SUM(J136:J155)/J159)</f>
        <v>0.86</v>
      </c>
      <c r="K174" s="28" t="n">
        <f aca="false">IF(K159=0,0,SUM(K136:K155)/K159)</f>
        <v>0.886666666666667</v>
      </c>
      <c r="L174" s="28" t="n">
        <f aca="false">IF(L159=0,0,SUM(L136:L155)/L159)</f>
        <v>0.913333333333333</v>
      </c>
      <c r="M174" s="28" t="n">
        <f aca="false">IF(M159=0,0,SUM(M136:M155)/M159)</f>
        <v>0.94</v>
      </c>
      <c r="N174" s="28" t="n">
        <f aca="false">IF(N159=0,0,SUM(N136:N155)/N159)</f>
        <v>0.94</v>
      </c>
      <c r="O174" s="28" t="n">
        <f aca="false">IF(O159=0,0,SUM(O136:O155)/O159)</f>
        <v>0.94</v>
      </c>
      <c r="P174" s="28" t="n">
        <f aca="false">IF(P159=0,0,SUM(P136:P155)/P159)</f>
        <v>0.937557666214383</v>
      </c>
      <c r="Q174" s="28" t="n">
        <f aca="false">IF(Q159=0,0,SUM(Q136:Q155)/Q159)</f>
        <v>0.93339651482727</v>
      </c>
      <c r="R174" s="28" t="n">
        <f aca="false">IF(R159=0,0,SUM(R136:R155)/R159)</f>
        <v>0.928218793828892</v>
      </c>
      <c r="S174" s="28" t="n">
        <f aca="false">IF(S159=0,0,SUM(S136:S155)/S159)</f>
        <v>0.921992238033635</v>
      </c>
      <c r="T174" s="28" t="n">
        <f aca="false">IF(T159=0,0,SUM(T136:T155)/T159)</f>
        <v>0.915798319327731</v>
      </c>
      <c r="U174" s="28" t="n">
        <f aca="false">IF(U159=0,0,SUM(U136:U155)/U159)</f>
        <v>0.907991218441273</v>
      </c>
      <c r="V174" s="28" t="n">
        <f aca="false">IF(V159=0,0,SUM(V136:V155)/V159)</f>
        <v>0.902554067971164</v>
      </c>
      <c r="W174" s="28" t="n">
        <f aca="false">IF(W159=0,0,SUM(W136:W155)/W159)</f>
        <v>0.899366336633663</v>
      </c>
      <c r="X174" s="28" t="n">
        <f aca="false">IF(X159=0,0,SUM(X136:X155)/X159)</f>
        <v>0.897976653696498</v>
      </c>
      <c r="Y174" s="28" t="n">
        <f aca="false">IF(Y159=0,0,SUM(Y136:Y155)/Y159)</f>
        <v>0.897976653696498</v>
      </c>
    </row>
    <row r="175" customFormat="false" ht="15" hidden="false" customHeight="false" outlineLevel="0" collapsed="false">
      <c r="A175" s="5" t="s">
        <v>221</v>
      </c>
      <c r="B175" s="2"/>
      <c r="C175" s="2"/>
      <c r="D175" s="2"/>
      <c r="E175" s="2"/>
      <c r="F175" s="2"/>
      <c r="G175" s="2"/>
      <c r="H175" s="28" t="n">
        <f aca="false">$C$32</f>
        <v>0.42</v>
      </c>
      <c r="I175" s="28" t="n">
        <f aca="false">$C$32</f>
        <v>0.42</v>
      </c>
      <c r="J175" s="28" t="n">
        <f aca="false">$C$32</f>
        <v>0.42</v>
      </c>
      <c r="K175" s="28" t="n">
        <f aca="false">$C$32+$C$31*(H174-$C$30)</f>
        <v>0.446666666666667</v>
      </c>
      <c r="L175" s="28" t="n">
        <f aca="false">$C$32+$C$31*(I174-$C$30)</f>
        <v>0.473333333333333</v>
      </c>
      <c r="M175" s="28" t="n">
        <f aca="false">$C$32+$C$31*(J174-$C$30)</f>
        <v>0.5</v>
      </c>
      <c r="N175" s="28" t="n">
        <f aca="false">$C$32+$C$31*(K174-$C$30)</f>
        <v>0.526666666666666</v>
      </c>
      <c r="O175" s="28" t="n">
        <f aca="false">$C$32+$C$31*(L174-$C$30)</f>
        <v>0.553333333333333</v>
      </c>
      <c r="P175" s="28" t="n">
        <f aca="false">$C$32+$C$31*(M174-$C$30)</f>
        <v>0.58</v>
      </c>
      <c r="Q175" s="28" t="n">
        <f aca="false">$C$32+$C$31*(N174-$C$30)</f>
        <v>0.58</v>
      </c>
      <c r="R175" s="28" t="n">
        <f aca="false">$C$32+$C$31*(O174-$C$30)</f>
        <v>0.58</v>
      </c>
      <c r="S175" s="28" t="n">
        <f aca="false">$C$32+$C$31*(P174-$C$30)</f>
        <v>0.577557666214383</v>
      </c>
      <c r="T175" s="28" t="n">
        <f aca="false">$C$32+$C$31*(Q174-$C$30)</f>
        <v>0.57339651482727</v>
      </c>
      <c r="U175" s="28" t="n">
        <f aca="false">$C$32+$C$31*(R174-$C$30)</f>
        <v>0.568218793828892</v>
      </c>
      <c r="V175" s="28" t="n">
        <f aca="false">$C$32+$C$31*(S174-$C$30)</f>
        <v>0.561992238033635</v>
      </c>
      <c r="W175" s="28" t="n">
        <f aca="false">$C$32+$C$31*(T174-$C$30)</f>
        <v>0.555798319327731</v>
      </c>
      <c r="X175" s="28" t="n">
        <f aca="false">$C$32+$C$31*(U174-$C$30)</f>
        <v>0.547991218441273</v>
      </c>
      <c r="Y175" s="28" t="n">
        <f aca="false">$C$32+$C$31*(V174-$C$30)</f>
        <v>0.542554067971164</v>
      </c>
    </row>
    <row r="176" customFormat="false" ht="15" hidden="false" customHeight="false" outlineLevel="0" collapsed="false">
      <c r="A176" s="5" t="s">
        <v>222</v>
      </c>
      <c r="B176" s="2"/>
      <c r="C176" s="2"/>
      <c r="D176" s="2"/>
      <c r="E176" s="2"/>
      <c r="F176" s="2"/>
      <c r="G176" s="2"/>
      <c r="H176" s="26" t="n">
        <f aca="false">IF(H170&gt;=0,H$45,99)</f>
        <v>99</v>
      </c>
      <c r="I176" s="26" t="n">
        <f aca="false">IF(I170&gt;=0,I$45,99)</f>
        <v>99</v>
      </c>
      <c r="J176" s="26" t="n">
        <f aca="false">IF(J170&gt;=0,J$45,99)</f>
        <v>99</v>
      </c>
      <c r="K176" s="26" t="n">
        <f aca="false">IF(K170&gt;=0,K$45,99)</f>
        <v>99</v>
      </c>
      <c r="L176" s="26" t="n">
        <f aca="false">IF(L170&gt;=0,L$45,99)</f>
        <v>99</v>
      </c>
      <c r="M176" s="26" t="n">
        <f aca="false">IF(M170&gt;=0,M$45,99)</f>
        <v>99</v>
      </c>
      <c r="N176" s="26" t="n">
        <f aca="false">IF(N170&gt;=0,N$45,99)</f>
        <v>99</v>
      </c>
      <c r="O176" s="26" t="n">
        <f aca="false">IF(O170&gt;=0,O$45,99)</f>
        <v>99</v>
      </c>
      <c r="P176" s="26" t="n">
        <f aca="false">IF(P170&gt;=0,P$45,99)</f>
        <v>99</v>
      </c>
      <c r="Q176" s="26" t="n">
        <f aca="false">IF(Q170&gt;=0,Q$45,99)</f>
        <v>10</v>
      </c>
      <c r="R176" s="26" t="n">
        <f aca="false">IF(R170&gt;=0,R$45,99)</f>
        <v>11</v>
      </c>
      <c r="S176" s="26" t="n">
        <f aca="false">IF(S170&gt;=0,S$45,99)</f>
        <v>12</v>
      </c>
      <c r="T176" s="26" t="n">
        <f aca="false">IF(T170&gt;=0,T$45,99)</f>
        <v>13</v>
      </c>
      <c r="U176" s="26" t="n">
        <f aca="false">IF(U170&gt;=0,U$45,99)</f>
        <v>14</v>
      </c>
      <c r="V176" s="26" t="n">
        <f aca="false">IF(V170&gt;=0,V$45,99)</f>
        <v>15</v>
      </c>
      <c r="W176" s="26" t="n">
        <f aca="false">IF(W170&gt;=0,W$45,99)</f>
        <v>16</v>
      </c>
      <c r="X176" s="26" t="n">
        <f aca="false">IF(X170&gt;=0,X$45,99)</f>
        <v>17</v>
      </c>
      <c r="Y176" s="26" t="n">
        <f aca="false">IF(Y170&gt;=0,Y$45,99)</f>
        <v>18</v>
      </c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" hidden="false" customHeight="false" outlineLevel="0" collapsed="false">
      <c r="A178" s="37" t="s">
        <v>223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customFormat="false" ht="15" hidden="false" customHeight="false" outlineLevel="0" collapsed="false">
      <c r="A179" s="5" t="s">
        <v>224</v>
      </c>
      <c r="B179" s="2"/>
      <c r="C179" s="5" t="n">
        <f aca="false">IF(MIN(H176:Y176)=99,"Not by M18",MIN(H176:Y176))</f>
        <v>10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" hidden="false" customHeight="false" outlineLevel="0" collapsed="false">
      <c r="A180" s="5" t="s">
        <v>225</v>
      </c>
      <c r="B180" s="2"/>
      <c r="C180" s="38" t="n">
        <f aca="false">S158</f>
        <v>17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" hidden="false" customHeight="false" outlineLevel="0" collapsed="false">
      <c r="A181" s="5" t="s">
        <v>226</v>
      </c>
      <c r="B181" s="2"/>
      <c r="C181" s="38" t="n">
        <f aca="false">S160</f>
        <v>2559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" hidden="false" customHeight="false" outlineLevel="0" collapsed="false">
      <c r="A182" s="5" t="s">
        <v>227</v>
      </c>
      <c r="B182" s="2"/>
      <c r="C182" s="39" t="n">
        <f aca="false">S174</f>
        <v>0.921992238033635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" hidden="false" customHeight="false" outlineLevel="0" collapsed="false">
      <c r="A183" s="5" t="s">
        <v>228</v>
      </c>
      <c r="B183" s="2"/>
      <c r="C183" s="39" t="n">
        <f aca="false">S175</f>
        <v>0.577557666214383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" hidden="false" customHeight="false" outlineLevel="0" collapsed="false">
      <c r="A184" s="5" t="s">
        <v>229</v>
      </c>
      <c r="B184" s="2"/>
      <c r="C184" s="40" t="n">
        <f aca="false">S170</f>
        <v>38206.9200276051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" hidden="false" customHeight="false" outlineLevel="0" collapsed="false">
      <c r="A185" s="5" t="s">
        <v>230</v>
      </c>
      <c r="B185" s="2"/>
      <c r="C185" s="40" t="n">
        <f aca="false">Y170</f>
        <v>88404.9036187365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" hidden="false" customHeight="false" outlineLevel="0" collapsed="false">
      <c r="A186" s="5" t="s">
        <v>231</v>
      </c>
      <c r="B186" s="2"/>
      <c r="C186" s="38" t="n">
        <f aca="false">Y159</f>
        <v>514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" hidden="false" customHeight="false" outlineLevel="0" collapsed="false">
      <c r="A187" s="5" t="s">
        <v>232</v>
      </c>
      <c r="B187" s="2"/>
      <c r="C187" s="38" t="n">
        <f aca="false">Y160</f>
        <v>5449.5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" hidden="false" customHeight="false" outlineLevel="0" collapsed="false">
      <c r="A188" s="5" t="s">
        <v>233</v>
      </c>
      <c r="B188" s="2"/>
      <c r="C188" s="40" t="n">
        <f aca="false">Y166</f>
        <v>1337.85992217899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" hidden="false" customHeight="false" outlineLevel="0" collapsed="false">
      <c r="A189" s="5" t="s">
        <v>234</v>
      </c>
      <c r="B189" s="2"/>
      <c r="C189" s="40" t="n">
        <f aca="false">SUM(H169:Y169)</f>
        <v>515233.806282123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" hidden="false" customHeight="false" outlineLevel="0" collapsed="false">
      <c r="A190" s="5" t="s">
        <v>235</v>
      </c>
      <c r="B190" s="2"/>
      <c r="C190" s="40" t="n">
        <f aca="false">S169</f>
        <v>34203.0799723951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" hidden="false" customHeight="false" outlineLevel="0" collapsed="false">
      <c r="A191" s="5" t="s">
        <v>236</v>
      </c>
      <c r="B191" s="2"/>
      <c r="C191" s="38" t="n">
        <f aca="false">S168</f>
        <v>114.01026657465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" hidden="false" customHeight="false" outlineLevel="0" collapsed="false">
      <c r="A192" s="5" t="s">
        <v>237</v>
      </c>
      <c r="B192" s="2"/>
      <c r="C192" s="40" t="n">
        <f aca="false">$C$33-Y173</f>
        <v>2996233.80628212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" hidden="false" customHeight="false" outlineLevel="0" collapsed="false">
      <c r="A193" s="5" t="s">
        <v>238</v>
      </c>
      <c r="B193" s="2"/>
      <c r="C193" s="40" t="n">
        <f aca="false">MIN(H173:Y173)</f>
        <v>8600849.89637882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" hidden="false" customHeight="false" outlineLevel="0" collapsed="false">
      <c r="A194" s="5" t="s">
        <v>239</v>
      </c>
      <c r="B194" s="2"/>
      <c r="C194" s="40" t="n">
        <f aca="false">SUM(H171:Y171)</f>
        <v>1710000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" hidden="false" customHeight="false" outlineLevel="0" collapsed="false">
      <c r="A195" s="5" t="s">
        <v>240</v>
      </c>
      <c r="B195" s="2"/>
      <c r="C195" s="40" t="n">
        <f aca="false">MIN(H170:Y170)</f>
        <v>-360001.666666667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" hidden="false" customHeight="false" outlineLevel="0" collapsed="false">
      <c r="A196" s="5" t="s">
        <v>241</v>
      </c>
      <c r="B196" s="2"/>
      <c r="C196" s="40" t="n">
        <f aca="false">$C$33-N173</f>
        <v>2987057.86551724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" hidden="false" customHeight="false" outlineLevel="0" collapsed="false">
      <c r="A197" s="5" t="s">
        <v>242</v>
      </c>
      <c r="B197" s="2"/>
      <c r="C197" s="38" t="n">
        <f aca="false">J158</f>
        <v>6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" hidden="false" customHeight="false" outlineLevel="0" collapsed="false">
      <c r="A198" s="5" t="s">
        <v>243</v>
      </c>
      <c r="B198" s="2"/>
      <c r="C198" s="38" t="n">
        <f aca="false">J160</f>
        <v>234.4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" hidden="false" customHeight="false" outlineLevel="0" collapsed="false">
      <c r="A199" s="5" t="s">
        <v>244</v>
      </c>
      <c r="B199" s="2"/>
      <c r="C199" s="39" t="n">
        <f aca="false">J174</f>
        <v>0.86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" hidden="false" customHeight="false" outlineLevel="0" collapsed="false">
      <c r="A200" s="5" t="s">
        <v>245</v>
      </c>
      <c r="B200" s="2"/>
      <c r="C200" s="38" t="n">
        <f aca="false">M158</f>
        <v>10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" hidden="false" customHeight="false" outlineLevel="0" collapsed="false">
      <c r="A201" s="5" t="s">
        <v>246</v>
      </c>
      <c r="B201" s="2"/>
      <c r="C201" s="38" t="n">
        <f aca="false">M160</f>
        <v>705.4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" hidden="false" customHeight="false" outlineLevel="0" collapsed="false">
      <c r="A202" s="5" t="s">
        <v>247</v>
      </c>
      <c r="B202" s="2"/>
      <c r="C202" s="39" t="n">
        <f aca="false">M174</f>
        <v>0.94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" hidden="false" customHeight="false" outlineLevel="0" collapsed="false">
      <c r="A203" s="5" t="s">
        <v>248</v>
      </c>
      <c r="B203" s="2"/>
      <c r="C203" s="39" t="n">
        <f aca="false">M175</f>
        <v>0.5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" hidden="false" customHeight="false" outlineLevel="0" collapsed="false">
      <c r="A204" s="5" t="s">
        <v>249</v>
      </c>
      <c r="B204" s="2"/>
      <c r="C204" s="38" t="n">
        <f aca="false">Y158</f>
        <v>20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" hidden="false" customHeight="false" outlineLevel="0" collapsed="false">
      <c r="A205" s="5" t="s">
        <v>250</v>
      </c>
      <c r="B205" s="2"/>
      <c r="C205" s="39" t="n">
        <f aca="false">Y174</f>
        <v>0.897976653696498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" hidden="false" customHeight="false" outlineLevel="0" collapsed="false">
      <c r="A206" s="5" t="s">
        <v>251</v>
      </c>
      <c r="B206" s="2"/>
      <c r="C206" s="39" t="n">
        <f aca="false">Y175</f>
        <v>0.542554067971164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" hidden="false" customHeight="false" outlineLevel="0" collapsed="false">
      <c r="A207" s="5" t="s">
        <v>252</v>
      </c>
      <c r="B207" s="2"/>
      <c r="C207" s="40" t="n">
        <f aca="false">M170</f>
        <v>-148951.603448276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5" topLeftCell="H46" activePane="bottomRight" state="frozen"/>
      <selection pane="topLeft" activeCell="A1" activeCellId="0" sqref="A1"/>
      <selection pane="topRight" activeCell="H1" activeCellId="0" sqref="H1"/>
      <selection pane="bottomLeft" activeCell="A46" activeCellId="0" sqref="A4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25" min="3" style="0" width="12"/>
  </cols>
  <sheetData>
    <row r="1" customFormat="false" ht="17.35" hidden="false" customHeight="false" outlineLevel="0" collapsed="false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192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" hidden="false" customHeight="false" outlineLevel="0" collapsed="false">
      <c r="A5" s="5" t="s">
        <v>10</v>
      </c>
      <c r="B5" s="29" t="str">
        <f aca="false">Assumptions!B5</f>
        <v>Capture of Exhibit 2 mature volume</v>
      </c>
      <c r="C5" s="30" t="n">
        <f aca="false">Assumptions!F5</f>
        <v>0.65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" hidden="false" customHeight="false" outlineLevel="0" collapsed="false">
      <c r="A6" s="5" t="s">
        <v>14</v>
      </c>
      <c r="B6" s="29" t="str">
        <f aca="false">Assumptions!B6</f>
        <v>Ramp: share of mature volume, live month 1</v>
      </c>
      <c r="C6" s="30" t="n">
        <f aca="false">Assumptions!F6</f>
        <v>0.3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" hidden="false" customHeight="false" outlineLevel="0" collapsed="false">
      <c r="A7" s="5" t="s">
        <v>17</v>
      </c>
      <c r="B7" s="29" t="str">
        <f aca="false">Assumptions!B7</f>
        <v>Ramp: live month 2</v>
      </c>
      <c r="C7" s="30" t="n">
        <f aca="false">Assumptions!F7</f>
        <v>0.6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" hidden="false" customHeight="false" outlineLevel="0" collapsed="false">
      <c r="A8" s="5" t="s">
        <v>20</v>
      </c>
      <c r="B8" s="29" t="str">
        <f aca="false">Assumptions!B8</f>
        <v>Ramp: live month 3</v>
      </c>
      <c r="C8" s="30" t="n">
        <f aca="false">Assumptions!F8</f>
        <v>0.85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5" hidden="false" customHeight="false" outlineLevel="0" collapsed="false">
      <c r="A9" s="5" t="s">
        <v>22</v>
      </c>
      <c r="B9" s="29" t="str">
        <f aca="false">Assumptions!B9</f>
        <v>Ramp: live month 4+</v>
      </c>
      <c r="C9" s="30" t="n">
        <f aca="false">Assumptions!F9</f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15" hidden="false" customHeight="false" outlineLevel="0" collapsed="false">
      <c r="A10" s="5" t="s">
        <v>24</v>
      </c>
      <c r="B10" s="29" t="str">
        <f aca="false">Assumptions!B10</f>
        <v>Pilot host bookings/month today</v>
      </c>
      <c r="C10" s="31" t="n">
        <f aca="false">Assumptions!F10</f>
        <v>17.5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" hidden="false" customHeight="false" outlineLevel="0" collapsed="false">
      <c r="A11" s="5" t="s">
        <v>28</v>
      </c>
      <c r="B11" s="29" t="str">
        <f aca="false">Assumptions!B11</f>
        <v>Pilot host bookings/month after Assured conversion</v>
      </c>
      <c r="C11" s="31" t="n">
        <f aca="false">Assumptions!F11</f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" hidden="false" customHeight="false" outlineLevel="0" collapsed="false">
      <c r="A12" s="5" t="s">
        <v>31</v>
      </c>
      <c r="B12" s="29" t="str">
        <f aca="false">Assumptions!B12</f>
        <v>Months for pilot hosts to reach target</v>
      </c>
      <c r="C12" s="32" t="n">
        <f aca="false">Assumptions!F12</f>
        <v>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" hidden="false" customHeight="false" outlineLevel="0" collapsed="false">
      <c r="A13" s="5" t="s">
        <v>34</v>
      </c>
      <c r="B13" s="29" t="str">
        <f aca="false">Assumptions!B13</f>
        <v>Average booking value multiplier</v>
      </c>
      <c r="C13" s="33" t="n">
        <f aca="false">Assumptions!F13</f>
        <v>0.9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5" hidden="false" customHeight="false" outlineLevel="0" collapsed="false">
      <c r="A14" s="5" t="s">
        <v>38</v>
      </c>
      <c r="B14" s="29" t="str">
        <f aca="false">Assumptions!B14</f>
        <v>Bookings lost to cancellation (beyond tier on-time)</v>
      </c>
      <c r="C14" s="30" t="n">
        <f aca="false">Assumptions!F14</f>
        <v>0.05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" hidden="false" customHeight="false" outlineLevel="0" collapsed="false">
      <c r="A15" s="5" t="s">
        <v>41</v>
      </c>
      <c r="B15" s="29" t="str">
        <f aca="false">Assumptions!B15</f>
        <v>Onboarding delay for new hosts</v>
      </c>
      <c r="C15" s="32" t="n">
        <f aca="false">Assumptions!F15</f>
        <v>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5" hidden="false" customHeight="false" outlineLevel="0" collapsed="false">
      <c r="A16" s="5" t="s">
        <v>44</v>
      </c>
      <c r="B16" s="29" t="str">
        <f aca="false">Assumptions!B16</f>
        <v>Fixed cost multiplier</v>
      </c>
      <c r="C16" s="33" t="n">
        <f aca="false">Assumptions!F16</f>
        <v>1.15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5" hidden="false" customHeight="false" outlineLevel="0" collapsed="false">
      <c r="A17" s="5" t="s">
        <v>47</v>
      </c>
      <c r="B17" s="29" t="str">
        <f aca="false">Assumptions!B17</f>
        <v>Current fixed operating cost / month</v>
      </c>
      <c r="C17" s="34" t="n">
        <f aca="false">Assumptions!F17</f>
        <v>360000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5" hidden="false" customHeight="false" outlineLevel="0" collapsed="false">
      <c r="A18" s="5" t="s">
        <v>51</v>
      </c>
      <c r="B18" s="29" t="str">
        <f aca="false">Assumptions!B18</f>
        <v>Central trust &amp; quality lead (from month below)</v>
      </c>
      <c r="C18" s="34" t="n">
        <f aca="false">Assumptions!F18</f>
        <v>40000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5" hidden="false" customHeight="false" outlineLevel="0" collapsed="false">
      <c r="A19" s="5" t="s">
        <v>55</v>
      </c>
      <c r="B19" s="29" t="str">
        <f aca="false">Assumptions!B19</f>
        <v>Month central hire starts</v>
      </c>
      <c r="C19" s="32" t="n">
        <f aca="false">Assumptions!F19</f>
        <v>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5" hidden="false" customHeight="false" outlineLevel="0" collapsed="false">
      <c r="A20" s="5" t="s">
        <v>58</v>
      </c>
      <c r="B20" s="29" t="str">
        <f aca="false">Assumptions!B20</f>
        <v>Fixed cost per new city (city partner manager + local ops)</v>
      </c>
      <c r="C20" s="34" t="n">
        <f aca="false">Assumptions!F20</f>
        <v>50000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5" hidden="false" customHeight="false" outlineLevel="0" collapsed="false">
      <c r="A21" s="5" t="s">
        <v>61</v>
      </c>
      <c r="B21" s="29" t="str">
        <f aca="false">Assumptions!B21</f>
        <v>City 2 (Cluster A) cost starts</v>
      </c>
      <c r="C21" s="32" t="n">
        <f aca="false">Assumptions!F21</f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5" hidden="false" customHeight="false" outlineLevel="0" collapsed="false">
      <c r="A22" s="5" t="s">
        <v>64</v>
      </c>
      <c r="B22" s="29" t="str">
        <f aca="false">Assumptions!B22</f>
        <v>City 3 (Cluster C) cost starts</v>
      </c>
      <c r="C22" s="32" t="n">
        <f aca="false">Assumptions!F22</f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5" hidden="false" customHeight="false" outlineLevel="0" collapsed="false">
      <c r="A23" s="5" t="s">
        <v>66</v>
      </c>
      <c r="B23" s="29" t="str">
        <f aca="false">Assumptions!B23</f>
        <v>City 4 (Cluster B) cost starts</v>
      </c>
      <c r="C23" s="32" t="n">
        <f aca="false">Assumptions!F23</f>
        <v>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5" hidden="false" customHeight="false" outlineLevel="0" collapsed="false">
      <c r="A24" s="5" t="s">
        <v>68</v>
      </c>
      <c r="B24" s="29" t="str">
        <f aca="false">Assumptions!B24</f>
        <v>Assured variable cost after learning</v>
      </c>
      <c r="C24" s="34" t="n">
        <f aca="false">Assumptions!F24</f>
        <v>1200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15" hidden="false" customHeight="false" outlineLevel="0" collapsed="false">
      <c r="A25" s="5" t="s">
        <v>72</v>
      </c>
      <c r="B25" s="29" t="str">
        <f aca="false">Assumptions!B25</f>
        <v>Month learning applies from</v>
      </c>
      <c r="C25" s="32" t="n">
        <f aca="false">Assumptions!F25</f>
        <v>10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5" hidden="false" customHeight="false" outlineLevel="0" collapsed="false">
      <c r="A26" s="5" t="s">
        <v>74</v>
      </c>
      <c r="B26" s="29" t="str">
        <f aca="false">Assumptions!B26</f>
        <v>Priority SLA: share of Assured bookings</v>
      </c>
      <c r="C26" s="30" t="n">
        <f aca="false">Assumptions!F26</f>
        <v>0.15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5" hidden="false" customHeight="false" outlineLevel="0" collapsed="false">
      <c r="A27" s="5" t="s">
        <v>77</v>
      </c>
      <c r="B27" s="29" t="str">
        <f aca="false">Assumptions!B27</f>
        <v>Priority SLA: price uplift</v>
      </c>
      <c r="C27" s="30" t="n">
        <f aca="false">Assumptions!F27</f>
        <v>0.5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5" hidden="false" customHeight="false" outlineLevel="0" collapsed="false">
      <c r="A28" s="5" t="s">
        <v>80</v>
      </c>
      <c r="B28" s="29" t="str">
        <f aca="false">Assumptions!B28</f>
        <v>Priority SLA: share of uplift OpenBench keeps</v>
      </c>
      <c r="C28" s="30" t="n">
        <f aca="false">Assumptions!F28</f>
        <v>0.5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5" hidden="false" customHeight="false" outlineLevel="0" collapsed="false">
      <c r="A29" s="5" t="s">
        <v>83</v>
      </c>
      <c r="B29" s="29" t="str">
        <f aca="false">Assumptions!B29</f>
        <v>Months to roll out trust layer (on-time reaches tier level)</v>
      </c>
      <c r="C29" s="32" t="n">
        <f aca="false">Assumptions!F29</f>
        <v>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5" hidden="false" customHeight="false" outlineLevel="0" collapsed="false">
      <c r="A30" s="5" t="s">
        <v>85</v>
      </c>
      <c r="B30" s="29" t="str">
        <f aca="false">Assumptions!B30</f>
        <v>Starting on-time rate</v>
      </c>
      <c r="C30" s="30" t="n">
        <f aca="false">Assumptions!F30</f>
        <v>0.78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" hidden="false" customHeight="false" outlineLevel="0" collapsed="false">
      <c r="A31" s="5" t="s">
        <v>87</v>
      </c>
      <c r="B31" s="29" t="str">
        <f aca="false">Assumptions!B31</f>
        <v>Repeat-rate elasticity to on-time (1-quarter lag)</v>
      </c>
      <c r="C31" s="33" t="n">
        <f aca="false">Assumptions!F31</f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" hidden="false" customHeight="false" outlineLevel="0" collapsed="false">
      <c r="A32" s="5" t="s">
        <v>90</v>
      </c>
      <c r="B32" s="29" t="str">
        <f aca="false">Assumptions!B32</f>
        <v>Starting 90-day repeat rate</v>
      </c>
      <c r="C32" s="30" t="n">
        <f aca="false">Assumptions!F32</f>
        <v>0.42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" hidden="false" customHeight="false" outlineLevel="0" collapsed="false">
      <c r="A33" s="5" t="s">
        <v>92</v>
      </c>
      <c r="B33" s="29" t="str">
        <f aca="false">Assumptions!B33</f>
        <v>Investor capital</v>
      </c>
      <c r="C33" s="34" t="n">
        <f aca="false">Assumptions!F33</f>
        <v>12000000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" hidden="false" customHeight="false" outlineLevel="0" collapsed="false">
      <c r="A34" s="5" t="s">
        <v>95</v>
      </c>
      <c r="B34" s="29" t="str">
        <f aca="false">Assumptions!B34</f>
        <v>Pilot conversion cost (share of Assured onboarding)</v>
      </c>
      <c r="C34" s="30" t="n">
        <f aca="false">Assumptions!F34</f>
        <v>0.5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5" hidden="false" customHeight="false" outlineLevel="0" collapsed="false">
      <c r="A35" s="5" t="s">
        <v>98</v>
      </c>
      <c r="B35" s="29" t="str">
        <f aca="false">Assumptions!B35</f>
        <v>Customer-acquisition cost per paid-acquired customer organisation</v>
      </c>
      <c r="C35" s="34" t="n">
        <f aca="false">Assumptions!F35</f>
        <v>1500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5" hidden="false" customHeight="false" outlineLevel="0" collapsed="false">
      <c r="A36" s="5" t="s">
        <v>101</v>
      </c>
      <c r="B36" s="29" t="str">
        <f aca="false">Assumptions!B36</f>
        <v>New customer organisations per booking at pilot repeat</v>
      </c>
      <c r="C36" s="31" t="n">
        <f aca="false">Assumptions!F36</f>
        <v>0.405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5" hidden="false" customHeight="false" outlineLevel="0" collapsed="false">
      <c r="A37" s="5" t="s">
        <v>104</v>
      </c>
      <c r="B37" s="29" t="str">
        <f aca="false">Assumptions!B37</f>
        <v>Share of new customers won through free channels</v>
      </c>
      <c r="C37" s="30" t="n">
        <f aca="false">Assumptions!F37</f>
        <v>0.8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5" hidden="false" customHeight="false" outlineLevel="0" collapsed="false">
      <c r="A38" s="5" t="s">
        <v>107</v>
      </c>
      <c r="B38" s="29" t="str">
        <f aca="false">Assumptions!B38</f>
        <v>Onboarding funnel: contact → meeting</v>
      </c>
      <c r="C38" s="30" t="n">
        <f aca="false">Assumptions!F38</f>
        <v>0.3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5" hidden="false" customHeight="false" outlineLevel="0" collapsed="false">
      <c r="A39" s="5" t="s">
        <v>109</v>
      </c>
      <c r="B39" s="29" t="str">
        <f aca="false">Assumptions!B39</f>
        <v>Skip Cluster B Verified labs (1 = yes)</v>
      </c>
      <c r="C39" s="32" t="n">
        <f aca="false">Assumptions!F39</f>
        <v>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5" hidden="false" customHeight="false" outlineLevel="0" collapsed="false">
      <c r="A40" s="5" t="s">
        <v>113</v>
      </c>
      <c r="B40" s="29" t="str">
        <f aca="false">Assumptions!B40</f>
        <v>City-4 (Cluster B) cost removed from month</v>
      </c>
      <c r="C40" s="32" t="n">
        <f aca="false">Assumptions!F40</f>
        <v>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5" hidden="false" customHeight="false" outlineLevel="0" collapsed="false">
      <c r="A45" s="5" t="s">
        <v>193</v>
      </c>
      <c r="B45" s="2"/>
      <c r="C45" s="2"/>
      <c r="D45" s="2"/>
      <c r="E45" s="2"/>
      <c r="F45" s="2"/>
      <c r="G45" s="2"/>
      <c r="H45" s="35" t="n">
        <v>1</v>
      </c>
      <c r="I45" s="35" t="n">
        <v>2</v>
      </c>
      <c r="J45" s="35" t="n">
        <v>3</v>
      </c>
      <c r="K45" s="35" t="n">
        <v>4</v>
      </c>
      <c r="L45" s="35" t="n">
        <v>5</v>
      </c>
      <c r="M45" s="35" t="n">
        <v>6</v>
      </c>
      <c r="N45" s="35" t="n">
        <v>7</v>
      </c>
      <c r="O45" s="35" t="n">
        <v>8</v>
      </c>
      <c r="P45" s="35" t="n">
        <v>9</v>
      </c>
      <c r="Q45" s="35" t="n">
        <v>10</v>
      </c>
      <c r="R45" s="35" t="n">
        <v>11</v>
      </c>
      <c r="S45" s="35" t="n">
        <v>12</v>
      </c>
      <c r="T45" s="35" t="n">
        <v>13</v>
      </c>
      <c r="U45" s="35" t="n">
        <v>14</v>
      </c>
      <c r="V45" s="35" t="n">
        <v>15</v>
      </c>
      <c r="W45" s="35" t="n">
        <v>16</v>
      </c>
      <c r="X45" s="35" t="n">
        <v>17</v>
      </c>
      <c r="Y45" s="35" t="n">
        <v>18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3.85" hidden="false" customHeight="false" outlineLevel="0" collapsed="false">
      <c r="A47" s="4" t="s">
        <v>194</v>
      </c>
      <c r="B47" s="4" t="s">
        <v>131</v>
      </c>
      <c r="C47" s="4" t="s">
        <v>117</v>
      </c>
      <c r="D47" s="4" t="s">
        <v>195</v>
      </c>
      <c r="E47" s="4" t="s">
        <v>196</v>
      </c>
      <c r="F47" s="4" t="s">
        <v>197</v>
      </c>
      <c r="G47" s="4" t="s">
        <v>198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customFormat="false" ht="15" hidden="false" customHeight="false" outlineLevel="0" collapsed="false">
      <c r="A48" s="29" t="n">
        <f aca="false">Assumptions!A57</f>
        <v>1</v>
      </c>
      <c r="B48" s="29" t="str">
        <f aca="false">Assumptions!B57</f>
        <v>Pilot</v>
      </c>
      <c r="C48" s="29" t="str">
        <f aca="false">Assumptions!C57</f>
        <v>Assured</v>
      </c>
      <c r="D48" s="34" t="n">
        <f aca="false">Assumptions!D57</f>
        <v>8500</v>
      </c>
      <c r="E48" s="31" t="n">
        <f aca="false">Assumptions!E57</f>
        <v>20</v>
      </c>
      <c r="F48" s="29" t="n">
        <f aca="false">Assumptions!G57</f>
        <v>1</v>
      </c>
      <c r="G48" s="2" t="n">
        <f aca="false">Assumptions!F57+IF(F48=1,0,$C$15)</f>
        <v>1</v>
      </c>
      <c r="H48" s="24" t="n">
        <f aca="false">IF(H$45&lt;$G48,0,IF($F48=1,$C$10+($C$11-$C$10)*MIN(H$45-$G48,$C$12)/$C$12,$E48*$C$5*INDEX($C$6:$C$9,MIN(H$45-$G48,3)+1)))*(1-$C$14)*IF(AND($C48="Verified",$C$39=1),0,1)</f>
        <v>16.625</v>
      </c>
      <c r="I48" s="24" t="n">
        <f aca="false">IF(I$45&lt;$G48,0,IF($F48=1,$C$10+($C$11-$C$10)*MIN(I$45-$G48,$C$12)/$C$12,$E48*$C$5*INDEX($C$6:$C$9,MIN(I$45-$G48,3)+1)))*(1-$C$14)*IF(AND($C48="Verified",$C$39=1),0,1)</f>
        <v>17.4166666666667</v>
      </c>
      <c r="J48" s="24" t="n">
        <f aca="false">IF(J$45&lt;$G48,0,IF($F48=1,$C$10+($C$11-$C$10)*MIN(J$45-$G48,$C$12)/$C$12,$E48*$C$5*INDEX($C$6:$C$9,MIN(J$45-$G48,3)+1)))*(1-$C$14)*IF(AND($C48="Verified",$C$39=1),0,1)</f>
        <v>18.2083333333333</v>
      </c>
      <c r="K48" s="24" t="n">
        <f aca="false">IF(K$45&lt;$G48,0,IF($F48=1,$C$10+($C$11-$C$10)*MIN(K$45-$G48,$C$12)/$C$12,$E48*$C$5*INDEX($C$6:$C$9,MIN(K$45-$G48,3)+1)))*(1-$C$14)*IF(AND($C48="Verified",$C$39=1),0,1)</f>
        <v>19</v>
      </c>
      <c r="L48" s="24" t="n">
        <f aca="false">IF(L$45&lt;$G48,0,IF($F48=1,$C$10+($C$11-$C$10)*MIN(L$45-$G48,$C$12)/$C$12,$E48*$C$5*INDEX($C$6:$C$9,MIN(L$45-$G48,3)+1)))*(1-$C$14)*IF(AND($C48="Verified",$C$39=1),0,1)</f>
        <v>19</v>
      </c>
      <c r="M48" s="24" t="n">
        <f aca="false">IF(M$45&lt;$G48,0,IF($F48=1,$C$10+($C$11-$C$10)*MIN(M$45-$G48,$C$12)/$C$12,$E48*$C$5*INDEX($C$6:$C$9,MIN(M$45-$G48,3)+1)))*(1-$C$14)*IF(AND($C48="Verified",$C$39=1),0,1)</f>
        <v>19</v>
      </c>
      <c r="N48" s="24" t="n">
        <f aca="false">IF(N$45&lt;$G48,0,IF($F48=1,$C$10+($C$11-$C$10)*MIN(N$45-$G48,$C$12)/$C$12,$E48*$C$5*INDEX($C$6:$C$9,MIN(N$45-$G48,3)+1)))*(1-$C$14)*IF(AND($C48="Verified",$C$39=1),0,1)</f>
        <v>19</v>
      </c>
      <c r="O48" s="24" t="n">
        <f aca="false">IF(O$45&lt;$G48,0,IF($F48=1,$C$10+($C$11-$C$10)*MIN(O$45-$G48,$C$12)/$C$12,$E48*$C$5*INDEX($C$6:$C$9,MIN(O$45-$G48,3)+1)))*(1-$C$14)*IF(AND($C48="Verified",$C$39=1),0,1)</f>
        <v>19</v>
      </c>
      <c r="P48" s="24" t="n">
        <f aca="false">IF(P$45&lt;$G48,0,IF($F48=1,$C$10+($C$11-$C$10)*MIN(P$45-$G48,$C$12)/$C$12,$E48*$C$5*INDEX($C$6:$C$9,MIN(P$45-$G48,3)+1)))*(1-$C$14)*IF(AND($C48="Verified",$C$39=1),0,1)</f>
        <v>19</v>
      </c>
      <c r="Q48" s="24" t="n">
        <f aca="false">IF(Q$45&lt;$G48,0,IF($F48=1,$C$10+($C$11-$C$10)*MIN(Q$45-$G48,$C$12)/$C$12,$E48*$C$5*INDEX($C$6:$C$9,MIN(Q$45-$G48,3)+1)))*(1-$C$14)*IF(AND($C48="Verified",$C$39=1),0,1)</f>
        <v>19</v>
      </c>
      <c r="R48" s="24" t="n">
        <f aca="false">IF(R$45&lt;$G48,0,IF($F48=1,$C$10+($C$11-$C$10)*MIN(R$45-$G48,$C$12)/$C$12,$E48*$C$5*INDEX($C$6:$C$9,MIN(R$45-$G48,3)+1)))*(1-$C$14)*IF(AND($C48="Verified",$C$39=1),0,1)</f>
        <v>19</v>
      </c>
      <c r="S48" s="24" t="n">
        <f aca="false">IF(S$45&lt;$G48,0,IF($F48=1,$C$10+($C$11-$C$10)*MIN(S$45-$G48,$C$12)/$C$12,$E48*$C$5*INDEX($C$6:$C$9,MIN(S$45-$G48,3)+1)))*(1-$C$14)*IF(AND($C48="Verified",$C$39=1),0,1)</f>
        <v>19</v>
      </c>
      <c r="T48" s="24" t="n">
        <f aca="false">IF(T$45&lt;$G48,0,IF($F48=1,$C$10+($C$11-$C$10)*MIN(T$45-$G48,$C$12)/$C$12,$E48*$C$5*INDEX($C$6:$C$9,MIN(T$45-$G48,3)+1)))*(1-$C$14)*IF(AND($C48="Verified",$C$39=1),0,1)</f>
        <v>19</v>
      </c>
      <c r="U48" s="24" t="n">
        <f aca="false">IF(U$45&lt;$G48,0,IF($F48=1,$C$10+($C$11-$C$10)*MIN(U$45-$G48,$C$12)/$C$12,$E48*$C$5*INDEX($C$6:$C$9,MIN(U$45-$G48,3)+1)))*(1-$C$14)*IF(AND($C48="Verified",$C$39=1),0,1)</f>
        <v>19</v>
      </c>
      <c r="V48" s="24" t="n">
        <f aca="false">IF(V$45&lt;$G48,0,IF($F48=1,$C$10+($C$11-$C$10)*MIN(V$45-$G48,$C$12)/$C$12,$E48*$C$5*INDEX($C$6:$C$9,MIN(V$45-$G48,3)+1)))*(1-$C$14)*IF(AND($C48="Verified",$C$39=1),0,1)</f>
        <v>19</v>
      </c>
      <c r="W48" s="24" t="n">
        <f aca="false">IF(W$45&lt;$G48,0,IF($F48=1,$C$10+($C$11-$C$10)*MIN(W$45-$G48,$C$12)/$C$12,$E48*$C$5*INDEX($C$6:$C$9,MIN(W$45-$G48,3)+1)))*(1-$C$14)*IF(AND($C48="Verified",$C$39=1),0,1)</f>
        <v>19</v>
      </c>
      <c r="X48" s="24" t="n">
        <f aca="false">IF(X$45&lt;$G48,0,IF($F48=1,$C$10+($C$11-$C$10)*MIN(X$45-$G48,$C$12)/$C$12,$E48*$C$5*INDEX($C$6:$C$9,MIN(X$45-$G48,3)+1)))*(1-$C$14)*IF(AND($C48="Verified",$C$39=1),0,1)</f>
        <v>19</v>
      </c>
      <c r="Y48" s="24" t="n">
        <f aca="false">IF(Y$45&lt;$G48,0,IF($F48=1,$C$10+($C$11-$C$10)*MIN(Y$45-$G48,$C$12)/$C$12,$E48*$C$5*INDEX($C$6:$C$9,MIN(Y$45-$G48,3)+1)))*(1-$C$14)*IF(AND($C48="Verified",$C$39=1),0,1)</f>
        <v>19</v>
      </c>
    </row>
    <row r="49" customFormat="false" ht="15" hidden="false" customHeight="false" outlineLevel="0" collapsed="false">
      <c r="A49" s="29" t="n">
        <f aca="false">Assumptions!A58</f>
        <v>2</v>
      </c>
      <c r="B49" s="29" t="str">
        <f aca="false">Assumptions!B58</f>
        <v>Pilot</v>
      </c>
      <c r="C49" s="29" t="str">
        <f aca="false">Assumptions!C58</f>
        <v>Assured</v>
      </c>
      <c r="D49" s="34" t="n">
        <f aca="false">Assumptions!D58</f>
        <v>8500</v>
      </c>
      <c r="E49" s="31" t="n">
        <f aca="false">Assumptions!E58</f>
        <v>20</v>
      </c>
      <c r="F49" s="29" t="n">
        <f aca="false">Assumptions!G58</f>
        <v>1</v>
      </c>
      <c r="G49" s="2" t="n">
        <f aca="false">Assumptions!F58+IF(F49=1,0,$C$15)</f>
        <v>1</v>
      </c>
      <c r="H49" s="24" t="n">
        <f aca="false">IF(H$45&lt;$G49,0,IF($F49=1,$C$10+($C$11-$C$10)*MIN(H$45-$G49,$C$12)/$C$12,$E49*$C$5*INDEX($C$6:$C$9,MIN(H$45-$G49,3)+1)))*(1-$C$14)*IF(AND($C49="Verified",$C$39=1),0,1)</f>
        <v>16.625</v>
      </c>
      <c r="I49" s="24" t="n">
        <f aca="false">IF(I$45&lt;$G49,0,IF($F49=1,$C$10+($C$11-$C$10)*MIN(I$45-$G49,$C$12)/$C$12,$E49*$C$5*INDEX($C$6:$C$9,MIN(I$45-$G49,3)+1)))*(1-$C$14)*IF(AND($C49="Verified",$C$39=1),0,1)</f>
        <v>17.4166666666667</v>
      </c>
      <c r="J49" s="24" t="n">
        <f aca="false">IF(J$45&lt;$G49,0,IF($F49=1,$C$10+($C$11-$C$10)*MIN(J$45-$G49,$C$12)/$C$12,$E49*$C$5*INDEX($C$6:$C$9,MIN(J$45-$G49,3)+1)))*(1-$C$14)*IF(AND($C49="Verified",$C$39=1),0,1)</f>
        <v>18.2083333333333</v>
      </c>
      <c r="K49" s="24" t="n">
        <f aca="false">IF(K$45&lt;$G49,0,IF($F49=1,$C$10+($C$11-$C$10)*MIN(K$45-$G49,$C$12)/$C$12,$E49*$C$5*INDEX($C$6:$C$9,MIN(K$45-$G49,3)+1)))*(1-$C$14)*IF(AND($C49="Verified",$C$39=1),0,1)</f>
        <v>19</v>
      </c>
      <c r="L49" s="24" t="n">
        <f aca="false">IF(L$45&lt;$G49,0,IF($F49=1,$C$10+($C$11-$C$10)*MIN(L$45-$G49,$C$12)/$C$12,$E49*$C$5*INDEX($C$6:$C$9,MIN(L$45-$G49,3)+1)))*(1-$C$14)*IF(AND($C49="Verified",$C$39=1),0,1)</f>
        <v>19</v>
      </c>
      <c r="M49" s="24" t="n">
        <f aca="false">IF(M$45&lt;$G49,0,IF($F49=1,$C$10+($C$11-$C$10)*MIN(M$45-$G49,$C$12)/$C$12,$E49*$C$5*INDEX($C$6:$C$9,MIN(M$45-$G49,3)+1)))*(1-$C$14)*IF(AND($C49="Verified",$C$39=1),0,1)</f>
        <v>19</v>
      </c>
      <c r="N49" s="24" t="n">
        <f aca="false">IF(N$45&lt;$G49,0,IF($F49=1,$C$10+($C$11-$C$10)*MIN(N$45-$G49,$C$12)/$C$12,$E49*$C$5*INDEX($C$6:$C$9,MIN(N$45-$G49,3)+1)))*(1-$C$14)*IF(AND($C49="Verified",$C$39=1),0,1)</f>
        <v>19</v>
      </c>
      <c r="O49" s="24" t="n">
        <f aca="false">IF(O$45&lt;$G49,0,IF($F49=1,$C$10+($C$11-$C$10)*MIN(O$45-$G49,$C$12)/$C$12,$E49*$C$5*INDEX($C$6:$C$9,MIN(O$45-$G49,3)+1)))*(1-$C$14)*IF(AND($C49="Verified",$C$39=1),0,1)</f>
        <v>19</v>
      </c>
      <c r="P49" s="24" t="n">
        <f aca="false">IF(P$45&lt;$G49,0,IF($F49=1,$C$10+($C$11-$C$10)*MIN(P$45-$G49,$C$12)/$C$12,$E49*$C$5*INDEX($C$6:$C$9,MIN(P$45-$G49,3)+1)))*(1-$C$14)*IF(AND($C49="Verified",$C$39=1),0,1)</f>
        <v>19</v>
      </c>
      <c r="Q49" s="24" t="n">
        <f aca="false">IF(Q$45&lt;$G49,0,IF($F49=1,$C$10+($C$11-$C$10)*MIN(Q$45-$G49,$C$12)/$C$12,$E49*$C$5*INDEX($C$6:$C$9,MIN(Q$45-$G49,3)+1)))*(1-$C$14)*IF(AND($C49="Verified",$C$39=1),0,1)</f>
        <v>19</v>
      </c>
      <c r="R49" s="24" t="n">
        <f aca="false">IF(R$45&lt;$G49,0,IF($F49=1,$C$10+($C$11-$C$10)*MIN(R$45-$G49,$C$12)/$C$12,$E49*$C$5*INDEX($C$6:$C$9,MIN(R$45-$G49,3)+1)))*(1-$C$14)*IF(AND($C49="Verified",$C$39=1),0,1)</f>
        <v>19</v>
      </c>
      <c r="S49" s="24" t="n">
        <f aca="false">IF(S$45&lt;$G49,0,IF($F49=1,$C$10+($C$11-$C$10)*MIN(S$45-$G49,$C$12)/$C$12,$E49*$C$5*INDEX($C$6:$C$9,MIN(S$45-$G49,3)+1)))*(1-$C$14)*IF(AND($C49="Verified",$C$39=1),0,1)</f>
        <v>19</v>
      </c>
      <c r="T49" s="24" t="n">
        <f aca="false">IF(T$45&lt;$G49,0,IF($F49=1,$C$10+($C$11-$C$10)*MIN(T$45-$G49,$C$12)/$C$12,$E49*$C$5*INDEX($C$6:$C$9,MIN(T$45-$G49,3)+1)))*(1-$C$14)*IF(AND($C49="Verified",$C$39=1),0,1)</f>
        <v>19</v>
      </c>
      <c r="U49" s="24" t="n">
        <f aca="false">IF(U$45&lt;$G49,0,IF($F49=1,$C$10+($C$11-$C$10)*MIN(U$45-$G49,$C$12)/$C$12,$E49*$C$5*INDEX($C$6:$C$9,MIN(U$45-$G49,3)+1)))*(1-$C$14)*IF(AND($C49="Verified",$C$39=1),0,1)</f>
        <v>19</v>
      </c>
      <c r="V49" s="24" t="n">
        <f aca="false">IF(V$45&lt;$G49,0,IF($F49=1,$C$10+($C$11-$C$10)*MIN(V$45-$G49,$C$12)/$C$12,$E49*$C$5*INDEX($C$6:$C$9,MIN(V$45-$G49,3)+1)))*(1-$C$14)*IF(AND($C49="Verified",$C$39=1),0,1)</f>
        <v>19</v>
      </c>
      <c r="W49" s="24" t="n">
        <f aca="false">IF(W$45&lt;$G49,0,IF($F49=1,$C$10+($C$11-$C$10)*MIN(W$45-$G49,$C$12)/$C$12,$E49*$C$5*INDEX($C$6:$C$9,MIN(W$45-$G49,3)+1)))*(1-$C$14)*IF(AND($C49="Verified",$C$39=1),0,1)</f>
        <v>19</v>
      </c>
      <c r="X49" s="24" t="n">
        <f aca="false">IF(X$45&lt;$G49,0,IF($F49=1,$C$10+($C$11-$C$10)*MIN(X$45-$G49,$C$12)/$C$12,$E49*$C$5*INDEX($C$6:$C$9,MIN(X$45-$G49,3)+1)))*(1-$C$14)*IF(AND($C49="Verified",$C$39=1),0,1)</f>
        <v>19</v>
      </c>
      <c r="Y49" s="24" t="n">
        <f aca="false">IF(Y$45&lt;$G49,0,IF($F49=1,$C$10+($C$11-$C$10)*MIN(Y$45-$G49,$C$12)/$C$12,$E49*$C$5*INDEX($C$6:$C$9,MIN(Y$45-$G49,3)+1)))*(1-$C$14)*IF(AND($C49="Verified",$C$39=1),0,1)</f>
        <v>19</v>
      </c>
    </row>
    <row r="50" customFormat="false" ht="15" hidden="false" customHeight="false" outlineLevel="0" collapsed="false">
      <c r="A50" s="29" t="n">
        <f aca="false">Assumptions!A59</f>
        <v>3</v>
      </c>
      <c r="B50" s="29" t="str">
        <f aca="false">Assumptions!B59</f>
        <v>Pilot</v>
      </c>
      <c r="C50" s="29" t="str">
        <f aca="false">Assumptions!C59</f>
        <v>Assured</v>
      </c>
      <c r="D50" s="34" t="n">
        <f aca="false">Assumptions!D59</f>
        <v>8500</v>
      </c>
      <c r="E50" s="31" t="n">
        <f aca="false">Assumptions!E59</f>
        <v>20</v>
      </c>
      <c r="F50" s="29" t="n">
        <f aca="false">Assumptions!G59</f>
        <v>1</v>
      </c>
      <c r="G50" s="2" t="n">
        <f aca="false">Assumptions!F59+IF(F50=1,0,$C$15)</f>
        <v>1</v>
      </c>
      <c r="H50" s="24" t="n">
        <f aca="false">IF(H$45&lt;$G50,0,IF($F50=1,$C$10+($C$11-$C$10)*MIN(H$45-$G50,$C$12)/$C$12,$E50*$C$5*INDEX($C$6:$C$9,MIN(H$45-$G50,3)+1)))*(1-$C$14)*IF(AND($C50="Verified",$C$39=1),0,1)</f>
        <v>16.625</v>
      </c>
      <c r="I50" s="24" t="n">
        <f aca="false">IF(I$45&lt;$G50,0,IF($F50=1,$C$10+($C$11-$C$10)*MIN(I$45-$G50,$C$12)/$C$12,$E50*$C$5*INDEX($C$6:$C$9,MIN(I$45-$G50,3)+1)))*(1-$C$14)*IF(AND($C50="Verified",$C$39=1),0,1)</f>
        <v>17.4166666666667</v>
      </c>
      <c r="J50" s="24" t="n">
        <f aca="false">IF(J$45&lt;$G50,0,IF($F50=1,$C$10+($C$11-$C$10)*MIN(J$45-$G50,$C$12)/$C$12,$E50*$C$5*INDEX($C$6:$C$9,MIN(J$45-$G50,3)+1)))*(1-$C$14)*IF(AND($C50="Verified",$C$39=1),0,1)</f>
        <v>18.2083333333333</v>
      </c>
      <c r="K50" s="24" t="n">
        <f aca="false">IF(K$45&lt;$G50,0,IF($F50=1,$C$10+($C$11-$C$10)*MIN(K$45-$G50,$C$12)/$C$12,$E50*$C$5*INDEX($C$6:$C$9,MIN(K$45-$G50,3)+1)))*(1-$C$14)*IF(AND($C50="Verified",$C$39=1),0,1)</f>
        <v>19</v>
      </c>
      <c r="L50" s="24" t="n">
        <f aca="false">IF(L$45&lt;$G50,0,IF($F50=1,$C$10+($C$11-$C$10)*MIN(L$45-$G50,$C$12)/$C$12,$E50*$C$5*INDEX($C$6:$C$9,MIN(L$45-$G50,3)+1)))*(1-$C$14)*IF(AND($C50="Verified",$C$39=1),0,1)</f>
        <v>19</v>
      </c>
      <c r="M50" s="24" t="n">
        <f aca="false">IF(M$45&lt;$G50,0,IF($F50=1,$C$10+($C$11-$C$10)*MIN(M$45-$G50,$C$12)/$C$12,$E50*$C$5*INDEX($C$6:$C$9,MIN(M$45-$G50,3)+1)))*(1-$C$14)*IF(AND($C50="Verified",$C$39=1),0,1)</f>
        <v>19</v>
      </c>
      <c r="N50" s="24" t="n">
        <f aca="false">IF(N$45&lt;$G50,0,IF($F50=1,$C$10+($C$11-$C$10)*MIN(N$45-$G50,$C$12)/$C$12,$E50*$C$5*INDEX($C$6:$C$9,MIN(N$45-$G50,3)+1)))*(1-$C$14)*IF(AND($C50="Verified",$C$39=1),0,1)</f>
        <v>19</v>
      </c>
      <c r="O50" s="24" t="n">
        <f aca="false">IF(O$45&lt;$G50,0,IF($F50=1,$C$10+($C$11-$C$10)*MIN(O$45-$G50,$C$12)/$C$12,$E50*$C$5*INDEX($C$6:$C$9,MIN(O$45-$G50,3)+1)))*(1-$C$14)*IF(AND($C50="Verified",$C$39=1),0,1)</f>
        <v>19</v>
      </c>
      <c r="P50" s="24" t="n">
        <f aca="false">IF(P$45&lt;$G50,0,IF($F50=1,$C$10+($C$11-$C$10)*MIN(P$45-$G50,$C$12)/$C$12,$E50*$C$5*INDEX($C$6:$C$9,MIN(P$45-$G50,3)+1)))*(1-$C$14)*IF(AND($C50="Verified",$C$39=1),0,1)</f>
        <v>19</v>
      </c>
      <c r="Q50" s="24" t="n">
        <f aca="false">IF(Q$45&lt;$G50,0,IF($F50=1,$C$10+($C$11-$C$10)*MIN(Q$45-$G50,$C$12)/$C$12,$E50*$C$5*INDEX($C$6:$C$9,MIN(Q$45-$G50,3)+1)))*(1-$C$14)*IF(AND($C50="Verified",$C$39=1),0,1)</f>
        <v>19</v>
      </c>
      <c r="R50" s="24" t="n">
        <f aca="false">IF(R$45&lt;$G50,0,IF($F50=1,$C$10+($C$11-$C$10)*MIN(R$45-$G50,$C$12)/$C$12,$E50*$C$5*INDEX($C$6:$C$9,MIN(R$45-$G50,3)+1)))*(1-$C$14)*IF(AND($C50="Verified",$C$39=1),0,1)</f>
        <v>19</v>
      </c>
      <c r="S50" s="24" t="n">
        <f aca="false">IF(S$45&lt;$G50,0,IF($F50=1,$C$10+($C$11-$C$10)*MIN(S$45-$G50,$C$12)/$C$12,$E50*$C$5*INDEX($C$6:$C$9,MIN(S$45-$G50,3)+1)))*(1-$C$14)*IF(AND($C50="Verified",$C$39=1),0,1)</f>
        <v>19</v>
      </c>
      <c r="T50" s="24" t="n">
        <f aca="false">IF(T$45&lt;$G50,0,IF($F50=1,$C$10+($C$11-$C$10)*MIN(T$45-$G50,$C$12)/$C$12,$E50*$C$5*INDEX($C$6:$C$9,MIN(T$45-$G50,3)+1)))*(1-$C$14)*IF(AND($C50="Verified",$C$39=1),0,1)</f>
        <v>19</v>
      </c>
      <c r="U50" s="24" t="n">
        <f aca="false">IF(U$45&lt;$G50,0,IF($F50=1,$C$10+($C$11-$C$10)*MIN(U$45-$G50,$C$12)/$C$12,$E50*$C$5*INDEX($C$6:$C$9,MIN(U$45-$G50,3)+1)))*(1-$C$14)*IF(AND($C50="Verified",$C$39=1),0,1)</f>
        <v>19</v>
      </c>
      <c r="V50" s="24" t="n">
        <f aca="false">IF(V$45&lt;$G50,0,IF($F50=1,$C$10+($C$11-$C$10)*MIN(V$45-$G50,$C$12)/$C$12,$E50*$C$5*INDEX($C$6:$C$9,MIN(V$45-$G50,3)+1)))*(1-$C$14)*IF(AND($C50="Verified",$C$39=1),0,1)</f>
        <v>19</v>
      </c>
      <c r="W50" s="24" t="n">
        <f aca="false">IF(W$45&lt;$G50,0,IF($F50=1,$C$10+($C$11-$C$10)*MIN(W$45-$G50,$C$12)/$C$12,$E50*$C$5*INDEX($C$6:$C$9,MIN(W$45-$G50,3)+1)))*(1-$C$14)*IF(AND($C50="Verified",$C$39=1),0,1)</f>
        <v>19</v>
      </c>
      <c r="X50" s="24" t="n">
        <f aca="false">IF(X$45&lt;$G50,0,IF($F50=1,$C$10+($C$11-$C$10)*MIN(X$45-$G50,$C$12)/$C$12,$E50*$C$5*INDEX($C$6:$C$9,MIN(X$45-$G50,3)+1)))*(1-$C$14)*IF(AND($C50="Verified",$C$39=1),0,1)</f>
        <v>19</v>
      </c>
      <c r="Y50" s="24" t="n">
        <f aca="false">IF(Y$45&lt;$G50,0,IF($F50=1,$C$10+($C$11-$C$10)*MIN(Y$45-$G50,$C$12)/$C$12,$E50*$C$5*INDEX($C$6:$C$9,MIN(Y$45-$G50,3)+1)))*(1-$C$14)*IF(AND($C50="Verified",$C$39=1),0,1)</f>
        <v>19</v>
      </c>
    </row>
    <row r="51" customFormat="false" ht="15" hidden="false" customHeight="false" outlineLevel="0" collapsed="false">
      <c r="A51" s="29" t="n">
        <f aca="false">Assumptions!A60</f>
        <v>4</v>
      </c>
      <c r="B51" s="29" t="str">
        <f aca="false">Assumptions!B60</f>
        <v>Pilot</v>
      </c>
      <c r="C51" s="29" t="str">
        <f aca="false">Assumptions!C60</f>
        <v>Assured</v>
      </c>
      <c r="D51" s="34" t="n">
        <f aca="false">Assumptions!D60</f>
        <v>8500</v>
      </c>
      <c r="E51" s="31" t="n">
        <f aca="false">Assumptions!E60</f>
        <v>20</v>
      </c>
      <c r="F51" s="29" t="n">
        <f aca="false">Assumptions!G60</f>
        <v>1</v>
      </c>
      <c r="G51" s="2" t="n">
        <f aca="false">Assumptions!F60+IF(F51=1,0,$C$15)</f>
        <v>1</v>
      </c>
      <c r="H51" s="24" t="n">
        <f aca="false">IF(H$45&lt;$G51,0,IF($F51=1,$C$10+($C$11-$C$10)*MIN(H$45-$G51,$C$12)/$C$12,$E51*$C$5*INDEX($C$6:$C$9,MIN(H$45-$G51,3)+1)))*(1-$C$14)*IF(AND($C51="Verified",$C$39=1),0,1)</f>
        <v>16.625</v>
      </c>
      <c r="I51" s="24" t="n">
        <f aca="false">IF(I$45&lt;$G51,0,IF($F51=1,$C$10+($C$11-$C$10)*MIN(I$45-$G51,$C$12)/$C$12,$E51*$C$5*INDEX($C$6:$C$9,MIN(I$45-$G51,3)+1)))*(1-$C$14)*IF(AND($C51="Verified",$C$39=1),0,1)</f>
        <v>17.4166666666667</v>
      </c>
      <c r="J51" s="24" t="n">
        <f aca="false">IF(J$45&lt;$G51,0,IF($F51=1,$C$10+($C$11-$C$10)*MIN(J$45-$G51,$C$12)/$C$12,$E51*$C$5*INDEX($C$6:$C$9,MIN(J$45-$G51,3)+1)))*(1-$C$14)*IF(AND($C51="Verified",$C$39=1),0,1)</f>
        <v>18.2083333333333</v>
      </c>
      <c r="K51" s="24" t="n">
        <f aca="false">IF(K$45&lt;$G51,0,IF($F51=1,$C$10+($C$11-$C$10)*MIN(K$45-$G51,$C$12)/$C$12,$E51*$C$5*INDEX($C$6:$C$9,MIN(K$45-$G51,3)+1)))*(1-$C$14)*IF(AND($C51="Verified",$C$39=1),0,1)</f>
        <v>19</v>
      </c>
      <c r="L51" s="24" t="n">
        <f aca="false">IF(L$45&lt;$G51,0,IF($F51=1,$C$10+($C$11-$C$10)*MIN(L$45-$G51,$C$12)/$C$12,$E51*$C$5*INDEX($C$6:$C$9,MIN(L$45-$G51,3)+1)))*(1-$C$14)*IF(AND($C51="Verified",$C$39=1),0,1)</f>
        <v>19</v>
      </c>
      <c r="M51" s="24" t="n">
        <f aca="false">IF(M$45&lt;$G51,0,IF($F51=1,$C$10+($C$11-$C$10)*MIN(M$45-$G51,$C$12)/$C$12,$E51*$C$5*INDEX($C$6:$C$9,MIN(M$45-$G51,3)+1)))*(1-$C$14)*IF(AND($C51="Verified",$C$39=1),0,1)</f>
        <v>19</v>
      </c>
      <c r="N51" s="24" t="n">
        <f aca="false">IF(N$45&lt;$G51,0,IF($F51=1,$C$10+($C$11-$C$10)*MIN(N$45-$G51,$C$12)/$C$12,$E51*$C$5*INDEX($C$6:$C$9,MIN(N$45-$G51,3)+1)))*(1-$C$14)*IF(AND($C51="Verified",$C$39=1),0,1)</f>
        <v>19</v>
      </c>
      <c r="O51" s="24" t="n">
        <f aca="false">IF(O$45&lt;$G51,0,IF($F51=1,$C$10+($C$11-$C$10)*MIN(O$45-$G51,$C$12)/$C$12,$E51*$C$5*INDEX($C$6:$C$9,MIN(O$45-$G51,3)+1)))*(1-$C$14)*IF(AND($C51="Verified",$C$39=1),0,1)</f>
        <v>19</v>
      </c>
      <c r="P51" s="24" t="n">
        <f aca="false">IF(P$45&lt;$G51,0,IF($F51=1,$C$10+($C$11-$C$10)*MIN(P$45-$G51,$C$12)/$C$12,$E51*$C$5*INDEX($C$6:$C$9,MIN(P$45-$G51,3)+1)))*(1-$C$14)*IF(AND($C51="Verified",$C$39=1),0,1)</f>
        <v>19</v>
      </c>
      <c r="Q51" s="24" t="n">
        <f aca="false">IF(Q$45&lt;$G51,0,IF($F51=1,$C$10+($C$11-$C$10)*MIN(Q$45-$G51,$C$12)/$C$12,$E51*$C$5*INDEX($C$6:$C$9,MIN(Q$45-$G51,3)+1)))*(1-$C$14)*IF(AND($C51="Verified",$C$39=1),0,1)</f>
        <v>19</v>
      </c>
      <c r="R51" s="24" t="n">
        <f aca="false">IF(R$45&lt;$G51,0,IF($F51=1,$C$10+($C$11-$C$10)*MIN(R$45-$G51,$C$12)/$C$12,$E51*$C$5*INDEX($C$6:$C$9,MIN(R$45-$G51,3)+1)))*(1-$C$14)*IF(AND($C51="Verified",$C$39=1),0,1)</f>
        <v>19</v>
      </c>
      <c r="S51" s="24" t="n">
        <f aca="false">IF(S$45&lt;$G51,0,IF($F51=1,$C$10+($C$11-$C$10)*MIN(S$45-$G51,$C$12)/$C$12,$E51*$C$5*INDEX($C$6:$C$9,MIN(S$45-$G51,3)+1)))*(1-$C$14)*IF(AND($C51="Verified",$C$39=1),0,1)</f>
        <v>19</v>
      </c>
      <c r="T51" s="24" t="n">
        <f aca="false">IF(T$45&lt;$G51,0,IF($F51=1,$C$10+($C$11-$C$10)*MIN(T$45-$G51,$C$12)/$C$12,$E51*$C$5*INDEX($C$6:$C$9,MIN(T$45-$G51,3)+1)))*(1-$C$14)*IF(AND($C51="Verified",$C$39=1),0,1)</f>
        <v>19</v>
      </c>
      <c r="U51" s="24" t="n">
        <f aca="false">IF(U$45&lt;$G51,0,IF($F51=1,$C$10+($C$11-$C$10)*MIN(U$45-$G51,$C$12)/$C$12,$E51*$C$5*INDEX($C$6:$C$9,MIN(U$45-$G51,3)+1)))*(1-$C$14)*IF(AND($C51="Verified",$C$39=1),0,1)</f>
        <v>19</v>
      </c>
      <c r="V51" s="24" t="n">
        <f aca="false">IF(V$45&lt;$G51,0,IF($F51=1,$C$10+($C$11-$C$10)*MIN(V$45-$G51,$C$12)/$C$12,$E51*$C$5*INDEX($C$6:$C$9,MIN(V$45-$G51,3)+1)))*(1-$C$14)*IF(AND($C51="Verified",$C$39=1),0,1)</f>
        <v>19</v>
      </c>
      <c r="W51" s="24" t="n">
        <f aca="false">IF(W$45&lt;$G51,0,IF($F51=1,$C$10+($C$11-$C$10)*MIN(W$45-$G51,$C$12)/$C$12,$E51*$C$5*INDEX($C$6:$C$9,MIN(W$45-$G51,3)+1)))*(1-$C$14)*IF(AND($C51="Verified",$C$39=1),0,1)</f>
        <v>19</v>
      </c>
      <c r="X51" s="24" t="n">
        <f aca="false">IF(X$45&lt;$G51,0,IF($F51=1,$C$10+($C$11-$C$10)*MIN(X$45-$G51,$C$12)/$C$12,$E51*$C$5*INDEX($C$6:$C$9,MIN(X$45-$G51,3)+1)))*(1-$C$14)*IF(AND($C51="Verified",$C$39=1),0,1)</f>
        <v>19</v>
      </c>
      <c r="Y51" s="24" t="n">
        <f aca="false">IF(Y$45&lt;$G51,0,IF($F51=1,$C$10+($C$11-$C$10)*MIN(Y$45-$G51,$C$12)/$C$12,$E51*$C$5*INDEX($C$6:$C$9,MIN(Y$45-$G51,3)+1)))*(1-$C$14)*IF(AND($C51="Verified",$C$39=1),0,1)</f>
        <v>19</v>
      </c>
    </row>
    <row r="52" customFormat="false" ht="15" hidden="false" customHeight="false" outlineLevel="0" collapsed="false">
      <c r="A52" s="29" t="n">
        <f aca="false">Assumptions!A61</f>
        <v>5</v>
      </c>
      <c r="B52" s="29" t="str">
        <f aca="false">Assumptions!B61</f>
        <v>A</v>
      </c>
      <c r="C52" s="29" t="str">
        <f aca="false">Assumptions!C61</f>
        <v>Assured</v>
      </c>
      <c r="D52" s="34" t="n">
        <f aca="false">Assumptions!D61</f>
        <v>12000</v>
      </c>
      <c r="E52" s="31" t="n">
        <f aca="false">Assumptions!E61</f>
        <v>24</v>
      </c>
      <c r="F52" s="29" t="n">
        <f aca="false">Assumptions!G61</f>
        <v>0</v>
      </c>
      <c r="G52" s="2" t="n">
        <f aca="false">Assumptions!F61+IF(F52=1,0,$C$15)</f>
        <v>5</v>
      </c>
      <c r="H52" s="24" t="n">
        <f aca="false">IF(H$45&lt;$G52,0,IF($F52=1,$C$10+($C$11-$C$10)*MIN(H$45-$G52,$C$12)/$C$12,$E52*$C$5*INDEX($C$6:$C$9,MIN(H$45-$G52,3)+1)))*(1-$C$14)*IF(AND($C52="Verified",$C$39=1),0,1)</f>
        <v>0</v>
      </c>
      <c r="I52" s="24" t="n">
        <f aca="false">IF(I$45&lt;$G52,0,IF($F52=1,$C$10+($C$11-$C$10)*MIN(I$45-$G52,$C$12)/$C$12,$E52*$C$5*INDEX($C$6:$C$9,MIN(I$45-$G52,3)+1)))*(1-$C$14)*IF(AND($C52="Verified",$C$39=1),0,1)</f>
        <v>0</v>
      </c>
      <c r="J52" s="24" t="n">
        <f aca="false">IF(J$45&lt;$G52,0,IF($F52=1,$C$10+($C$11-$C$10)*MIN(J$45-$G52,$C$12)/$C$12,$E52*$C$5*INDEX($C$6:$C$9,MIN(J$45-$G52,3)+1)))*(1-$C$14)*IF(AND($C52="Verified",$C$39=1),0,1)</f>
        <v>0</v>
      </c>
      <c r="K52" s="24" t="n">
        <f aca="false">IF(K$45&lt;$G52,0,IF($F52=1,$C$10+($C$11-$C$10)*MIN(K$45-$G52,$C$12)/$C$12,$E52*$C$5*INDEX($C$6:$C$9,MIN(K$45-$G52,3)+1)))*(1-$C$14)*IF(AND($C52="Verified",$C$39=1),0,1)</f>
        <v>0</v>
      </c>
      <c r="L52" s="24" t="n">
        <f aca="false">IF(L$45&lt;$G52,0,IF($F52=1,$C$10+($C$11-$C$10)*MIN(L$45-$G52,$C$12)/$C$12,$E52*$C$5*INDEX($C$6:$C$9,MIN(L$45-$G52,3)+1)))*(1-$C$14)*IF(AND($C52="Verified",$C$39=1),0,1)</f>
        <v>4.446</v>
      </c>
      <c r="M52" s="24" t="n">
        <f aca="false">IF(M$45&lt;$G52,0,IF($F52=1,$C$10+($C$11-$C$10)*MIN(M$45-$G52,$C$12)/$C$12,$E52*$C$5*INDEX($C$6:$C$9,MIN(M$45-$G52,3)+1)))*(1-$C$14)*IF(AND($C52="Verified",$C$39=1),0,1)</f>
        <v>8.892</v>
      </c>
      <c r="N52" s="24" t="n">
        <f aca="false">IF(N$45&lt;$G52,0,IF($F52=1,$C$10+($C$11-$C$10)*MIN(N$45-$G52,$C$12)/$C$12,$E52*$C$5*INDEX($C$6:$C$9,MIN(N$45-$G52,3)+1)))*(1-$C$14)*IF(AND($C52="Verified",$C$39=1),0,1)</f>
        <v>12.597</v>
      </c>
      <c r="O52" s="24" t="n">
        <f aca="false">IF(O$45&lt;$G52,0,IF($F52=1,$C$10+($C$11-$C$10)*MIN(O$45-$G52,$C$12)/$C$12,$E52*$C$5*INDEX($C$6:$C$9,MIN(O$45-$G52,3)+1)))*(1-$C$14)*IF(AND($C52="Verified",$C$39=1),0,1)</f>
        <v>14.82</v>
      </c>
      <c r="P52" s="24" t="n">
        <f aca="false">IF(P$45&lt;$G52,0,IF($F52=1,$C$10+($C$11-$C$10)*MIN(P$45-$G52,$C$12)/$C$12,$E52*$C$5*INDEX($C$6:$C$9,MIN(P$45-$G52,3)+1)))*(1-$C$14)*IF(AND($C52="Verified",$C$39=1),0,1)</f>
        <v>14.82</v>
      </c>
      <c r="Q52" s="24" t="n">
        <f aca="false">IF(Q$45&lt;$G52,0,IF($F52=1,$C$10+($C$11-$C$10)*MIN(Q$45-$G52,$C$12)/$C$12,$E52*$C$5*INDEX($C$6:$C$9,MIN(Q$45-$G52,3)+1)))*(1-$C$14)*IF(AND($C52="Verified",$C$39=1),0,1)</f>
        <v>14.82</v>
      </c>
      <c r="R52" s="24" t="n">
        <f aca="false">IF(R$45&lt;$G52,0,IF($F52=1,$C$10+($C$11-$C$10)*MIN(R$45-$G52,$C$12)/$C$12,$E52*$C$5*INDEX($C$6:$C$9,MIN(R$45-$G52,3)+1)))*(1-$C$14)*IF(AND($C52="Verified",$C$39=1),0,1)</f>
        <v>14.82</v>
      </c>
      <c r="S52" s="24" t="n">
        <f aca="false">IF(S$45&lt;$G52,0,IF($F52=1,$C$10+($C$11-$C$10)*MIN(S$45-$G52,$C$12)/$C$12,$E52*$C$5*INDEX($C$6:$C$9,MIN(S$45-$G52,3)+1)))*(1-$C$14)*IF(AND($C52="Verified",$C$39=1),0,1)</f>
        <v>14.82</v>
      </c>
      <c r="T52" s="24" t="n">
        <f aca="false">IF(T$45&lt;$G52,0,IF($F52=1,$C$10+($C$11-$C$10)*MIN(T$45-$G52,$C$12)/$C$12,$E52*$C$5*INDEX($C$6:$C$9,MIN(T$45-$G52,3)+1)))*(1-$C$14)*IF(AND($C52="Verified",$C$39=1),0,1)</f>
        <v>14.82</v>
      </c>
      <c r="U52" s="24" t="n">
        <f aca="false">IF(U$45&lt;$G52,0,IF($F52=1,$C$10+($C$11-$C$10)*MIN(U$45-$G52,$C$12)/$C$12,$E52*$C$5*INDEX($C$6:$C$9,MIN(U$45-$G52,3)+1)))*(1-$C$14)*IF(AND($C52="Verified",$C$39=1),0,1)</f>
        <v>14.82</v>
      </c>
      <c r="V52" s="24" t="n">
        <f aca="false">IF(V$45&lt;$G52,0,IF($F52=1,$C$10+($C$11-$C$10)*MIN(V$45-$G52,$C$12)/$C$12,$E52*$C$5*INDEX($C$6:$C$9,MIN(V$45-$G52,3)+1)))*(1-$C$14)*IF(AND($C52="Verified",$C$39=1),0,1)</f>
        <v>14.82</v>
      </c>
      <c r="W52" s="24" t="n">
        <f aca="false">IF(W$45&lt;$G52,0,IF($F52=1,$C$10+($C$11-$C$10)*MIN(W$45-$G52,$C$12)/$C$12,$E52*$C$5*INDEX($C$6:$C$9,MIN(W$45-$G52,3)+1)))*(1-$C$14)*IF(AND($C52="Verified",$C$39=1),0,1)</f>
        <v>14.82</v>
      </c>
      <c r="X52" s="24" t="n">
        <f aca="false">IF(X$45&lt;$G52,0,IF($F52=1,$C$10+($C$11-$C$10)*MIN(X$45-$G52,$C$12)/$C$12,$E52*$C$5*INDEX($C$6:$C$9,MIN(X$45-$G52,3)+1)))*(1-$C$14)*IF(AND($C52="Verified",$C$39=1),0,1)</f>
        <v>14.82</v>
      </c>
      <c r="Y52" s="24" t="n">
        <f aca="false">IF(Y$45&lt;$G52,0,IF($F52=1,$C$10+($C$11-$C$10)*MIN(Y$45-$G52,$C$12)/$C$12,$E52*$C$5*INDEX($C$6:$C$9,MIN(Y$45-$G52,3)+1)))*(1-$C$14)*IF(AND($C52="Verified",$C$39=1),0,1)</f>
        <v>14.82</v>
      </c>
    </row>
    <row r="53" customFormat="false" ht="15" hidden="false" customHeight="false" outlineLevel="0" collapsed="false">
      <c r="A53" s="29" t="n">
        <f aca="false">Assumptions!A62</f>
        <v>6</v>
      </c>
      <c r="B53" s="29" t="str">
        <f aca="false">Assumptions!B62</f>
        <v>A</v>
      </c>
      <c r="C53" s="29" t="str">
        <f aca="false">Assumptions!C62</f>
        <v>Assured</v>
      </c>
      <c r="D53" s="34" t="n">
        <f aca="false">Assumptions!D62</f>
        <v>12000</v>
      </c>
      <c r="E53" s="31" t="n">
        <f aca="false">Assumptions!E62</f>
        <v>24</v>
      </c>
      <c r="F53" s="29" t="n">
        <f aca="false">Assumptions!G62</f>
        <v>0</v>
      </c>
      <c r="G53" s="2" t="n">
        <f aca="false">Assumptions!F62+IF(F53=1,0,$C$15)</f>
        <v>5</v>
      </c>
      <c r="H53" s="24" t="n">
        <f aca="false">IF(H$45&lt;$G53,0,IF($F53=1,$C$10+($C$11-$C$10)*MIN(H$45-$G53,$C$12)/$C$12,$E53*$C$5*INDEX($C$6:$C$9,MIN(H$45-$G53,3)+1)))*(1-$C$14)*IF(AND($C53="Verified",$C$39=1),0,1)</f>
        <v>0</v>
      </c>
      <c r="I53" s="24" t="n">
        <f aca="false">IF(I$45&lt;$G53,0,IF($F53=1,$C$10+($C$11-$C$10)*MIN(I$45-$G53,$C$12)/$C$12,$E53*$C$5*INDEX($C$6:$C$9,MIN(I$45-$G53,3)+1)))*(1-$C$14)*IF(AND($C53="Verified",$C$39=1),0,1)</f>
        <v>0</v>
      </c>
      <c r="J53" s="24" t="n">
        <f aca="false">IF(J$45&lt;$G53,0,IF($F53=1,$C$10+($C$11-$C$10)*MIN(J$45-$G53,$C$12)/$C$12,$E53*$C$5*INDEX($C$6:$C$9,MIN(J$45-$G53,3)+1)))*(1-$C$14)*IF(AND($C53="Verified",$C$39=1),0,1)</f>
        <v>0</v>
      </c>
      <c r="K53" s="24" t="n">
        <f aca="false">IF(K$45&lt;$G53,0,IF($F53=1,$C$10+($C$11-$C$10)*MIN(K$45-$G53,$C$12)/$C$12,$E53*$C$5*INDEX($C$6:$C$9,MIN(K$45-$G53,3)+1)))*(1-$C$14)*IF(AND($C53="Verified",$C$39=1),0,1)</f>
        <v>0</v>
      </c>
      <c r="L53" s="24" t="n">
        <f aca="false">IF(L$45&lt;$G53,0,IF($F53=1,$C$10+($C$11-$C$10)*MIN(L$45-$G53,$C$12)/$C$12,$E53*$C$5*INDEX($C$6:$C$9,MIN(L$45-$G53,3)+1)))*(1-$C$14)*IF(AND($C53="Verified",$C$39=1),0,1)</f>
        <v>4.446</v>
      </c>
      <c r="M53" s="24" t="n">
        <f aca="false">IF(M$45&lt;$G53,0,IF($F53=1,$C$10+($C$11-$C$10)*MIN(M$45-$G53,$C$12)/$C$12,$E53*$C$5*INDEX($C$6:$C$9,MIN(M$45-$G53,3)+1)))*(1-$C$14)*IF(AND($C53="Verified",$C$39=1),0,1)</f>
        <v>8.892</v>
      </c>
      <c r="N53" s="24" t="n">
        <f aca="false">IF(N$45&lt;$G53,0,IF($F53=1,$C$10+($C$11-$C$10)*MIN(N$45-$G53,$C$12)/$C$12,$E53*$C$5*INDEX($C$6:$C$9,MIN(N$45-$G53,3)+1)))*(1-$C$14)*IF(AND($C53="Verified",$C$39=1),0,1)</f>
        <v>12.597</v>
      </c>
      <c r="O53" s="24" t="n">
        <f aca="false">IF(O$45&lt;$G53,0,IF($F53=1,$C$10+($C$11-$C$10)*MIN(O$45-$G53,$C$12)/$C$12,$E53*$C$5*INDEX($C$6:$C$9,MIN(O$45-$G53,3)+1)))*(1-$C$14)*IF(AND($C53="Verified",$C$39=1),0,1)</f>
        <v>14.82</v>
      </c>
      <c r="P53" s="24" t="n">
        <f aca="false">IF(P$45&lt;$G53,0,IF($F53=1,$C$10+($C$11-$C$10)*MIN(P$45-$G53,$C$12)/$C$12,$E53*$C$5*INDEX($C$6:$C$9,MIN(P$45-$G53,3)+1)))*(1-$C$14)*IF(AND($C53="Verified",$C$39=1),0,1)</f>
        <v>14.82</v>
      </c>
      <c r="Q53" s="24" t="n">
        <f aca="false">IF(Q$45&lt;$G53,0,IF($F53=1,$C$10+($C$11-$C$10)*MIN(Q$45-$G53,$C$12)/$C$12,$E53*$C$5*INDEX($C$6:$C$9,MIN(Q$45-$G53,3)+1)))*(1-$C$14)*IF(AND($C53="Verified",$C$39=1),0,1)</f>
        <v>14.82</v>
      </c>
      <c r="R53" s="24" t="n">
        <f aca="false">IF(R$45&lt;$G53,0,IF($F53=1,$C$10+($C$11-$C$10)*MIN(R$45-$G53,$C$12)/$C$12,$E53*$C$5*INDEX($C$6:$C$9,MIN(R$45-$G53,3)+1)))*(1-$C$14)*IF(AND($C53="Verified",$C$39=1),0,1)</f>
        <v>14.82</v>
      </c>
      <c r="S53" s="24" t="n">
        <f aca="false">IF(S$45&lt;$G53,0,IF($F53=1,$C$10+($C$11-$C$10)*MIN(S$45-$G53,$C$12)/$C$12,$E53*$C$5*INDEX($C$6:$C$9,MIN(S$45-$G53,3)+1)))*(1-$C$14)*IF(AND($C53="Verified",$C$39=1),0,1)</f>
        <v>14.82</v>
      </c>
      <c r="T53" s="24" t="n">
        <f aca="false">IF(T$45&lt;$G53,0,IF($F53=1,$C$10+($C$11-$C$10)*MIN(T$45-$G53,$C$12)/$C$12,$E53*$C$5*INDEX($C$6:$C$9,MIN(T$45-$G53,3)+1)))*(1-$C$14)*IF(AND($C53="Verified",$C$39=1),0,1)</f>
        <v>14.82</v>
      </c>
      <c r="U53" s="24" t="n">
        <f aca="false">IF(U$45&lt;$G53,0,IF($F53=1,$C$10+($C$11-$C$10)*MIN(U$45-$G53,$C$12)/$C$12,$E53*$C$5*INDEX($C$6:$C$9,MIN(U$45-$G53,3)+1)))*(1-$C$14)*IF(AND($C53="Verified",$C$39=1),0,1)</f>
        <v>14.82</v>
      </c>
      <c r="V53" s="24" t="n">
        <f aca="false">IF(V$45&lt;$G53,0,IF($F53=1,$C$10+($C$11-$C$10)*MIN(V$45-$G53,$C$12)/$C$12,$E53*$C$5*INDEX($C$6:$C$9,MIN(V$45-$G53,3)+1)))*(1-$C$14)*IF(AND($C53="Verified",$C$39=1),0,1)</f>
        <v>14.82</v>
      </c>
      <c r="W53" s="24" t="n">
        <f aca="false">IF(W$45&lt;$G53,0,IF($F53=1,$C$10+($C$11-$C$10)*MIN(W$45-$G53,$C$12)/$C$12,$E53*$C$5*INDEX($C$6:$C$9,MIN(W$45-$G53,3)+1)))*(1-$C$14)*IF(AND($C53="Verified",$C$39=1),0,1)</f>
        <v>14.82</v>
      </c>
      <c r="X53" s="24" t="n">
        <f aca="false">IF(X$45&lt;$G53,0,IF($F53=1,$C$10+($C$11-$C$10)*MIN(X$45-$G53,$C$12)/$C$12,$E53*$C$5*INDEX($C$6:$C$9,MIN(X$45-$G53,3)+1)))*(1-$C$14)*IF(AND($C53="Verified",$C$39=1),0,1)</f>
        <v>14.82</v>
      </c>
      <c r="Y53" s="24" t="n">
        <f aca="false">IF(Y$45&lt;$G53,0,IF($F53=1,$C$10+($C$11-$C$10)*MIN(Y$45-$G53,$C$12)/$C$12,$E53*$C$5*INDEX($C$6:$C$9,MIN(Y$45-$G53,3)+1)))*(1-$C$14)*IF(AND($C53="Verified",$C$39=1),0,1)</f>
        <v>14.82</v>
      </c>
    </row>
    <row r="54" customFormat="false" ht="15" hidden="false" customHeight="false" outlineLevel="0" collapsed="false">
      <c r="A54" s="29" t="n">
        <f aca="false">Assumptions!A63</f>
        <v>7</v>
      </c>
      <c r="B54" s="29" t="str">
        <f aca="false">Assumptions!B63</f>
        <v>A</v>
      </c>
      <c r="C54" s="29" t="str">
        <f aca="false">Assumptions!C63</f>
        <v>Assured</v>
      </c>
      <c r="D54" s="34" t="n">
        <f aca="false">Assumptions!D63</f>
        <v>12000</v>
      </c>
      <c r="E54" s="31" t="n">
        <f aca="false">Assumptions!E63</f>
        <v>24</v>
      </c>
      <c r="F54" s="29" t="n">
        <f aca="false">Assumptions!G63</f>
        <v>0</v>
      </c>
      <c r="G54" s="2" t="n">
        <f aca="false">Assumptions!F63+IF(F54=1,0,$C$15)</f>
        <v>6</v>
      </c>
      <c r="H54" s="24" t="n">
        <f aca="false">IF(H$45&lt;$G54,0,IF($F54=1,$C$10+($C$11-$C$10)*MIN(H$45-$G54,$C$12)/$C$12,$E54*$C$5*INDEX($C$6:$C$9,MIN(H$45-$G54,3)+1)))*(1-$C$14)*IF(AND($C54="Verified",$C$39=1),0,1)</f>
        <v>0</v>
      </c>
      <c r="I54" s="24" t="n">
        <f aca="false">IF(I$45&lt;$G54,0,IF($F54=1,$C$10+($C$11-$C$10)*MIN(I$45-$G54,$C$12)/$C$12,$E54*$C$5*INDEX($C$6:$C$9,MIN(I$45-$G54,3)+1)))*(1-$C$14)*IF(AND($C54="Verified",$C$39=1),0,1)</f>
        <v>0</v>
      </c>
      <c r="J54" s="24" t="n">
        <f aca="false">IF(J$45&lt;$G54,0,IF($F54=1,$C$10+($C$11-$C$10)*MIN(J$45-$G54,$C$12)/$C$12,$E54*$C$5*INDEX($C$6:$C$9,MIN(J$45-$G54,3)+1)))*(1-$C$14)*IF(AND($C54="Verified",$C$39=1),0,1)</f>
        <v>0</v>
      </c>
      <c r="K54" s="24" t="n">
        <f aca="false">IF(K$45&lt;$G54,0,IF($F54=1,$C$10+($C$11-$C$10)*MIN(K$45-$G54,$C$12)/$C$12,$E54*$C$5*INDEX($C$6:$C$9,MIN(K$45-$G54,3)+1)))*(1-$C$14)*IF(AND($C54="Verified",$C$39=1),0,1)</f>
        <v>0</v>
      </c>
      <c r="L54" s="24" t="n">
        <f aca="false">IF(L$45&lt;$G54,0,IF($F54=1,$C$10+($C$11-$C$10)*MIN(L$45-$G54,$C$12)/$C$12,$E54*$C$5*INDEX($C$6:$C$9,MIN(L$45-$G54,3)+1)))*(1-$C$14)*IF(AND($C54="Verified",$C$39=1),0,1)</f>
        <v>0</v>
      </c>
      <c r="M54" s="24" t="n">
        <f aca="false">IF(M$45&lt;$G54,0,IF($F54=1,$C$10+($C$11-$C$10)*MIN(M$45-$G54,$C$12)/$C$12,$E54*$C$5*INDEX($C$6:$C$9,MIN(M$45-$G54,3)+1)))*(1-$C$14)*IF(AND($C54="Verified",$C$39=1),0,1)</f>
        <v>4.446</v>
      </c>
      <c r="N54" s="24" t="n">
        <f aca="false">IF(N$45&lt;$G54,0,IF($F54=1,$C$10+($C$11-$C$10)*MIN(N$45-$G54,$C$12)/$C$12,$E54*$C$5*INDEX($C$6:$C$9,MIN(N$45-$G54,3)+1)))*(1-$C$14)*IF(AND($C54="Verified",$C$39=1),0,1)</f>
        <v>8.892</v>
      </c>
      <c r="O54" s="24" t="n">
        <f aca="false">IF(O$45&lt;$G54,0,IF($F54=1,$C$10+($C$11-$C$10)*MIN(O$45-$G54,$C$12)/$C$12,$E54*$C$5*INDEX($C$6:$C$9,MIN(O$45-$G54,3)+1)))*(1-$C$14)*IF(AND($C54="Verified",$C$39=1),0,1)</f>
        <v>12.597</v>
      </c>
      <c r="P54" s="24" t="n">
        <f aca="false">IF(P$45&lt;$G54,0,IF($F54=1,$C$10+($C$11-$C$10)*MIN(P$45-$G54,$C$12)/$C$12,$E54*$C$5*INDEX($C$6:$C$9,MIN(P$45-$G54,3)+1)))*(1-$C$14)*IF(AND($C54="Verified",$C$39=1),0,1)</f>
        <v>14.82</v>
      </c>
      <c r="Q54" s="24" t="n">
        <f aca="false">IF(Q$45&lt;$G54,0,IF($F54=1,$C$10+($C$11-$C$10)*MIN(Q$45-$G54,$C$12)/$C$12,$E54*$C$5*INDEX($C$6:$C$9,MIN(Q$45-$G54,3)+1)))*(1-$C$14)*IF(AND($C54="Verified",$C$39=1),0,1)</f>
        <v>14.82</v>
      </c>
      <c r="R54" s="24" t="n">
        <f aca="false">IF(R$45&lt;$G54,0,IF($F54=1,$C$10+($C$11-$C$10)*MIN(R$45-$G54,$C$12)/$C$12,$E54*$C$5*INDEX($C$6:$C$9,MIN(R$45-$G54,3)+1)))*(1-$C$14)*IF(AND($C54="Verified",$C$39=1),0,1)</f>
        <v>14.82</v>
      </c>
      <c r="S54" s="24" t="n">
        <f aca="false">IF(S$45&lt;$G54,0,IF($F54=1,$C$10+($C$11-$C$10)*MIN(S$45-$G54,$C$12)/$C$12,$E54*$C$5*INDEX($C$6:$C$9,MIN(S$45-$G54,3)+1)))*(1-$C$14)*IF(AND($C54="Verified",$C$39=1),0,1)</f>
        <v>14.82</v>
      </c>
      <c r="T54" s="24" t="n">
        <f aca="false">IF(T$45&lt;$G54,0,IF($F54=1,$C$10+($C$11-$C$10)*MIN(T$45-$G54,$C$12)/$C$12,$E54*$C$5*INDEX($C$6:$C$9,MIN(T$45-$G54,3)+1)))*(1-$C$14)*IF(AND($C54="Verified",$C$39=1),0,1)</f>
        <v>14.82</v>
      </c>
      <c r="U54" s="24" t="n">
        <f aca="false">IF(U$45&lt;$G54,0,IF($F54=1,$C$10+($C$11-$C$10)*MIN(U$45-$G54,$C$12)/$C$12,$E54*$C$5*INDEX($C$6:$C$9,MIN(U$45-$G54,3)+1)))*(1-$C$14)*IF(AND($C54="Verified",$C$39=1),0,1)</f>
        <v>14.82</v>
      </c>
      <c r="V54" s="24" t="n">
        <f aca="false">IF(V$45&lt;$G54,0,IF($F54=1,$C$10+($C$11-$C$10)*MIN(V$45-$G54,$C$12)/$C$12,$E54*$C$5*INDEX($C$6:$C$9,MIN(V$45-$G54,3)+1)))*(1-$C$14)*IF(AND($C54="Verified",$C$39=1),0,1)</f>
        <v>14.82</v>
      </c>
      <c r="W54" s="24" t="n">
        <f aca="false">IF(W$45&lt;$G54,0,IF($F54=1,$C$10+($C$11-$C$10)*MIN(W$45-$G54,$C$12)/$C$12,$E54*$C$5*INDEX($C$6:$C$9,MIN(W$45-$G54,3)+1)))*(1-$C$14)*IF(AND($C54="Verified",$C$39=1),0,1)</f>
        <v>14.82</v>
      </c>
      <c r="X54" s="24" t="n">
        <f aca="false">IF(X$45&lt;$G54,0,IF($F54=1,$C$10+($C$11-$C$10)*MIN(X$45-$G54,$C$12)/$C$12,$E54*$C$5*INDEX($C$6:$C$9,MIN(X$45-$G54,3)+1)))*(1-$C$14)*IF(AND($C54="Verified",$C$39=1),0,1)</f>
        <v>14.82</v>
      </c>
      <c r="Y54" s="24" t="n">
        <f aca="false">IF(Y$45&lt;$G54,0,IF($F54=1,$C$10+($C$11-$C$10)*MIN(Y$45-$G54,$C$12)/$C$12,$E54*$C$5*INDEX($C$6:$C$9,MIN(Y$45-$G54,3)+1)))*(1-$C$14)*IF(AND($C54="Verified",$C$39=1),0,1)</f>
        <v>14.82</v>
      </c>
    </row>
    <row r="55" customFormat="false" ht="15" hidden="false" customHeight="false" outlineLevel="0" collapsed="false">
      <c r="A55" s="29" t="n">
        <f aca="false">Assumptions!A64</f>
        <v>8</v>
      </c>
      <c r="B55" s="29" t="str">
        <f aca="false">Assumptions!B64</f>
        <v>A</v>
      </c>
      <c r="C55" s="29" t="str">
        <f aca="false">Assumptions!C64</f>
        <v>Assured</v>
      </c>
      <c r="D55" s="34" t="n">
        <f aca="false">Assumptions!D64</f>
        <v>12000</v>
      </c>
      <c r="E55" s="31" t="n">
        <f aca="false">Assumptions!E64</f>
        <v>24</v>
      </c>
      <c r="F55" s="29" t="n">
        <f aca="false">Assumptions!G64</f>
        <v>0</v>
      </c>
      <c r="G55" s="2" t="n">
        <f aca="false">Assumptions!F64+IF(F55=1,0,$C$15)</f>
        <v>6</v>
      </c>
      <c r="H55" s="24" t="n">
        <f aca="false">IF(H$45&lt;$G55,0,IF($F55=1,$C$10+($C$11-$C$10)*MIN(H$45-$G55,$C$12)/$C$12,$E55*$C$5*INDEX($C$6:$C$9,MIN(H$45-$G55,3)+1)))*(1-$C$14)*IF(AND($C55="Verified",$C$39=1),0,1)</f>
        <v>0</v>
      </c>
      <c r="I55" s="24" t="n">
        <f aca="false">IF(I$45&lt;$G55,0,IF($F55=1,$C$10+($C$11-$C$10)*MIN(I$45-$G55,$C$12)/$C$12,$E55*$C$5*INDEX($C$6:$C$9,MIN(I$45-$G55,3)+1)))*(1-$C$14)*IF(AND($C55="Verified",$C$39=1),0,1)</f>
        <v>0</v>
      </c>
      <c r="J55" s="24" t="n">
        <f aca="false">IF(J$45&lt;$G55,0,IF($F55=1,$C$10+($C$11-$C$10)*MIN(J$45-$G55,$C$12)/$C$12,$E55*$C$5*INDEX($C$6:$C$9,MIN(J$45-$G55,3)+1)))*(1-$C$14)*IF(AND($C55="Verified",$C$39=1),0,1)</f>
        <v>0</v>
      </c>
      <c r="K55" s="24" t="n">
        <f aca="false">IF(K$45&lt;$G55,0,IF($F55=1,$C$10+($C$11-$C$10)*MIN(K$45-$G55,$C$12)/$C$12,$E55*$C$5*INDEX($C$6:$C$9,MIN(K$45-$G55,3)+1)))*(1-$C$14)*IF(AND($C55="Verified",$C$39=1),0,1)</f>
        <v>0</v>
      </c>
      <c r="L55" s="24" t="n">
        <f aca="false">IF(L$45&lt;$G55,0,IF($F55=1,$C$10+($C$11-$C$10)*MIN(L$45-$G55,$C$12)/$C$12,$E55*$C$5*INDEX($C$6:$C$9,MIN(L$45-$G55,3)+1)))*(1-$C$14)*IF(AND($C55="Verified",$C$39=1),0,1)</f>
        <v>0</v>
      </c>
      <c r="M55" s="24" t="n">
        <f aca="false">IF(M$45&lt;$G55,0,IF($F55=1,$C$10+($C$11-$C$10)*MIN(M$45-$G55,$C$12)/$C$12,$E55*$C$5*INDEX($C$6:$C$9,MIN(M$45-$G55,3)+1)))*(1-$C$14)*IF(AND($C55="Verified",$C$39=1),0,1)</f>
        <v>4.446</v>
      </c>
      <c r="N55" s="24" t="n">
        <f aca="false">IF(N$45&lt;$G55,0,IF($F55=1,$C$10+($C$11-$C$10)*MIN(N$45-$G55,$C$12)/$C$12,$E55*$C$5*INDEX($C$6:$C$9,MIN(N$45-$G55,3)+1)))*(1-$C$14)*IF(AND($C55="Verified",$C$39=1),0,1)</f>
        <v>8.892</v>
      </c>
      <c r="O55" s="24" t="n">
        <f aca="false">IF(O$45&lt;$G55,0,IF($F55=1,$C$10+($C$11-$C$10)*MIN(O$45-$G55,$C$12)/$C$12,$E55*$C$5*INDEX($C$6:$C$9,MIN(O$45-$G55,3)+1)))*(1-$C$14)*IF(AND($C55="Verified",$C$39=1),0,1)</f>
        <v>12.597</v>
      </c>
      <c r="P55" s="24" t="n">
        <f aca="false">IF(P$45&lt;$G55,0,IF($F55=1,$C$10+($C$11-$C$10)*MIN(P$45-$G55,$C$12)/$C$12,$E55*$C$5*INDEX($C$6:$C$9,MIN(P$45-$G55,3)+1)))*(1-$C$14)*IF(AND($C55="Verified",$C$39=1),0,1)</f>
        <v>14.82</v>
      </c>
      <c r="Q55" s="24" t="n">
        <f aca="false">IF(Q$45&lt;$G55,0,IF($F55=1,$C$10+($C$11-$C$10)*MIN(Q$45-$G55,$C$12)/$C$12,$E55*$C$5*INDEX($C$6:$C$9,MIN(Q$45-$G55,3)+1)))*(1-$C$14)*IF(AND($C55="Verified",$C$39=1),0,1)</f>
        <v>14.82</v>
      </c>
      <c r="R55" s="24" t="n">
        <f aca="false">IF(R$45&lt;$G55,0,IF($F55=1,$C$10+($C$11-$C$10)*MIN(R$45-$G55,$C$12)/$C$12,$E55*$C$5*INDEX($C$6:$C$9,MIN(R$45-$G55,3)+1)))*(1-$C$14)*IF(AND($C55="Verified",$C$39=1),0,1)</f>
        <v>14.82</v>
      </c>
      <c r="S55" s="24" t="n">
        <f aca="false">IF(S$45&lt;$G55,0,IF($F55=1,$C$10+($C$11-$C$10)*MIN(S$45-$G55,$C$12)/$C$12,$E55*$C$5*INDEX($C$6:$C$9,MIN(S$45-$G55,3)+1)))*(1-$C$14)*IF(AND($C55="Verified",$C$39=1),0,1)</f>
        <v>14.82</v>
      </c>
      <c r="T55" s="24" t="n">
        <f aca="false">IF(T$45&lt;$G55,0,IF($F55=1,$C$10+($C$11-$C$10)*MIN(T$45-$G55,$C$12)/$C$12,$E55*$C$5*INDEX($C$6:$C$9,MIN(T$45-$G55,3)+1)))*(1-$C$14)*IF(AND($C55="Verified",$C$39=1),0,1)</f>
        <v>14.82</v>
      </c>
      <c r="U55" s="24" t="n">
        <f aca="false">IF(U$45&lt;$G55,0,IF($F55=1,$C$10+($C$11-$C$10)*MIN(U$45-$G55,$C$12)/$C$12,$E55*$C$5*INDEX($C$6:$C$9,MIN(U$45-$G55,3)+1)))*(1-$C$14)*IF(AND($C55="Verified",$C$39=1),0,1)</f>
        <v>14.82</v>
      </c>
      <c r="V55" s="24" t="n">
        <f aca="false">IF(V$45&lt;$G55,0,IF($F55=1,$C$10+($C$11-$C$10)*MIN(V$45-$G55,$C$12)/$C$12,$E55*$C$5*INDEX($C$6:$C$9,MIN(V$45-$G55,3)+1)))*(1-$C$14)*IF(AND($C55="Verified",$C$39=1),0,1)</f>
        <v>14.82</v>
      </c>
      <c r="W55" s="24" t="n">
        <f aca="false">IF(W$45&lt;$G55,0,IF($F55=1,$C$10+($C$11-$C$10)*MIN(W$45-$G55,$C$12)/$C$12,$E55*$C$5*INDEX($C$6:$C$9,MIN(W$45-$G55,3)+1)))*(1-$C$14)*IF(AND($C55="Verified",$C$39=1),0,1)</f>
        <v>14.82</v>
      </c>
      <c r="X55" s="24" t="n">
        <f aca="false">IF(X$45&lt;$G55,0,IF($F55=1,$C$10+($C$11-$C$10)*MIN(X$45-$G55,$C$12)/$C$12,$E55*$C$5*INDEX($C$6:$C$9,MIN(X$45-$G55,3)+1)))*(1-$C$14)*IF(AND($C55="Verified",$C$39=1),0,1)</f>
        <v>14.82</v>
      </c>
      <c r="Y55" s="24" t="n">
        <f aca="false">IF(Y$45&lt;$G55,0,IF($F55=1,$C$10+($C$11-$C$10)*MIN(Y$45-$G55,$C$12)/$C$12,$E55*$C$5*INDEX($C$6:$C$9,MIN(Y$45-$G55,3)+1)))*(1-$C$14)*IF(AND($C55="Verified",$C$39=1),0,1)</f>
        <v>14.82</v>
      </c>
    </row>
    <row r="56" customFormat="false" ht="15" hidden="false" customHeight="false" outlineLevel="0" collapsed="false">
      <c r="A56" s="29" t="n">
        <f aca="false">Assumptions!A65</f>
        <v>9</v>
      </c>
      <c r="B56" s="29" t="str">
        <f aca="false">Assumptions!B65</f>
        <v>A</v>
      </c>
      <c r="C56" s="29" t="str">
        <f aca="false">Assumptions!C65</f>
        <v>Assured</v>
      </c>
      <c r="D56" s="34" t="n">
        <f aca="false">Assumptions!D65</f>
        <v>12000</v>
      </c>
      <c r="E56" s="31" t="n">
        <f aca="false">Assumptions!E65</f>
        <v>24</v>
      </c>
      <c r="F56" s="29" t="n">
        <f aca="false">Assumptions!G65</f>
        <v>0</v>
      </c>
      <c r="G56" s="2" t="n">
        <f aca="false">Assumptions!F65+IF(F56=1,0,$C$15)</f>
        <v>7</v>
      </c>
      <c r="H56" s="24" t="n">
        <f aca="false">IF(H$45&lt;$G56,0,IF($F56=1,$C$10+($C$11-$C$10)*MIN(H$45-$G56,$C$12)/$C$12,$E56*$C$5*INDEX($C$6:$C$9,MIN(H$45-$G56,3)+1)))*(1-$C$14)*IF(AND($C56="Verified",$C$39=1),0,1)</f>
        <v>0</v>
      </c>
      <c r="I56" s="24" t="n">
        <f aca="false">IF(I$45&lt;$G56,0,IF($F56=1,$C$10+($C$11-$C$10)*MIN(I$45-$G56,$C$12)/$C$12,$E56*$C$5*INDEX($C$6:$C$9,MIN(I$45-$G56,3)+1)))*(1-$C$14)*IF(AND($C56="Verified",$C$39=1),0,1)</f>
        <v>0</v>
      </c>
      <c r="J56" s="24" t="n">
        <f aca="false">IF(J$45&lt;$G56,0,IF($F56=1,$C$10+($C$11-$C$10)*MIN(J$45-$G56,$C$12)/$C$12,$E56*$C$5*INDEX($C$6:$C$9,MIN(J$45-$G56,3)+1)))*(1-$C$14)*IF(AND($C56="Verified",$C$39=1),0,1)</f>
        <v>0</v>
      </c>
      <c r="K56" s="24" t="n">
        <f aca="false">IF(K$45&lt;$G56,0,IF($F56=1,$C$10+($C$11-$C$10)*MIN(K$45-$G56,$C$12)/$C$12,$E56*$C$5*INDEX($C$6:$C$9,MIN(K$45-$G56,3)+1)))*(1-$C$14)*IF(AND($C56="Verified",$C$39=1),0,1)</f>
        <v>0</v>
      </c>
      <c r="L56" s="24" t="n">
        <f aca="false">IF(L$45&lt;$G56,0,IF($F56=1,$C$10+($C$11-$C$10)*MIN(L$45-$G56,$C$12)/$C$12,$E56*$C$5*INDEX($C$6:$C$9,MIN(L$45-$G56,3)+1)))*(1-$C$14)*IF(AND($C56="Verified",$C$39=1),0,1)</f>
        <v>0</v>
      </c>
      <c r="M56" s="24" t="n">
        <f aca="false">IF(M$45&lt;$G56,0,IF($F56=1,$C$10+($C$11-$C$10)*MIN(M$45-$G56,$C$12)/$C$12,$E56*$C$5*INDEX($C$6:$C$9,MIN(M$45-$G56,3)+1)))*(1-$C$14)*IF(AND($C56="Verified",$C$39=1),0,1)</f>
        <v>0</v>
      </c>
      <c r="N56" s="24" t="n">
        <f aca="false">IF(N$45&lt;$G56,0,IF($F56=1,$C$10+($C$11-$C$10)*MIN(N$45-$G56,$C$12)/$C$12,$E56*$C$5*INDEX($C$6:$C$9,MIN(N$45-$G56,3)+1)))*(1-$C$14)*IF(AND($C56="Verified",$C$39=1),0,1)</f>
        <v>4.446</v>
      </c>
      <c r="O56" s="24" t="n">
        <f aca="false">IF(O$45&lt;$G56,0,IF($F56=1,$C$10+($C$11-$C$10)*MIN(O$45-$G56,$C$12)/$C$12,$E56*$C$5*INDEX($C$6:$C$9,MIN(O$45-$G56,3)+1)))*(1-$C$14)*IF(AND($C56="Verified",$C$39=1),0,1)</f>
        <v>8.892</v>
      </c>
      <c r="P56" s="24" t="n">
        <f aca="false">IF(P$45&lt;$G56,0,IF($F56=1,$C$10+($C$11-$C$10)*MIN(P$45-$G56,$C$12)/$C$12,$E56*$C$5*INDEX($C$6:$C$9,MIN(P$45-$G56,3)+1)))*(1-$C$14)*IF(AND($C56="Verified",$C$39=1),0,1)</f>
        <v>12.597</v>
      </c>
      <c r="Q56" s="24" t="n">
        <f aca="false">IF(Q$45&lt;$G56,0,IF($F56=1,$C$10+($C$11-$C$10)*MIN(Q$45-$G56,$C$12)/$C$12,$E56*$C$5*INDEX($C$6:$C$9,MIN(Q$45-$G56,3)+1)))*(1-$C$14)*IF(AND($C56="Verified",$C$39=1),0,1)</f>
        <v>14.82</v>
      </c>
      <c r="R56" s="24" t="n">
        <f aca="false">IF(R$45&lt;$G56,0,IF($F56=1,$C$10+($C$11-$C$10)*MIN(R$45-$G56,$C$12)/$C$12,$E56*$C$5*INDEX($C$6:$C$9,MIN(R$45-$G56,3)+1)))*(1-$C$14)*IF(AND($C56="Verified",$C$39=1),0,1)</f>
        <v>14.82</v>
      </c>
      <c r="S56" s="24" t="n">
        <f aca="false">IF(S$45&lt;$G56,0,IF($F56=1,$C$10+($C$11-$C$10)*MIN(S$45-$G56,$C$12)/$C$12,$E56*$C$5*INDEX($C$6:$C$9,MIN(S$45-$G56,3)+1)))*(1-$C$14)*IF(AND($C56="Verified",$C$39=1),0,1)</f>
        <v>14.82</v>
      </c>
      <c r="T56" s="24" t="n">
        <f aca="false">IF(T$45&lt;$G56,0,IF($F56=1,$C$10+($C$11-$C$10)*MIN(T$45-$G56,$C$12)/$C$12,$E56*$C$5*INDEX($C$6:$C$9,MIN(T$45-$G56,3)+1)))*(1-$C$14)*IF(AND($C56="Verified",$C$39=1),0,1)</f>
        <v>14.82</v>
      </c>
      <c r="U56" s="24" t="n">
        <f aca="false">IF(U$45&lt;$G56,0,IF($F56=1,$C$10+($C$11-$C$10)*MIN(U$45-$G56,$C$12)/$C$12,$E56*$C$5*INDEX($C$6:$C$9,MIN(U$45-$G56,3)+1)))*(1-$C$14)*IF(AND($C56="Verified",$C$39=1),0,1)</f>
        <v>14.82</v>
      </c>
      <c r="V56" s="24" t="n">
        <f aca="false">IF(V$45&lt;$G56,0,IF($F56=1,$C$10+($C$11-$C$10)*MIN(V$45-$G56,$C$12)/$C$12,$E56*$C$5*INDEX($C$6:$C$9,MIN(V$45-$G56,3)+1)))*(1-$C$14)*IF(AND($C56="Verified",$C$39=1),0,1)</f>
        <v>14.82</v>
      </c>
      <c r="W56" s="24" t="n">
        <f aca="false">IF(W$45&lt;$G56,0,IF($F56=1,$C$10+($C$11-$C$10)*MIN(W$45-$G56,$C$12)/$C$12,$E56*$C$5*INDEX($C$6:$C$9,MIN(W$45-$G56,3)+1)))*(1-$C$14)*IF(AND($C56="Verified",$C$39=1),0,1)</f>
        <v>14.82</v>
      </c>
      <c r="X56" s="24" t="n">
        <f aca="false">IF(X$45&lt;$G56,0,IF($F56=1,$C$10+($C$11-$C$10)*MIN(X$45-$G56,$C$12)/$C$12,$E56*$C$5*INDEX($C$6:$C$9,MIN(X$45-$G56,3)+1)))*(1-$C$14)*IF(AND($C56="Verified",$C$39=1),0,1)</f>
        <v>14.82</v>
      </c>
      <c r="Y56" s="24" t="n">
        <f aca="false">IF(Y$45&lt;$G56,0,IF($F56=1,$C$10+($C$11-$C$10)*MIN(Y$45-$G56,$C$12)/$C$12,$E56*$C$5*INDEX($C$6:$C$9,MIN(Y$45-$G56,3)+1)))*(1-$C$14)*IF(AND($C56="Verified",$C$39=1),0,1)</f>
        <v>14.82</v>
      </c>
    </row>
    <row r="57" customFormat="false" ht="15" hidden="false" customHeight="false" outlineLevel="0" collapsed="false">
      <c r="A57" s="29" t="n">
        <f aca="false">Assumptions!A66</f>
        <v>10</v>
      </c>
      <c r="B57" s="29" t="str">
        <f aca="false">Assumptions!B66</f>
        <v>C</v>
      </c>
      <c r="C57" s="29" t="str">
        <f aca="false">Assumptions!C66</f>
        <v>Assured</v>
      </c>
      <c r="D57" s="34" t="n">
        <f aca="false">Assumptions!D66</f>
        <v>8000</v>
      </c>
      <c r="E57" s="31" t="n">
        <f aca="false">Assumptions!E66</f>
        <v>26</v>
      </c>
      <c r="F57" s="29" t="n">
        <f aca="false">Assumptions!G66</f>
        <v>0</v>
      </c>
      <c r="G57" s="2" t="n">
        <f aca="false">Assumptions!F66+IF(F57=1,0,$C$15)</f>
        <v>8</v>
      </c>
      <c r="H57" s="24" t="n">
        <f aca="false">IF(H$45&lt;$G57,0,IF($F57=1,$C$10+($C$11-$C$10)*MIN(H$45-$G57,$C$12)/$C$12,$E57*$C$5*INDEX($C$6:$C$9,MIN(H$45-$G57,3)+1)))*(1-$C$14)*IF(AND($C57="Verified",$C$39=1),0,1)</f>
        <v>0</v>
      </c>
      <c r="I57" s="24" t="n">
        <f aca="false">IF(I$45&lt;$G57,0,IF($F57=1,$C$10+($C$11-$C$10)*MIN(I$45-$G57,$C$12)/$C$12,$E57*$C$5*INDEX($C$6:$C$9,MIN(I$45-$G57,3)+1)))*(1-$C$14)*IF(AND($C57="Verified",$C$39=1),0,1)</f>
        <v>0</v>
      </c>
      <c r="J57" s="24" t="n">
        <f aca="false">IF(J$45&lt;$G57,0,IF($F57=1,$C$10+($C$11-$C$10)*MIN(J$45-$G57,$C$12)/$C$12,$E57*$C$5*INDEX($C$6:$C$9,MIN(J$45-$G57,3)+1)))*(1-$C$14)*IF(AND($C57="Verified",$C$39=1),0,1)</f>
        <v>0</v>
      </c>
      <c r="K57" s="24" t="n">
        <f aca="false">IF(K$45&lt;$G57,0,IF($F57=1,$C$10+($C$11-$C$10)*MIN(K$45-$G57,$C$12)/$C$12,$E57*$C$5*INDEX($C$6:$C$9,MIN(K$45-$G57,3)+1)))*(1-$C$14)*IF(AND($C57="Verified",$C$39=1),0,1)</f>
        <v>0</v>
      </c>
      <c r="L57" s="24" t="n">
        <f aca="false">IF(L$45&lt;$G57,0,IF($F57=1,$C$10+($C$11-$C$10)*MIN(L$45-$G57,$C$12)/$C$12,$E57*$C$5*INDEX($C$6:$C$9,MIN(L$45-$G57,3)+1)))*(1-$C$14)*IF(AND($C57="Verified",$C$39=1),0,1)</f>
        <v>0</v>
      </c>
      <c r="M57" s="24" t="n">
        <f aca="false">IF(M$45&lt;$G57,0,IF($F57=1,$C$10+($C$11-$C$10)*MIN(M$45-$G57,$C$12)/$C$12,$E57*$C$5*INDEX($C$6:$C$9,MIN(M$45-$G57,3)+1)))*(1-$C$14)*IF(AND($C57="Verified",$C$39=1),0,1)</f>
        <v>0</v>
      </c>
      <c r="N57" s="24" t="n">
        <f aca="false">IF(N$45&lt;$G57,0,IF($F57=1,$C$10+($C$11-$C$10)*MIN(N$45-$G57,$C$12)/$C$12,$E57*$C$5*INDEX($C$6:$C$9,MIN(N$45-$G57,3)+1)))*(1-$C$14)*IF(AND($C57="Verified",$C$39=1),0,1)</f>
        <v>0</v>
      </c>
      <c r="O57" s="24" t="n">
        <f aca="false">IF(O$45&lt;$G57,0,IF($F57=1,$C$10+($C$11-$C$10)*MIN(O$45-$G57,$C$12)/$C$12,$E57*$C$5*INDEX($C$6:$C$9,MIN(O$45-$G57,3)+1)))*(1-$C$14)*IF(AND($C57="Verified",$C$39=1),0,1)</f>
        <v>4.8165</v>
      </c>
      <c r="P57" s="24" t="n">
        <f aca="false">IF(P$45&lt;$G57,0,IF($F57=1,$C$10+($C$11-$C$10)*MIN(P$45-$G57,$C$12)/$C$12,$E57*$C$5*INDEX($C$6:$C$9,MIN(P$45-$G57,3)+1)))*(1-$C$14)*IF(AND($C57="Verified",$C$39=1),0,1)</f>
        <v>9.633</v>
      </c>
      <c r="Q57" s="24" t="n">
        <f aca="false">IF(Q$45&lt;$G57,0,IF($F57=1,$C$10+($C$11-$C$10)*MIN(Q$45-$G57,$C$12)/$C$12,$E57*$C$5*INDEX($C$6:$C$9,MIN(Q$45-$G57,3)+1)))*(1-$C$14)*IF(AND($C57="Verified",$C$39=1),0,1)</f>
        <v>13.64675</v>
      </c>
      <c r="R57" s="24" t="n">
        <f aca="false">IF(R$45&lt;$G57,0,IF($F57=1,$C$10+($C$11-$C$10)*MIN(R$45-$G57,$C$12)/$C$12,$E57*$C$5*INDEX($C$6:$C$9,MIN(R$45-$G57,3)+1)))*(1-$C$14)*IF(AND($C57="Verified",$C$39=1),0,1)</f>
        <v>16.055</v>
      </c>
      <c r="S57" s="24" t="n">
        <f aca="false">IF(S$45&lt;$G57,0,IF($F57=1,$C$10+($C$11-$C$10)*MIN(S$45-$G57,$C$12)/$C$12,$E57*$C$5*INDEX($C$6:$C$9,MIN(S$45-$G57,3)+1)))*(1-$C$14)*IF(AND($C57="Verified",$C$39=1),0,1)</f>
        <v>16.055</v>
      </c>
      <c r="T57" s="24" t="n">
        <f aca="false">IF(T$45&lt;$G57,0,IF($F57=1,$C$10+($C$11-$C$10)*MIN(T$45-$G57,$C$12)/$C$12,$E57*$C$5*INDEX($C$6:$C$9,MIN(T$45-$G57,3)+1)))*(1-$C$14)*IF(AND($C57="Verified",$C$39=1),0,1)</f>
        <v>16.055</v>
      </c>
      <c r="U57" s="24" t="n">
        <f aca="false">IF(U$45&lt;$G57,0,IF($F57=1,$C$10+($C$11-$C$10)*MIN(U$45-$G57,$C$12)/$C$12,$E57*$C$5*INDEX($C$6:$C$9,MIN(U$45-$G57,3)+1)))*(1-$C$14)*IF(AND($C57="Verified",$C$39=1),0,1)</f>
        <v>16.055</v>
      </c>
      <c r="V57" s="24" t="n">
        <f aca="false">IF(V$45&lt;$G57,0,IF($F57=1,$C$10+($C$11-$C$10)*MIN(V$45-$G57,$C$12)/$C$12,$E57*$C$5*INDEX($C$6:$C$9,MIN(V$45-$G57,3)+1)))*(1-$C$14)*IF(AND($C57="Verified",$C$39=1),0,1)</f>
        <v>16.055</v>
      </c>
      <c r="W57" s="24" t="n">
        <f aca="false">IF(W$45&lt;$G57,0,IF($F57=1,$C$10+($C$11-$C$10)*MIN(W$45-$G57,$C$12)/$C$12,$E57*$C$5*INDEX($C$6:$C$9,MIN(W$45-$G57,3)+1)))*(1-$C$14)*IF(AND($C57="Verified",$C$39=1),0,1)</f>
        <v>16.055</v>
      </c>
      <c r="X57" s="24" t="n">
        <f aca="false">IF(X$45&lt;$G57,0,IF($F57=1,$C$10+($C$11-$C$10)*MIN(X$45-$G57,$C$12)/$C$12,$E57*$C$5*INDEX($C$6:$C$9,MIN(X$45-$G57,3)+1)))*(1-$C$14)*IF(AND($C57="Verified",$C$39=1),0,1)</f>
        <v>16.055</v>
      </c>
      <c r="Y57" s="24" t="n">
        <f aca="false">IF(Y$45&lt;$G57,0,IF($F57=1,$C$10+($C$11-$C$10)*MIN(Y$45-$G57,$C$12)/$C$12,$E57*$C$5*INDEX($C$6:$C$9,MIN(Y$45-$G57,3)+1)))*(1-$C$14)*IF(AND($C57="Verified",$C$39=1),0,1)</f>
        <v>16.055</v>
      </c>
    </row>
    <row r="58" customFormat="false" ht="15" hidden="false" customHeight="false" outlineLevel="0" collapsed="false">
      <c r="A58" s="29" t="n">
        <f aca="false">Assumptions!A67</f>
        <v>11</v>
      </c>
      <c r="B58" s="29" t="str">
        <f aca="false">Assumptions!B67</f>
        <v>C</v>
      </c>
      <c r="C58" s="29" t="str">
        <f aca="false">Assumptions!C67</f>
        <v>Assured</v>
      </c>
      <c r="D58" s="34" t="n">
        <f aca="false">Assumptions!D67</f>
        <v>8000</v>
      </c>
      <c r="E58" s="31" t="n">
        <f aca="false">Assumptions!E67</f>
        <v>26</v>
      </c>
      <c r="F58" s="29" t="n">
        <f aca="false">Assumptions!G67</f>
        <v>0</v>
      </c>
      <c r="G58" s="2" t="n">
        <f aca="false">Assumptions!F67+IF(F58=1,0,$C$15)</f>
        <v>9</v>
      </c>
      <c r="H58" s="24" t="n">
        <f aca="false">IF(H$45&lt;$G58,0,IF($F58=1,$C$10+($C$11-$C$10)*MIN(H$45-$G58,$C$12)/$C$12,$E58*$C$5*INDEX($C$6:$C$9,MIN(H$45-$G58,3)+1)))*(1-$C$14)*IF(AND($C58="Verified",$C$39=1),0,1)</f>
        <v>0</v>
      </c>
      <c r="I58" s="24" t="n">
        <f aca="false">IF(I$45&lt;$G58,0,IF($F58=1,$C$10+($C$11-$C$10)*MIN(I$45-$G58,$C$12)/$C$12,$E58*$C$5*INDEX($C$6:$C$9,MIN(I$45-$G58,3)+1)))*(1-$C$14)*IF(AND($C58="Verified",$C$39=1),0,1)</f>
        <v>0</v>
      </c>
      <c r="J58" s="24" t="n">
        <f aca="false">IF(J$45&lt;$G58,0,IF($F58=1,$C$10+($C$11-$C$10)*MIN(J$45-$G58,$C$12)/$C$12,$E58*$C$5*INDEX($C$6:$C$9,MIN(J$45-$G58,3)+1)))*(1-$C$14)*IF(AND($C58="Verified",$C$39=1),0,1)</f>
        <v>0</v>
      </c>
      <c r="K58" s="24" t="n">
        <f aca="false">IF(K$45&lt;$G58,0,IF($F58=1,$C$10+($C$11-$C$10)*MIN(K$45-$G58,$C$12)/$C$12,$E58*$C$5*INDEX($C$6:$C$9,MIN(K$45-$G58,3)+1)))*(1-$C$14)*IF(AND($C58="Verified",$C$39=1),0,1)</f>
        <v>0</v>
      </c>
      <c r="L58" s="24" t="n">
        <f aca="false">IF(L$45&lt;$G58,0,IF($F58=1,$C$10+($C$11-$C$10)*MIN(L$45-$G58,$C$12)/$C$12,$E58*$C$5*INDEX($C$6:$C$9,MIN(L$45-$G58,3)+1)))*(1-$C$14)*IF(AND($C58="Verified",$C$39=1),0,1)</f>
        <v>0</v>
      </c>
      <c r="M58" s="24" t="n">
        <f aca="false">IF(M$45&lt;$G58,0,IF($F58=1,$C$10+($C$11-$C$10)*MIN(M$45-$G58,$C$12)/$C$12,$E58*$C$5*INDEX($C$6:$C$9,MIN(M$45-$G58,3)+1)))*(1-$C$14)*IF(AND($C58="Verified",$C$39=1),0,1)</f>
        <v>0</v>
      </c>
      <c r="N58" s="24" t="n">
        <f aca="false">IF(N$45&lt;$G58,0,IF($F58=1,$C$10+($C$11-$C$10)*MIN(N$45-$G58,$C$12)/$C$12,$E58*$C$5*INDEX($C$6:$C$9,MIN(N$45-$G58,3)+1)))*(1-$C$14)*IF(AND($C58="Verified",$C$39=1),0,1)</f>
        <v>0</v>
      </c>
      <c r="O58" s="24" t="n">
        <f aca="false">IF(O$45&lt;$G58,0,IF($F58=1,$C$10+($C$11-$C$10)*MIN(O$45-$G58,$C$12)/$C$12,$E58*$C$5*INDEX($C$6:$C$9,MIN(O$45-$G58,3)+1)))*(1-$C$14)*IF(AND($C58="Verified",$C$39=1),0,1)</f>
        <v>0</v>
      </c>
      <c r="P58" s="24" t="n">
        <f aca="false">IF(P$45&lt;$G58,0,IF($F58=1,$C$10+($C$11-$C$10)*MIN(P$45-$G58,$C$12)/$C$12,$E58*$C$5*INDEX($C$6:$C$9,MIN(P$45-$G58,3)+1)))*(1-$C$14)*IF(AND($C58="Verified",$C$39=1),0,1)</f>
        <v>4.8165</v>
      </c>
      <c r="Q58" s="24" t="n">
        <f aca="false">IF(Q$45&lt;$G58,0,IF($F58=1,$C$10+($C$11-$C$10)*MIN(Q$45-$G58,$C$12)/$C$12,$E58*$C$5*INDEX($C$6:$C$9,MIN(Q$45-$G58,3)+1)))*(1-$C$14)*IF(AND($C58="Verified",$C$39=1),0,1)</f>
        <v>9.633</v>
      </c>
      <c r="R58" s="24" t="n">
        <f aca="false">IF(R$45&lt;$G58,0,IF($F58=1,$C$10+($C$11-$C$10)*MIN(R$45-$G58,$C$12)/$C$12,$E58*$C$5*INDEX($C$6:$C$9,MIN(R$45-$G58,3)+1)))*(1-$C$14)*IF(AND($C58="Verified",$C$39=1),0,1)</f>
        <v>13.64675</v>
      </c>
      <c r="S58" s="24" t="n">
        <f aca="false">IF(S$45&lt;$G58,0,IF($F58=1,$C$10+($C$11-$C$10)*MIN(S$45-$G58,$C$12)/$C$12,$E58*$C$5*INDEX($C$6:$C$9,MIN(S$45-$G58,3)+1)))*(1-$C$14)*IF(AND($C58="Verified",$C$39=1),0,1)</f>
        <v>16.055</v>
      </c>
      <c r="T58" s="24" t="n">
        <f aca="false">IF(T$45&lt;$G58,0,IF($F58=1,$C$10+($C$11-$C$10)*MIN(T$45-$G58,$C$12)/$C$12,$E58*$C$5*INDEX($C$6:$C$9,MIN(T$45-$G58,3)+1)))*(1-$C$14)*IF(AND($C58="Verified",$C$39=1),0,1)</f>
        <v>16.055</v>
      </c>
      <c r="U58" s="24" t="n">
        <f aca="false">IF(U$45&lt;$G58,0,IF($F58=1,$C$10+($C$11-$C$10)*MIN(U$45-$G58,$C$12)/$C$12,$E58*$C$5*INDEX($C$6:$C$9,MIN(U$45-$G58,3)+1)))*(1-$C$14)*IF(AND($C58="Verified",$C$39=1),0,1)</f>
        <v>16.055</v>
      </c>
      <c r="V58" s="24" t="n">
        <f aca="false">IF(V$45&lt;$G58,0,IF($F58=1,$C$10+($C$11-$C$10)*MIN(V$45-$G58,$C$12)/$C$12,$E58*$C$5*INDEX($C$6:$C$9,MIN(V$45-$G58,3)+1)))*(1-$C$14)*IF(AND($C58="Verified",$C$39=1),0,1)</f>
        <v>16.055</v>
      </c>
      <c r="W58" s="24" t="n">
        <f aca="false">IF(W$45&lt;$G58,0,IF($F58=1,$C$10+($C$11-$C$10)*MIN(W$45-$G58,$C$12)/$C$12,$E58*$C$5*INDEX($C$6:$C$9,MIN(W$45-$G58,3)+1)))*(1-$C$14)*IF(AND($C58="Verified",$C$39=1),0,1)</f>
        <v>16.055</v>
      </c>
      <c r="X58" s="24" t="n">
        <f aca="false">IF(X$45&lt;$G58,0,IF($F58=1,$C$10+($C$11-$C$10)*MIN(X$45-$G58,$C$12)/$C$12,$E58*$C$5*INDEX($C$6:$C$9,MIN(X$45-$G58,3)+1)))*(1-$C$14)*IF(AND($C58="Verified",$C$39=1),0,1)</f>
        <v>16.055</v>
      </c>
      <c r="Y58" s="24" t="n">
        <f aca="false">IF(Y$45&lt;$G58,0,IF($F58=1,$C$10+($C$11-$C$10)*MIN(Y$45-$G58,$C$12)/$C$12,$E58*$C$5*INDEX($C$6:$C$9,MIN(Y$45-$G58,3)+1)))*(1-$C$14)*IF(AND($C58="Verified",$C$39=1),0,1)</f>
        <v>16.055</v>
      </c>
    </row>
    <row r="59" customFormat="false" ht="15" hidden="false" customHeight="false" outlineLevel="0" collapsed="false">
      <c r="A59" s="29" t="n">
        <f aca="false">Assumptions!A68</f>
        <v>12</v>
      </c>
      <c r="B59" s="29" t="str">
        <f aca="false">Assumptions!B68</f>
        <v>C</v>
      </c>
      <c r="C59" s="29" t="str">
        <f aca="false">Assumptions!C68</f>
        <v>Assured</v>
      </c>
      <c r="D59" s="34" t="n">
        <f aca="false">Assumptions!D68</f>
        <v>8000</v>
      </c>
      <c r="E59" s="31" t="n">
        <f aca="false">Assumptions!E68</f>
        <v>26</v>
      </c>
      <c r="F59" s="29" t="n">
        <f aca="false">Assumptions!G68</f>
        <v>0</v>
      </c>
      <c r="G59" s="2" t="n">
        <f aca="false">Assumptions!F68+IF(F59=1,0,$C$15)</f>
        <v>9</v>
      </c>
      <c r="H59" s="24" t="n">
        <f aca="false">IF(H$45&lt;$G59,0,IF($F59=1,$C$10+($C$11-$C$10)*MIN(H$45-$G59,$C$12)/$C$12,$E59*$C$5*INDEX($C$6:$C$9,MIN(H$45-$G59,3)+1)))*(1-$C$14)*IF(AND($C59="Verified",$C$39=1),0,1)</f>
        <v>0</v>
      </c>
      <c r="I59" s="24" t="n">
        <f aca="false">IF(I$45&lt;$G59,0,IF($F59=1,$C$10+($C$11-$C$10)*MIN(I$45-$G59,$C$12)/$C$12,$E59*$C$5*INDEX($C$6:$C$9,MIN(I$45-$G59,3)+1)))*(1-$C$14)*IF(AND($C59="Verified",$C$39=1),0,1)</f>
        <v>0</v>
      </c>
      <c r="J59" s="24" t="n">
        <f aca="false">IF(J$45&lt;$G59,0,IF($F59=1,$C$10+($C$11-$C$10)*MIN(J$45-$G59,$C$12)/$C$12,$E59*$C$5*INDEX($C$6:$C$9,MIN(J$45-$G59,3)+1)))*(1-$C$14)*IF(AND($C59="Verified",$C$39=1),0,1)</f>
        <v>0</v>
      </c>
      <c r="K59" s="24" t="n">
        <f aca="false">IF(K$45&lt;$G59,0,IF($F59=1,$C$10+($C$11-$C$10)*MIN(K$45-$G59,$C$12)/$C$12,$E59*$C$5*INDEX($C$6:$C$9,MIN(K$45-$G59,3)+1)))*(1-$C$14)*IF(AND($C59="Verified",$C$39=1),0,1)</f>
        <v>0</v>
      </c>
      <c r="L59" s="24" t="n">
        <f aca="false">IF(L$45&lt;$G59,0,IF($F59=1,$C$10+($C$11-$C$10)*MIN(L$45-$G59,$C$12)/$C$12,$E59*$C$5*INDEX($C$6:$C$9,MIN(L$45-$G59,3)+1)))*(1-$C$14)*IF(AND($C59="Verified",$C$39=1),0,1)</f>
        <v>0</v>
      </c>
      <c r="M59" s="24" t="n">
        <f aca="false">IF(M$45&lt;$G59,0,IF($F59=1,$C$10+($C$11-$C$10)*MIN(M$45-$G59,$C$12)/$C$12,$E59*$C$5*INDEX($C$6:$C$9,MIN(M$45-$G59,3)+1)))*(1-$C$14)*IF(AND($C59="Verified",$C$39=1),0,1)</f>
        <v>0</v>
      </c>
      <c r="N59" s="24" t="n">
        <f aca="false">IF(N$45&lt;$G59,0,IF($F59=1,$C$10+($C$11-$C$10)*MIN(N$45-$G59,$C$12)/$C$12,$E59*$C$5*INDEX($C$6:$C$9,MIN(N$45-$G59,3)+1)))*(1-$C$14)*IF(AND($C59="Verified",$C$39=1),0,1)</f>
        <v>0</v>
      </c>
      <c r="O59" s="24" t="n">
        <f aca="false">IF(O$45&lt;$G59,0,IF($F59=1,$C$10+($C$11-$C$10)*MIN(O$45-$G59,$C$12)/$C$12,$E59*$C$5*INDEX($C$6:$C$9,MIN(O$45-$G59,3)+1)))*(1-$C$14)*IF(AND($C59="Verified",$C$39=1),0,1)</f>
        <v>0</v>
      </c>
      <c r="P59" s="24" t="n">
        <f aca="false">IF(P$45&lt;$G59,0,IF($F59=1,$C$10+($C$11-$C$10)*MIN(P$45-$G59,$C$12)/$C$12,$E59*$C$5*INDEX($C$6:$C$9,MIN(P$45-$G59,3)+1)))*(1-$C$14)*IF(AND($C59="Verified",$C$39=1),0,1)</f>
        <v>4.8165</v>
      </c>
      <c r="Q59" s="24" t="n">
        <f aca="false">IF(Q$45&lt;$G59,0,IF($F59=1,$C$10+($C$11-$C$10)*MIN(Q$45-$G59,$C$12)/$C$12,$E59*$C$5*INDEX($C$6:$C$9,MIN(Q$45-$G59,3)+1)))*(1-$C$14)*IF(AND($C59="Verified",$C$39=1),0,1)</f>
        <v>9.633</v>
      </c>
      <c r="R59" s="24" t="n">
        <f aca="false">IF(R$45&lt;$G59,0,IF($F59=1,$C$10+($C$11-$C$10)*MIN(R$45-$G59,$C$12)/$C$12,$E59*$C$5*INDEX($C$6:$C$9,MIN(R$45-$G59,3)+1)))*(1-$C$14)*IF(AND($C59="Verified",$C$39=1),0,1)</f>
        <v>13.64675</v>
      </c>
      <c r="S59" s="24" t="n">
        <f aca="false">IF(S$45&lt;$G59,0,IF($F59=1,$C$10+($C$11-$C$10)*MIN(S$45-$G59,$C$12)/$C$12,$E59*$C$5*INDEX($C$6:$C$9,MIN(S$45-$G59,3)+1)))*(1-$C$14)*IF(AND($C59="Verified",$C$39=1),0,1)</f>
        <v>16.055</v>
      </c>
      <c r="T59" s="24" t="n">
        <f aca="false">IF(T$45&lt;$G59,0,IF($F59=1,$C$10+($C$11-$C$10)*MIN(T$45-$G59,$C$12)/$C$12,$E59*$C$5*INDEX($C$6:$C$9,MIN(T$45-$G59,3)+1)))*(1-$C$14)*IF(AND($C59="Verified",$C$39=1),0,1)</f>
        <v>16.055</v>
      </c>
      <c r="U59" s="24" t="n">
        <f aca="false">IF(U$45&lt;$G59,0,IF($F59=1,$C$10+($C$11-$C$10)*MIN(U$45-$G59,$C$12)/$C$12,$E59*$C$5*INDEX($C$6:$C$9,MIN(U$45-$G59,3)+1)))*(1-$C$14)*IF(AND($C59="Verified",$C$39=1),0,1)</f>
        <v>16.055</v>
      </c>
      <c r="V59" s="24" t="n">
        <f aca="false">IF(V$45&lt;$G59,0,IF($F59=1,$C$10+($C$11-$C$10)*MIN(V$45-$G59,$C$12)/$C$12,$E59*$C$5*INDEX($C$6:$C$9,MIN(V$45-$G59,3)+1)))*(1-$C$14)*IF(AND($C59="Verified",$C$39=1),0,1)</f>
        <v>16.055</v>
      </c>
      <c r="W59" s="24" t="n">
        <f aca="false">IF(W$45&lt;$G59,0,IF($F59=1,$C$10+($C$11-$C$10)*MIN(W$45-$G59,$C$12)/$C$12,$E59*$C$5*INDEX($C$6:$C$9,MIN(W$45-$G59,3)+1)))*(1-$C$14)*IF(AND($C59="Verified",$C$39=1),0,1)</f>
        <v>16.055</v>
      </c>
      <c r="X59" s="24" t="n">
        <f aca="false">IF(X$45&lt;$G59,0,IF($F59=1,$C$10+($C$11-$C$10)*MIN(X$45-$G59,$C$12)/$C$12,$E59*$C$5*INDEX($C$6:$C$9,MIN(X$45-$G59,3)+1)))*(1-$C$14)*IF(AND($C59="Verified",$C$39=1),0,1)</f>
        <v>16.055</v>
      </c>
      <c r="Y59" s="24" t="n">
        <f aca="false">IF(Y$45&lt;$G59,0,IF($F59=1,$C$10+($C$11-$C$10)*MIN(Y$45-$G59,$C$12)/$C$12,$E59*$C$5*INDEX($C$6:$C$9,MIN(Y$45-$G59,3)+1)))*(1-$C$14)*IF(AND($C59="Verified",$C$39=1),0,1)</f>
        <v>16.055</v>
      </c>
    </row>
    <row r="60" customFormat="false" ht="15" hidden="false" customHeight="false" outlineLevel="0" collapsed="false">
      <c r="A60" s="29" t="n">
        <f aca="false">Assumptions!A69</f>
        <v>13</v>
      </c>
      <c r="B60" s="29" t="str">
        <f aca="false">Assumptions!B69</f>
        <v>C</v>
      </c>
      <c r="C60" s="29" t="str">
        <f aca="false">Assumptions!C69</f>
        <v>Assured</v>
      </c>
      <c r="D60" s="34" t="n">
        <f aca="false">Assumptions!D69</f>
        <v>8000</v>
      </c>
      <c r="E60" s="31" t="n">
        <f aca="false">Assumptions!E69</f>
        <v>26</v>
      </c>
      <c r="F60" s="29" t="n">
        <f aca="false">Assumptions!G69</f>
        <v>0</v>
      </c>
      <c r="G60" s="2" t="n">
        <f aca="false">Assumptions!F69+IF(F60=1,0,$C$15)</f>
        <v>10</v>
      </c>
      <c r="H60" s="24" t="n">
        <f aca="false">IF(H$45&lt;$G60,0,IF($F60=1,$C$10+($C$11-$C$10)*MIN(H$45-$G60,$C$12)/$C$12,$E60*$C$5*INDEX($C$6:$C$9,MIN(H$45-$G60,3)+1)))*(1-$C$14)*IF(AND($C60="Verified",$C$39=1),0,1)</f>
        <v>0</v>
      </c>
      <c r="I60" s="24" t="n">
        <f aca="false">IF(I$45&lt;$G60,0,IF($F60=1,$C$10+($C$11-$C$10)*MIN(I$45-$G60,$C$12)/$C$12,$E60*$C$5*INDEX($C$6:$C$9,MIN(I$45-$G60,3)+1)))*(1-$C$14)*IF(AND($C60="Verified",$C$39=1),0,1)</f>
        <v>0</v>
      </c>
      <c r="J60" s="24" t="n">
        <f aca="false">IF(J$45&lt;$G60,0,IF($F60=1,$C$10+($C$11-$C$10)*MIN(J$45-$G60,$C$12)/$C$12,$E60*$C$5*INDEX($C$6:$C$9,MIN(J$45-$G60,3)+1)))*(1-$C$14)*IF(AND($C60="Verified",$C$39=1),0,1)</f>
        <v>0</v>
      </c>
      <c r="K60" s="24" t="n">
        <f aca="false">IF(K$45&lt;$G60,0,IF($F60=1,$C$10+($C$11-$C$10)*MIN(K$45-$G60,$C$12)/$C$12,$E60*$C$5*INDEX($C$6:$C$9,MIN(K$45-$G60,3)+1)))*(1-$C$14)*IF(AND($C60="Verified",$C$39=1),0,1)</f>
        <v>0</v>
      </c>
      <c r="L60" s="24" t="n">
        <f aca="false">IF(L$45&lt;$G60,0,IF($F60=1,$C$10+($C$11-$C$10)*MIN(L$45-$G60,$C$12)/$C$12,$E60*$C$5*INDEX($C$6:$C$9,MIN(L$45-$G60,3)+1)))*(1-$C$14)*IF(AND($C60="Verified",$C$39=1),0,1)</f>
        <v>0</v>
      </c>
      <c r="M60" s="24" t="n">
        <f aca="false">IF(M$45&lt;$G60,0,IF($F60=1,$C$10+($C$11-$C$10)*MIN(M$45-$G60,$C$12)/$C$12,$E60*$C$5*INDEX($C$6:$C$9,MIN(M$45-$G60,3)+1)))*(1-$C$14)*IF(AND($C60="Verified",$C$39=1),0,1)</f>
        <v>0</v>
      </c>
      <c r="N60" s="24" t="n">
        <f aca="false">IF(N$45&lt;$G60,0,IF($F60=1,$C$10+($C$11-$C$10)*MIN(N$45-$G60,$C$12)/$C$12,$E60*$C$5*INDEX($C$6:$C$9,MIN(N$45-$G60,3)+1)))*(1-$C$14)*IF(AND($C60="Verified",$C$39=1),0,1)</f>
        <v>0</v>
      </c>
      <c r="O60" s="24" t="n">
        <f aca="false">IF(O$45&lt;$G60,0,IF($F60=1,$C$10+($C$11-$C$10)*MIN(O$45-$G60,$C$12)/$C$12,$E60*$C$5*INDEX($C$6:$C$9,MIN(O$45-$G60,3)+1)))*(1-$C$14)*IF(AND($C60="Verified",$C$39=1),0,1)</f>
        <v>0</v>
      </c>
      <c r="P60" s="24" t="n">
        <f aca="false">IF(P$45&lt;$G60,0,IF($F60=1,$C$10+($C$11-$C$10)*MIN(P$45-$G60,$C$12)/$C$12,$E60*$C$5*INDEX($C$6:$C$9,MIN(P$45-$G60,3)+1)))*(1-$C$14)*IF(AND($C60="Verified",$C$39=1),0,1)</f>
        <v>0</v>
      </c>
      <c r="Q60" s="24" t="n">
        <f aca="false">IF(Q$45&lt;$G60,0,IF($F60=1,$C$10+($C$11-$C$10)*MIN(Q$45-$G60,$C$12)/$C$12,$E60*$C$5*INDEX($C$6:$C$9,MIN(Q$45-$G60,3)+1)))*(1-$C$14)*IF(AND($C60="Verified",$C$39=1),0,1)</f>
        <v>4.8165</v>
      </c>
      <c r="R60" s="24" t="n">
        <f aca="false">IF(R$45&lt;$G60,0,IF($F60=1,$C$10+($C$11-$C$10)*MIN(R$45-$G60,$C$12)/$C$12,$E60*$C$5*INDEX($C$6:$C$9,MIN(R$45-$G60,3)+1)))*(1-$C$14)*IF(AND($C60="Verified",$C$39=1),0,1)</f>
        <v>9.633</v>
      </c>
      <c r="S60" s="24" t="n">
        <f aca="false">IF(S$45&lt;$G60,0,IF($F60=1,$C$10+($C$11-$C$10)*MIN(S$45-$G60,$C$12)/$C$12,$E60*$C$5*INDEX($C$6:$C$9,MIN(S$45-$G60,3)+1)))*(1-$C$14)*IF(AND($C60="Verified",$C$39=1),0,1)</f>
        <v>13.64675</v>
      </c>
      <c r="T60" s="24" t="n">
        <f aca="false">IF(T$45&lt;$G60,0,IF($F60=1,$C$10+($C$11-$C$10)*MIN(T$45-$G60,$C$12)/$C$12,$E60*$C$5*INDEX($C$6:$C$9,MIN(T$45-$G60,3)+1)))*(1-$C$14)*IF(AND($C60="Verified",$C$39=1),0,1)</f>
        <v>16.055</v>
      </c>
      <c r="U60" s="24" t="n">
        <f aca="false">IF(U$45&lt;$G60,0,IF($F60=1,$C$10+($C$11-$C$10)*MIN(U$45-$G60,$C$12)/$C$12,$E60*$C$5*INDEX($C$6:$C$9,MIN(U$45-$G60,3)+1)))*(1-$C$14)*IF(AND($C60="Verified",$C$39=1),0,1)</f>
        <v>16.055</v>
      </c>
      <c r="V60" s="24" t="n">
        <f aca="false">IF(V$45&lt;$G60,0,IF($F60=1,$C$10+($C$11-$C$10)*MIN(V$45-$G60,$C$12)/$C$12,$E60*$C$5*INDEX($C$6:$C$9,MIN(V$45-$G60,3)+1)))*(1-$C$14)*IF(AND($C60="Verified",$C$39=1),0,1)</f>
        <v>16.055</v>
      </c>
      <c r="W60" s="24" t="n">
        <f aca="false">IF(W$45&lt;$G60,0,IF($F60=1,$C$10+($C$11-$C$10)*MIN(W$45-$G60,$C$12)/$C$12,$E60*$C$5*INDEX($C$6:$C$9,MIN(W$45-$G60,3)+1)))*(1-$C$14)*IF(AND($C60="Verified",$C$39=1),0,1)</f>
        <v>16.055</v>
      </c>
      <c r="X60" s="24" t="n">
        <f aca="false">IF(X$45&lt;$G60,0,IF($F60=1,$C$10+($C$11-$C$10)*MIN(X$45-$G60,$C$12)/$C$12,$E60*$C$5*INDEX($C$6:$C$9,MIN(X$45-$G60,3)+1)))*(1-$C$14)*IF(AND($C60="Verified",$C$39=1),0,1)</f>
        <v>16.055</v>
      </c>
      <c r="Y60" s="24" t="n">
        <f aca="false">IF(Y$45&lt;$G60,0,IF($F60=1,$C$10+($C$11-$C$10)*MIN(Y$45-$G60,$C$12)/$C$12,$E60*$C$5*INDEX($C$6:$C$9,MIN(Y$45-$G60,3)+1)))*(1-$C$14)*IF(AND($C60="Verified",$C$39=1),0,1)</f>
        <v>16.055</v>
      </c>
    </row>
    <row r="61" customFormat="false" ht="15" hidden="false" customHeight="false" outlineLevel="0" collapsed="false">
      <c r="A61" s="29" t="n">
        <f aca="false">Assumptions!A70</f>
        <v>14</v>
      </c>
      <c r="B61" s="29" t="str">
        <f aca="false">Assumptions!B70</f>
        <v>B</v>
      </c>
      <c r="C61" s="29" t="str">
        <f aca="false">Assumptions!C70</f>
        <v>Connect</v>
      </c>
      <c r="D61" s="34" t="n">
        <f aca="false">Assumptions!D70</f>
        <v>6500</v>
      </c>
      <c r="E61" s="31" t="n">
        <f aca="false">Assumptions!E70</f>
        <v>30</v>
      </c>
      <c r="F61" s="29" t="n">
        <f aca="false">Assumptions!G70</f>
        <v>0</v>
      </c>
      <c r="G61" s="2" t="n">
        <f aca="false">Assumptions!F70+IF(F61=1,0,$C$15)</f>
        <v>11</v>
      </c>
      <c r="H61" s="24" t="n">
        <f aca="false">IF(H$45&lt;$G61,0,IF($F61=1,$C$10+($C$11-$C$10)*MIN(H$45-$G61,$C$12)/$C$12,$E61*$C$5*INDEX($C$6:$C$9,MIN(H$45-$G61,3)+1)))*(1-$C$14)*IF(AND($C61="Verified",$C$39=1),0,1)</f>
        <v>0</v>
      </c>
      <c r="I61" s="24" t="n">
        <f aca="false">IF(I$45&lt;$G61,0,IF($F61=1,$C$10+($C$11-$C$10)*MIN(I$45-$G61,$C$12)/$C$12,$E61*$C$5*INDEX($C$6:$C$9,MIN(I$45-$G61,3)+1)))*(1-$C$14)*IF(AND($C61="Verified",$C$39=1),0,1)</f>
        <v>0</v>
      </c>
      <c r="J61" s="24" t="n">
        <f aca="false">IF(J$45&lt;$G61,0,IF($F61=1,$C$10+($C$11-$C$10)*MIN(J$45-$G61,$C$12)/$C$12,$E61*$C$5*INDEX($C$6:$C$9,MIN(J$45-$G61,3)+1)))*(1-$C$14)*IF(AND($C61="Verified",$C$39=1),0,1)</f>
        <v>0</v>
      </c>
      <c r="K61" s="24" t="n">
        <f aca="false">IF(K$45&lt;$G61,0,IF($F61=1,$C$10+($C$11-$C$10)*MIN(K$45-$G61,$C$12)/$C$12,$E61*$C$5*INDEX($C$6:$C$9,MIN(K$45-$G61,3)+1)))*(1-$C$14)*IF(AND($C61="Verified",$C$39=1),0,1)</f>
        <v>0</v>
      </c>
      <c r="L61" s="24" t="n">
        <f aca="false">IF(L$45&lt;$G61,0,IF($F61=1,$C$10+($C$11-$C$10)*MIN(L$45-$G61,$C$12)/$C$12,$E61*$C$5*INDEX($C$6:$C$9,MIN(L$45-$G61,3)+1)))*(1-$C$14)*IF(AND($C61="Verified",$C$39=1),0,1)</f>
        <v>0</v>
      </c>
      <c r="M61" s="24" t="n">
        <f aca="false">IF(M$45&lt;$G61,0,IF($F61=1,$C$10+($C$11-$C$10)*MIN(M$45-$G61,$C$12)/$C$12,$E61*$C$5*INDEX($C$6:$C$9,MIN(M$45-$G61,3)+1)))*(1-$C$14)*IF(AND($C61="Verified",$C$39=1),0,1)</f>
        <v>0</v>
      </c>
      <c r="N61" s="24" t="n">
        <f aca="false">IF(N$45&lt;$G61,0,IF($F61=1,$C$10+($C$11-$C$10)*MIN(N$45-$G61,$C$12)/$C$12,$E61*$C$5*INDEX($C$6:$C$9,MIN(N$45-$G61,3)+1)))*(1-$C$14)*IF(AND($C61="Verified",$C$39=1),0,1)</f>
        <v>0</v>
      </c>
      <c r="O61" s="24" t="n">
        <f aca="false">IF(O$45&lt;$G61,0,IF($F61=1,$C$10+($C$11-$C$10)*MIN(O$45-$G61,$C$12)/$C$12,$E61*$C$5*INDEX($C$6:$C$9,MIN(O$45-$G61,3)+1)))*(1-$C$14)*IF(AND($C61="Verified",$C$39=1),0,1)</f>
        <v>0</v>
      </c>
      <c r="P61" s="24" t="n">
        <f aca="false">IF(P$45&lt;$G61,0,IF($F61=1,$C$10+($C$11-$C$10)*MIN(P$45-$G61,$C$12)/$C$12,$E61*$C$5*INDEX($C$6:$C$9,MIN(P$45-$G61,3)+1)))*(1-$C$14)*IF(AND($C61="Verified",$C$39=1),0,1)</f>
        <v>0</v>
      </c>
      <c r="Q61" s="24" t="n">
        <f aca="false">IF(Q$45&lt;$G61,0,IF($F61=1,$C$10+($C$11-$C$10)*MIN(Q$45-$G61,$C$12)/$C$12,$E61*$C$5*INDEX($C$6:$C$9,MIN(Q$45-$G61,3)+1)))*(1-$C$14)*IF(AND($C61="Verified",$C$39=1),0,1)</f>
        <v>0</v>
      </c>
      <c r="R61" s="24" t="n">
        <f aca="false">IF(R$45&lt;$G61,0,IF($F61=1,$C$10+($C$11-$C$10)*MIN(R$45-$G61,$C$12)/$C$12,$E61*$C$5*INDEX($C$6:$C$9,MIN(R$45-$G61,3)+1)))*(1-$C$14)*IF(AND($C61="Verified",$C$39=1),0,1)</f>
        <v>5.5575</v>
      </c>
      <c r="S61" s="24" t="n">
        <f aca="false">IF(S$45&lt;$G61,0,IF($F61=1,$C$10+($C$11-$C$10)*MIN(S$45-$G61,$C$12)/$C$12,$E61*$C$5*INDEX($C$6:$C$9,MIN(S$45-$G61,3)+1)))*(1-$C$14)*IF(AND($C61="Verified",$C$39=1),0,1)</f>
        <v>11.115</v>
      </c>
      <c r="T61" s="24" t="n">
        <f aca="false">IF(T$45&lt;$G61,0,IF($F61=1,$C$10+($C$11-$C$10)*MIN(T$45-$G61,$C$12)/$C$12,$E61*$C$5*INDEX($C$6:$C$9,MIN(T$45-$G61,3)+1)))*(1-$C$14)*IF(AND($C61="Verified",$C$39=1),0,1)</f>
        <v>15.74625</v>
      </c>
      <c r="U61" s="24" t="n">
        <f aca="false">IF(U$45&lt;$G61,0,IF($F61=1,$C$10+($C$11-$C$10)*MIN(U$45-$G61,$C$12)/$C$12,$E61*$C$5*INDEX($C$6:$C$9,MIN(U$45-$G61,3)+1)))*(1-$C$14)*IF(AND($C61="Verified",$C$39=1),0,1)</f>
        <v>18.525</v>
      </c>
      <c r="V61" s="24" t="n">
        <f aca="false">IF(V$45&lt;$G61,0,IF($F61=1,$C$10+($C$11-$C$10)*MIN(V$45-$G61,$C$12)/$C$12,$E61*$C$5*INDEX($C$6:$C$9,MIN(V$45-$G61,3)+1)))*(1-$C$14)*IF(AND($C61="Verified",$C$39=1),0,1)</f>
        <v>18.525</v>
      </c>
      <c r="W61" s="24" t="n">
        <f aca="false">IF(W$45&lt;$G61,0,IF($F61=1,$C$10+($C$11-$C$10)*MIN(W$45-$G61,$C$12)/$C$12,$E61*$C$5*INDEX($C$6:$C$9,MIN(W$45-$G61,3)+1)))*(1-$C$14)*IF(AND($C61="Verified",$C$39=1),0,1)</f>
        <v>18.525</v>
      </c>
      <c r="X61" s="24" t="n">
        <f aca="false">IF(X$45&lt;$G61,0,IF($F61=1,$C$10+($C$11-$C$10)*MIN(X$45-$G61,$C$12)/$C$12,$E61*$C$5*INDEX($C$6:$C$9,MIN(X$45-$G61,3)+1)))*(1-$C$14)*IF(AND($C61="Verified",$C$39=1),0,1)</f>
        <v>18.525</v>
      </c>
      <c r="Y61" s="24" t="n">
        <f aca="false">IF(Y$45&lt;$G61,0,IF($F61=1,$C$10+($C$11-$C$10)*MIN(Y$45-$G61,$C$12)/$C$12,$E61*$C$5*INDEX($C$6:$C$9,MIN(Y$45-$G61,3)+1)))*(1-$C$14)*IF(AND($C61="Verified",$C$39=1),0,1)</f>
        <v>18.525</v>
      </c>
    </row>
    <row r="62" customFormat="false" ht="15" hidden="false" customHeight="false" outlineLevel="0" collapsed="false">
      <c r="A62" s="29" t="n">
        <f aca="false">Assumptions!A71</f>
        <v>15</v>
      </c>
      <c r="B62" s="29" t="str">
        <f aca="false">Assumptions!B71</f>
        <v>B</v>
      </c>
      <c r="C62" s="29" t="str">
        <f aca="false">Assumptions!C71</f>
        <v>Connect</v>
      </c>
      <c r="D62" s="34" t="n">
        <f aca="false">Assumptions!D71</f>
        <v>6500</v>
      </c>
      <c r="E62" s="31" t="n">
        <f aca="false">Assumptions!E71</f>
        <v>30</v>
      </c>
      <c r="F62" s="29" t="n">
        <f aca="false">Assumptions!G71</f>
        <v>0</v>
      </c>
      <c r="G62" s="2" t="n">
        <f aca="false">Assumptions!F71+IF(F62=1,0,$C$15)</f>
        <v>12</v>
      </c>
      <c r="H62" s="24" t="n">
        <f aca="false">IF(H$45&lt;$G62,0,IF($F62=1,$C$10+($C$11-$C$10)*MIN(H$45-$G62,$C$12)/$C$12,$E62*$C$5*INDEX($C$6:$C$9,MIN(H$45-$G62,3)+1)))*(1-$C$14)*IF(AND($C62="Verified",$C$39=1),0,1)</f>
        <v>0</v>
      </c>
      <c r="I62" s="24" t="n">
        <f aca="false">IF(I$45&lt;$G62,0,IF($F62=1,$C$10+($C$11-$C$10)*MIN(I$45-$G62,$C$12)/$C$12,$E62*$C$5*INDEX($C$6:$C$9,MIN(I$45-$G62,3)+1)))*(1-$C$14)*IF(AND($C62="Verified",$C$39=1),0,1)</f>
        <v>0</v>
      </c>
      <c r="J62" s="24" t="n">
        <f aca="false">IF(J$45&lt;$G62,0,IF($F62=1,$C$10+($C$11-$C$10)*MIN(J$45-$G62,$C$12)/$C$12,$E62*$C$5*INDEX($C$6:$C$9,MIN(J$45-$G62,3)+1)))*(1-$C$14)*IF(AND($C62="Verified",$C$39=1),0,1)</f>
        <v>0</v>
      </c>
      <c r="K62" s="24" t="n">
        <f aca="false">IF(K$45&lt;$G62,0,IF($F62=1,$C$10+($C$11-$C$10)*MIN(K$45-$G62,$C$12)/$C$12,$E62*$C$5*INDEX($C$6:$C$9,MIN(K$45-$G62,3)+1)))*(1-$C$14)*IF(AND($C62="Verified",$C$39=1),0,1)</f>
        <v>0</v>
      </c>
      <c r="L62" s="24" t="n">
        <f aca="false">IF(L$45&lt;$G62,0,IF($F62=1,$C$10+($C$11-$C$10)*MIN(L$45-$G62,$C$12)/$C$12,$E62*$C$5*INDEX($C$6:$C$9,MIN(L$45-$G62,3)+1)))*(1-$C$14)*IF(AND($C62="Verified",$C$39=1),0,1)</f>
        <v>0</v>
      </c>
      <c r="M62" s="24" t="n">
        <f aca="false">IF(M$45&lt;$G62,0,IF($F62=1,$C$10+($C$11-$C$10)*MIN(M$45-$G62,$C$12)/$C$12,$E62*$C$5*INDEX($C$6:$C$9,MIN(M$45-$G62,3)+1)))*(1-$C$14)*IF(AND($C62="Verified",$C$39=1),0,1)</f>
        <v>0</v>
      </c>
      <c r="N62" s="24" t="n">
        <f aca="false">IF(N$45&lt;$G62,0,IF($F62=1,$C$10+($C$11-$C$10)*MIN(N$45-$G62,$C$12)/$C$12,$E62*$C$5*INDEX($C$6:$C$9,MIN(N$45-$G62,3)+1)))*(1-$C$14)*IF(AND($C62="Verified",$C$39=1),0,1)</f>
        <v>0</v>
      </c>
      <c r="O62" s="24" t="n">
        <f aca="false">IF(O$45&lt;$G62,0,IF($F62=1,$C$10+($C$11-$C$10)*MIN(O$45-$G62,$C$12)/$C$12,$E62*$C$5*INDEX($C$6:$C$9,MIN(O$45-$G62,3)+1)))*(1-$C$14)*IF(AND($C62="Verified",$C$39=1),0,1)</f>
        <v>0</v>
      </c>
      <c r="P62" s="24" t="n">
        <f aca="false">IF(P$45&lt;$G62,0,IF($F62=1,$C$10+($C$11-$C$10)*MIN(P$45-$G62,$C$12)/$C$12,$E62*$C$5*INDEX($C$6:$C$9,MIN(P$45-$G62,3)+1)))*(1-$C$14)*IF(AND($C62="Verified",$C$39=1),0,1)</f>
        <v>0</v>
      </c>
      <c r="Q62" s="24" t="n">
        <f aca="false">IF(Q$45&lt;$G62,0,IF($F62=1,$C$10+($C$11-$C$10)*MIN(Q$45-$G62,$C$12)/$C$12,$E62*$C$5*INDEX($C$6:$C$9,MIN(Q$45-$G62,3)+1)))*(1-$C$14)*IF(AND($C62="Verified",$C$39=1),0,1)</f>
        <v>0</v>
      </c>
      <c r="R62" s="24" t="n">
        <f aca="false">IF(R$45&lt;$G62,0,IF($F62=1,$C$10+($C$11-$C$10)*MIN(R$45-$G62,$C$12)/$C$12,$E62*$C$5*INDEX($C$6:$C$9,MIN(R$45-$G62,3)+1)))*(1-$C$14)*IF(AND($C62="Verified",$C$39=1),0,1)</f>
        <v>0</v>
      </c>
      <c r="S62" s="24" t="n">
        <f aca="false">IF(S$45&lt;$G62,0,IF($F62=1,$C$10+($C$11-$C$10)*MIN(S$45-$G62,$C$12)/$C$12,$E62*$C$5*INDEX($C$6:$C$9,MIN(S$45-$G62,3)+1)))*(1-$C$14)*IF(AND($C62="Verified",$C$39=1),0,1)</f>
        <v>5.5575</v>
      </c>
      <c r="T62" s="24" t="n">
        <f aca="false">IF(T$45&lt;$G62,0,IF($F62=1,$C$10+($C$11-$C$10)*MIN(T$45-$G62,$C$12)/$C$12,$E62*$C$5*INDEX($C$6:$C$9,MIN(T$45-$G62,3)+1)))*(1-$C$14)*IF(AND($C62="Verified",$C$39=1),0,1)</f>
        <v>11.115</v>
      </c>
      <c r="U62" s="24" t="n">
        <f aca="false">IF(U$45&lt;$G62,0,IF($F62=1,$C$10+($C$11-$C$10)*MIN(U$45-$G62,$C$12)/$C$12,$E62*$C$5*INDEX($C$6:$C$9,MIN(U$45-$G62,3)+1)))*(1-$C$14)*IF(AND($C62="Verified",$C$39=1),0,1)</f>
        <v>15.74625</v>
      </c>
      <c r="V62" s="24" t="n">
        <f aca="false">IF(V$45&lt;$G62,0,IF($F62=1,$C$10+($C$11-$C$10)*MIN(V$45-$G62,$C$12)/$C$12,$E62*$C$5*INDEX($C$6:$C$9,MIN(V$45-$G62,3)+1)))*(1-$C$14)*IF(AND($C62="Verified",$C$39=1),0,1)</f>
        <v>18.525</v>
      </c>
      <c r="W62" s="24" t="n">
        <f aca="false">IF(W$45&lt;$G62,0,IF($F62=1,$C$10+($C$11-$C$10)*MIN(W$45-$G62,$C$12)/$C$12,$E62*$C$5*INDEX($C$6:$C$9,MIN(W$45-$G62,3)+1)))*(1-$C$14)*IF(AND($C62="Verified",$C$39=1),0,1)</f>
        <v>18.525</v>
      </c>
      <c r="X62" s="24" t="n">
        <f aca="false">IF(X$45&lt;$G62,0,IF($F62=1,$C$10+($C$11-$C$10)*MIN(X$45-$G62,$C$12)/$C$12,$E62*$C$5*INDEX($C$6:$C$9,MIN(X$45-$G62,3)+1)))*(1-$C$14)*IF(AND($C62="Verified",$C$39=1),0,1)</f>
        <v>18.525</v>
      </c>
      <c r="Y62" s="24" t="n">
        <f aca="false">IF(Y$45&lt;$G62,0,IF($F62=1,$C$10+($C$11-$C$10)*MIN(Y$45-$G62,$C$12)/$C$12,$E62*$C$5*INDEX($C$6:$C$9,MIN(Y$45-$G62,3)+1)))*(1-$C$14)*IF(AND($C62="Verified",$C$39=1),0,1)</f>
        <v>18.525</v>
      </c>
    </row>
    <row r="63" customFormat="false" ht="15" hidden="false" customHeight="false" outlineLevel="0" collapsed="false">
      <c r="A63" s="29" t="n">
        <f aca="false">Assumptions!A72</f>
        <v>16</v>
      </c>
      <c r="B63" s="29" t="str">
        <f aca="false">Assumptions!B72</f>
        <v>B</v>
      </c>
      <c r="C63" s="29" t="str">
        <f aca="false">Assumptions!C72</f>
        <v>Connect</v>
      </c>
      <c r="D63" s="34" t="n">
        <f aca="false">Assumptions!D72</f>
        <v>6500</v>
      </c>
      <c r="E63" s="31" t="n">
        <f aca="false">Assumptions!E72</f>
        <v>30</v>
      </c>
      <c r="F63" s="29" t="n">
        <f aca="false">Assumptions!G72</f>
        <v>0</v>
      </c>
      <c r="G63" s="2" t="n">
        <f aca="false">Assumptions!F72+IF(F63=1,0,$C$15)</f>
        <v>13</v>
      </c>
      <c r="H63" s="24" t="n">
        <f aca="false">IF(H$45&lt;$G63,0,IF($F63=1,$C$10+($C$11-$C$10)*MIN(H$45-$G63,$C$12)/$C$12,$E63*$C$5*INDEX($C$6:$C$9,MIN(H$45-$G63,3)+1)))*(1-$C$14)*IF(AND($C63="Verified",$C$39=1),0,1)</f>
        <v>0</v>
      </c>
      <c r="I63" s="24" t="n">
        <f aca="false">IF(I$45&lt;$G63,0,IF($F63=1,$C$10+($C$11-$C$10)*MIN(I$45-$G63,$C$12)/$C$12,$E63*$C$5*INDEX($C$6:$C$9,MIN(I$45-$G63,3)+1)))*(1-$C$14)*IF(AND($C63="Verified",$C$39=1),0,1)</f>
        <v>0</v>
      </c>
      <c r="J63" s="24" t="n">
        <f aca="false">IF(J$45&lt;$G63,0,IF($F63=1,$C$10+($C$11-$C$10)*MIN(J$45-$G63,$C$12)/$C$12,$E63*$C$5*INDEX($C$6:$C$9,MIN(J$45-$G63,3)+1)))*(1-$C$14)*IF(AND($C63="Verified",$C$39=1),0,1)</f>
        <v>0</v>
      </c>
      <c r="K63" s="24" t="n">
        <f aca="false">IF(K$45&lt;$G63,0,IF($F63=1,$C$10+($C$11-$C$10)*MIN(K$45-$G63,$C$12)/$C$12,$E63*$C$5*INDEX($C$6:$C$9,MIN(K$45-$G63,3)+1)))*(1-$C$14)*IF(AND($C63="Verified",$C$39=1),0,1)</f>
        <v>0</v>
      </c>
      <c r="L63" s="24" t="n">
        <f aca="false">IF(L$45&lt;$G63,0,IF($F63=1,$C$10+($C$11-$C$10)*MIN(L$45-$G63,$C$12)/$C$12,$E63*$C$5*INDEX($C$6:$C$9,MIN(L$45-$G63,3)+1)))*(1-$C$14)*IF(AND($C63="Verified",$C$39=1),0,1)</f>
        <v>0</v>
      </c>
      <c r="M63" s="24" t="n">
        <f aca="false">IF(M$45&lt;$G63,0,IF($F63=1,$C$10+($C$11-$C$10)*MIN(M$45-$G63,$C$12)/$C$12,$E63*$C$5*INDEX($C$6:$C$9,MIN(M$45-$G63,3)+1)))*(1-$C$14)*IF(AND($C63="Verified",$C$39=1),0,1)</f>
        <v>0</v>
      </c>
      <c r="N63" s="24" t="n">
        <f aca="false">IF(N$45&lt;$G63,0,IF($F63=1,$C$10+($C$11-$C$10)*MIN(N$45-$G63,$C$12)/$C$12,$E63*$C$5*INDEX($C$6:$C$9,MIN(N$45-$G63,3)+1)))*(1-$C$14)*IF(AND($C63="Verified",$C$39=1),0,1)</f>
        <v>0</v>
      </c>
      <c r="O63" s="24" t="n">
        <f aca="false">IF(O$45&lt;$G63,0,IF($F63=1,$C$10+($C$11-$C$10)*MIN(O$45-$G63,$C$12)/$C$12,$E63*$C$5*INDEX($C$6:$C$9,MIN(O$45-$G63,3)+1)))*(1-$C$14)*IF(AND($C63="Verified",$C$39=1),0,1)</f>
        <v>0</v>
      </c>
      <c r="P63" s="24" t="n">
        <f aca="false">IF(P$45&lt;$G63,0,IF($F63=1,$C$10+($C$11-$C$10)*MIN(P$45-$G63,$C$12)/$C$12,$E63*$C$5*INDEX($C$6:$C$9,MIN(P$45-$G63,3)+1)))*(1-$C$14)*IF(AND($C63="Verified",$C$39=1),0,1)</f>
        <v>0</v>
      </c>
      <c r="Q63" s="24" t="n">
        <f aca="false">IF(Q$45&lt;$G63,0,IF($F63=1,$C$10+($C$11-$C$10)*MIN(Q$45-$G63,$C$12)/$C$12,$E63*$C$5*INDEX($C$6:$C$9,MIN(Q$45-$G63,3)+1)))*(1-$C$14)*IF(AND($C63="Verified",$C$39=1),0,1)</f>
        <v>0</v>
      </c>
      <c r="R63" s="24" t="n">
        <f aca="false">IF(R$45&lt;$G63,0,IF($F63=1,$C$10+($C$11-$C$10)*MIN(R$45-$G63,$C$12)/$C$12,$E63*$C$5*INDEX($C$6:$C$9,MIN(R$45-$G63,3)+1)))*(1-$C$14)*IF(AND($C63="Verified",$C$39=1),0,1)</f>
        <v>0</v>
      </c>
      <c r="S63" s="24" t="n">
        <f aca="false">IF(S$45&lt;$G63,0,IF($F63=1,$C$10+($C$11-$C$10)*MIN(S$45-$G63,$C$12)/$C$12,$E63*$C$5*INDEX($C$6:$C$9,MIN(S$45-$G63,3)+1)))*(1-$C$14)*IF(AND($C63="Verified",$C$39=1),0,1)</f>
        <v>0</v>
      </c>
      <c r="T63" s="24" t="n">
        <f aca="false">IF(T$45&lt;$G63,0,IF($F63=1,$C$10+($C$11-$C$10)*MIN(T$45-$G63,$C$12)/$C$12,$E63*$C$5*INDEX($C$6:$C$9,MIN(T$45-$G63,3)+1)))*(1-$C$14)*IF(AND($C63="Verified",$C$39=1),0,1)</f>
        <v>5.5575</v>
      </c>
      <c r="U63" s="24" t="n">
        <f aca="false">IF(U$45&lt;$G63,0,IF($F63=1,$C$10+($C$11-$C$10)*MIN(U$45-$G63,$C$12)/$C$12,$E63*$C$5*INDEX($C$6:$C$9,MIN(U$45-$G63,3)+1)))*(1-$C$14)*IF(AND($C63="Verified",$C$39=1),0,1)</f>
        <v>11.115</v>
      </c>
      <c r="V63" s="24" t="n">
        <f aca="false">IF(V$45&lt;$G63,0,IF($F63=1,$C$10+($C$11-$C$10)*MIN(V$45-$G63,$C$12)/$C$12,$E63*$C$5*INDEX($C$6:$C$9,MIN(V$45-$G63,3)+1)))*(1-$C$14)*IF(AND($C63="Verified",$C$39=1),0,1)</f>
        <v>15.74625</v>
      </c>
      <c r="W63" s="24" t="n">
        <f aca="false">IF(W$45&lt;$G63,0,IF($F63=1,$C$10+($C$11-$C$10)*MIN(W$45-$G63,$C$12)/$C$12,$E63*$C$5*INDEX($C$6:$C$9,MIN(W$45-$G63,3)+1)))*(1-$C$14)*IF(AND($C63="Verified",$C$39=1),0,1)</f>
        <v>18.525</v>
      </c>
      <c r="X63" s="24" t="n">
        <f aca="false">IF(X$45&lt;$G63,0,IF($F63=1,$C$10+($C$11-$C$10)*MIN(X$45-$G63,$C$12)/$C$12,$E63*$C$5*INDEX($C$6:$C$9,MIN(X$45-$G63,3)+1)))*(1-$C$14)*IF(AND($C63="Verified",$C$39=1),0,1)</f>
        <v>18.525</v>
      </c>
      <c r="Y63" s="24" t="n">
        <f aca="false">IF(Y$45&lt;$G63,0,IF($F63=1,$C$10+($C$11-$C$10)*MIN(Y$45-$G63,$C$12)/$C$12,$E63*$C$5*INDEX($C$6:$C$9,MIN(Y$45-$G63,3)+1)))*(1-$C$14)*IF(AND($C63="Verified",$C$39=1),0,1)</f>
        <v>18.525</v>
      </c>
    </row>
    <row r="64" customFormat="false" ht="15" hidden="false" customHeight="false" outlineLevel="0" collapsed="false">
      <c r="A64" s="29" t="n">
        <f aca="false">Assumptions!A73</f>
        <v>17</v>
      </c>
      <c r="B64" s="29" t="str">
        <f aca="false">Assumptions!B73</f>
        <v>B</v>
      </c>
      <c r="C64" s="29" t="str">
        <f aca="false">Assumptions!C73</f>
        <v>Verified</v>
      </c>
      <c r="D64" s="34" t="n">
        <f aca="false">Assumptions!D73</f>
        <v>6500</v>
      </c>
      <c r="E64" s="31" t="n">
        <f aca="false">Assumptions!E73</f>
        <v>30</v>
      </c>
      <c r="F64" s="29" t="n">
        <f aca="false">Assumptions!G73</f>
        <v>0</v>
      </c>
      <c r="G64" s="2" t="n">
        <f aca="false">Assumptions!F73+IF(F64=1,0,$C$15)</f>
        <v>14</v>
      </c>
      <c r="H64" s="24" t="n">
        <f aca="false">IF(H$45&lt;$G64,0,IF($F64=1,$C$10+($C$11-$C$10)*MIN(H$45-$G64,$C$12)/$C$12,$E64*$C$5*INDEX($C$6:$C$9,MIN(H$45-$G64,3)+1)))*(1-$C$14)*IF(AND($C64="Verified",$C$39=1),0,1)</f>
        <v>0</v>
      </c>
      <c r="I64" s="24" t="n">
        <f aca="false">IF(I$45&lt;$G64,0,IF($F64=1,$C$10+($C$11-$C$10)*MIN(I$45-$G64,$C$12)/$C$12,$E64*$C$5*INDEX($C$6:$C$9,MIN(I$45-$G64,3)+1)))*(1-$C$14)*IF(AND($C64="Verified",$C$39=1),0,1)</f>
        <v>0</v>
      </c>
      <c r="J64" s="24" t="n">
        <f aca="false">IF(J$45&lt;$G64,0,IF($F64=1,$C$10+($C$11-$C$10)*MIN(J$45-$G64,$C$12)/$C$12,$E64*$C$5*INDEX($C$6:$C$9,MIN(J$45-$G64,3)+1)))*(1-$C$14)*IF(AND($C64="Verified",$C$39=1),0,1)</f>
        <v>0</v>
      </c>
      <c r="K64" s="24" t="n">
        <f aca="false">IF(K$45&lt;$G64,0,IF($F64=1,$C$10+($C$11-$C$10)*MIN(K$45-$G64,$C$12)/$C$12,$E64*$C$5*INDEX($C$6:$C$9,MIN(K$45-$G64,3)+1)))*(1-$C$14)*IF(AND($C64="Verified",$C$39=1),0,1)</f>
        <v>0</v>
      </c>
      <c r="L64" s="24" t="n">
        <f aca="false">IF(L$45&lt;$G64,0,IF($F64=1,$C$10+($C$11-$C$10)*MIN(L$45-$G64,$C$12)/$C$12,$E64*$C$5*INDEX($C$6:$C$9,MIN(L$45-$G64,3)+1)))*(1-$C$14)*IF(AND($C64="Verified",$C$39=1),0,1)</f>
        <v>0</v>
      </c>
      <c r="M64" s="24" t="n">
        <f aca="false">IF(M$45&lt;$G64,0,IF($F64=1,$C$10+($C$11-$C$10)*MIN(M$45-$G64,$C$12)/$C$12,$E64*$C$5*INDEX($C$6:$C$9,MIN(M$45-$G64,3)+1)))*(1-$C$14)*IF(AND($C64="Verified",$C$39=1),0,1)</f>
        <v>0</v>
      </c>
      <c r="N64" s="24" t="n">
        <f aca="false">IF(N$45&lt;$G64,0,IF($F64=1,$C$10+($C$11-$C$10)*MIN(N$45-$G64,$C$12)/$C$12,$E64*$C$5*INDEX($C$6:$C$9,MIN(N$45-$G64,3)+1)))*(1-$C$14)*IF(AND($C64="Verified",$C$39=1),0,1)</f>
        <v>0</v>
      </c>
      <c r="O64" s="24" t="n">
        <f aca="false">IF(O$45&lt;$G64,0,IF($F64=1,$C$10+($C$11-$C$10)*MIN(O$45-$G64,$C$12)/$C$12,$E64*$C$5*INDEX($C$6:$C$9,MIN(O$45-$G64,3)+1)))*(1-$C$14)*IF(AND($C64="Verified",$C$39=1),0,1)</f>
        <v>0</v>
      </c>
      <c r="P64" s="24" t="n">
        <f aca="false">IF(P$45&lt;$G64,0,IF($F64=1,$C$10+($C$11-$C$10)*MIN(P$45-$G64,$C$12)/$C$12,$E64*$C$5*INDEX($C$6:$C$9,MIN(P$45-$G64,3)+1)))*(1-$C$14)*IF(AND($C64="Verified",$C$39=1),0,1)</f>
        <v>0</v>
      </c>
      <c r="Q64" s="24" t="n">
        <f aca="false">IF(Q$45&lt;$G64,0,IF($F64=1,$C$10+($C$11-$C$10)*MIN(Q$45-$G64,$C$12)/$C$12,$E64*$C$5*INDEX($C$6:$C$9,MIN(Q$45-$G64,3)+1)))*(1-$C$14)*IF(AND($C64="Verified",$C$39=1),0,1)</f>
        <v>0</v>
      </c>
      <c r="R64" s="24" t="n">
        <f aca="false">IF(R$45&lt;$G64,0,IF($F64=1,$C$10+($C$11-$C$10)*MIN(R$45-$G64,$C$12)/$C$12,$E64*$C$5*INDEX($C$6:$C$9,MIN(R$45-$G64,3)+1)))*(1-$C$14)*IF(AND($C64="Verified",$C$39=1),0,1)</f>
        <v>0</v>
      </c>
      <c r="S64" s="24" t="n">
        <f aca="false">IF(S$45&lt;$G64,0,IF($F64=1,$C$10+($C$11-$C$10)*MIN(S$45-$G64,$C$12)/$C$12,$E64*$C$5*INDEX($C$6:$C$9,MIN(S$45-$G64,3)+1)))*(1-$C$14)*IF(AND($C64="Verified",$C$39=1),0,1)</f>
        <v>0</v>
      </c>
      <c r="T64" s="24" t="n">
        <f aca="false">IF(T$45&lt;$G64,0,IF($F64=1,$C$10+($C$11-$C$10)*MIN(T$45-$G64,$C$12)/$C$12,$E64*$C$5*INDEX($C$6:$C$9,MIN(T$45-$G64,3)+1)))*(1-$C$14)*IF(AND($C64="Verified",$C$39=1),0,1)</f>
        <v>0</v>
      </c>
      <c r="U64" s="24" t="n">
        <f aca="false">IF(U$45&lt;$G64,0,IF($F64=1,$C$10+($C$11-$C$10)*MIN(U$45-$G64,$C$12)/$C$12,$E64*$C$5*INDEX($C$6:$C$9,MIN(U$45-$G64,3)+1)))*(1-$C$14)*IF(AND($C64="Verified",$C$39=1),0,1)</f>
        <v>0</v>
      </c>
      <c r="V64" s="24" t="n">
        <f aca="false">IF(V$45&lt;$G64,0,IF($F64=1,$C$10+($C$11-$C$10)*MIN(V$45-$G64,$C$12)/$C$12,$E64*$C$5*INDEX($C$6:$C$9,MIN(V$45-$G64,3)+1)))*(1-$C$14)*IF(AND($C64="Verified",$C$39=1),0,1)</f>
        <v>0</v>
      </c>
      <c r="W64" s="24" t="n">
        <f aca="false">IF(W$45&lt;$G64,0,IF($F64=1,$C$10+($C$11-$C$10)*MIN(W$45-$G64,$C$12)/$C$12,$E64*$C$5*INDEX($C$6:$C$9,MIN(W$45-$G64,3)+1)))*(1-$C$14)*IF(AND($C64="Verified",$C$39=1),0,1)</f>
        <v>0</v>
      </c>
      <c r="X64" s="24" t="n">
        <f aca="false">IF(X$45&lt;$G64,0,IF($F64=1,$C$10+($C$11-$C$10)*MIN(X$45-$G64,$C$12)/$C$12,$E64*$C$5*INDEX($C$6:$C$9,MIN(X$45-$G64,3)+1)))*(1-$C$14)*IF(AND($C64="Verified",$C$39=1),0,1)</f>
        <v>0</v>
      </c>
      <c r="Y64" s="24" t="n">
        <f aca="false">IF(Y$45&lt;$G64,0,IF($F64=1,$C$10+($C$11-$C$10)*MIN(Y$45-$G64,$C$12)/$C$12,$E64*$C$5*INDEX($C$6:$C$9,MIN(Y$45-$G64,3)+1)))*(1-$C$14)*IF(AND($C64="Verified",$C$39=1),0,1)</f>
        <v>0</v>
      </c>
    </row>
    <row r="65" customFormat="false" ht="15" hidden="false" customHeight="false" outlineLevel="0" collapsed="false">
      <c r="A65" s="29" t="n">
        <f aca="false">Assumptions!A74</f>
        <v>18</v>
      </c>
      <c r="B65" s="29" t="str">
        <f aca="false">Assumptions!B74</f>
        <v>B</v>
      </c>
      <c r="C65" s="29" t="str">
        <f aca="false">Assumptions!C74</f>
        <v>Verified</v>
      </c>
      <c r="D65" s="34" t="n">
        <f aca="false">Assumptions!D74</f>
        <v>6500</v>
      </c>
      <c r="E65" s="31" t="n">
        <f aca="false">Assumptions!E74</f>
        <v>30</v>
      </c>
      <c r="F65" s="29" t="n">
        <f aca="false">Assumptions!G74</f>
        <v>0</v>
      </c>
      <c r="G65" s="2" t="n">
        <f aca="false">Assumptions!F74+IF(F65=1,0,$C$15)</f>
        <v>15</v>
      </c>
      <c r="H65" s="24" t="n">
        <f aca="false">IF(H$45&lt;$G65,0,IF($F65=1,$C$10+($C$11-$C$10)*MIN(H$45-$G65,$C$12)/$C$12,$E65*$C$5*INDEX($C$6:$C$9,MIN(H$45-$G65,3)+1)))*(1-$C$14)*IF(AND($C65="Verified",$C$39=1),0,1)</f>
        <v>0</v>
      </c>
      <c r="I65" s="24" t="n">
        <f aca="false">IF(I$45&lt;$G65,0,IF($F65=1,$C$10+($C$11-$C$10)*MIN(I$45-$G65,$C$12)/$C$12,$E65*$C$5*INDEX($C$6:$C$9,MIN(I$45-$G65,3)+1)))*(1-$C$14)*IF(AND($C65="Verified",$C$39=1),0,1)</f>
        <v>0</v>
      </c>
      <c r="J65" s="24" t="n">
        <f aca="false">IF(J$45&lt;$G65,0,IF($F65=1,$C$10+($C$11-$C$10)*MIN(J$45-$G65,$C$12)/$C$12,$E65*$C$5*INDEX($C$6:$C$9,MIN(J$45-$G65,3)+1)))*(1-$C$14)*IF(AND($C65="Verified",$C$39=1),0,1)</f>
        <v>0</v>
      </c>
      <c r="K65" s="24" t="n">
        <f aca="false">IF(K$45&lt;$G65,0,IF($F65=1,$C$10+($C$11-$C$10)*MIN(K$45-$G65,$C$12)/$C$12,$E65*$C$5*INDEX($C$6:$C$9,MIN(K$45-$G65,3)+1)))*(1-$C$14)*IF(AND($C65="Verified",$C$39=1),0,1)</f>
        <v>0</v>
      </c>
      <c r="L65" s="24" t="n">
        <f aca="false">IF(L$45&lt;$G65,0,IF($F65=1,$C$10+($C$11-$C$10)*MIN(L$45-$G65,$C$12)/$C$12,$E65*$C$5*INDEX($C$6:$C$9,MIN(L$45-$G65,3)+1)))*(1-$C$14)*IF(AND($C65="Verified",$C$39=1),0,1)</f>
        <v>0</v>
      </c>
      <c r="M65" s="24" t="n">
        <f aca="false">IF(M$45&lt;$G65,0,IF($F65=1,$C$10+($C$11-$C$10)*MIN(M$45-$G65,$C$12)/$C$12,$E65*$C$5*INDEX($C$6:$C$9,MIN(M$45-$G65,3)+1)))*(1-$C$14)*IF(AND($C65="Verified",$C$39=1),0,1)</f>
        <v>0</v>
      </c>
      <c r="N65" s="24" t="n">
        <f aca="false">IF(N$45&lt;$G65,0,IF($F65=1,$C$10+($C$11-$C$10)*MIN(N$45-$G65,$C$12)/$C$12,$E65*$C$5*INDEX($C$6:$C$9,MIN(N$45-$G65,3)+1)))*(1-$C$14)*IF(AND($C65="Verified",$C$39=1),0,1)</f>
        <v>0</v>
      </c>
      <c r="O65" s="24" t="n">
        <f aca="false">IF(O$45&lt;$G65,0,IF($F65=1,$C$10+($C$11-$C$10)*MIN(O$45-$G65,$C$12)/$C$12,$E65*$C$5*INDEX($C$6:$C$9,MIN(O$45-$G65,3)+1)))*(1-$C$14)*IF(AND($C65="Verified",$C$39=1),0,1)</f>
        <v>0</v>
      </c>
      <c r="P65" s="24" t="n">
        <f aca="false">IF(P$45&lt;$G65,0,IF($F65=1,$C$10+($C$11-$C$10)*MIN(P$45-$G65,$C$12)/$C$12,$E65*$C$5*INDEX($C$6:$C$9,MIN(P$45-$G65,3)+1)))*(1-$C$14)*IF(AND($C65="Verified",$C$39=1),0,1)</f>
        <v>0</v>
      </c>
      <c r="Q65" s="24" t="n">
        <f aca="false">IF(Q$45&lt;$G65,0,IF($F65=1,$C$10+($C$11-$C$10)*MIN(Q$45-$G65,$C$12)/$C$12,$E65*$C$5*INDEX($C$6:$C$9,MIN(Q$45-$G65,3)+1)))*(1-$C$14)*IF(AND($C65="Verified",$C$39=1),0,1)</f>
        <v>0</v>
      </c>
      <c r="R65" s="24" t="n">
        <f aca="false">IF(R$45&lt;$G65,0,IF($F65=1,$C$10+($C$11-$C$10)*MIN(R$45-$G65,$C$12)/$C$12,$E65*$C$5*INDEX($C$6:$C$9,MIN(R$45-$G65,3)+1)))*(1-$C$14)*IF(AND($C65="Verified",$C$39=1),0,1)</f>
        <v>0</v>
      </c>
      <c r="S65" s="24" t="n">
        <f aca="false">IF(S$45&lt;$G65,0,IF($F65=1,$C$10+($C$11-$C$10)*MIN(S$45-$G65,$C$12)/$C$12,$E65*$C$5*INDEX($C$6:$C$9,MIN(S$45-$G65,3)+1)))*(1-$C$14)*IF(AND($C65="Verified",$C$39=1),0,1)</f>
        <v>0</v>
      </c>
      <c r="T65" s="24" t="n">
        <f aca="false">IF(T$45&lt;$G65,0,IF($F65=1,$C$10+($C$11-$C$10)*MIN(T$45-$G65,$C$12)/$C$12,$E65*$C$5*INDEX($C$6:$C$9,MIN(T$45-$G65,3)+1)))*(1-$C$14)*IF(AND($C65="Verified",$C$39=1),0,1)</f>
        <v>0</v>
      </c>
      <c r="U65" s="24" t="n">
        <f aca="false">IF(U$45&lt;$G65,0,IF($F65=1,$C$10+($C$11-$C$10)*MIN(U$45-$G65,$C$12)/$C$12,$E65*$C$5*INDEX($C$6:$C$9,MIN(U$45-$G65,3)+1)))*(1-$C$14)*IF(AND($C65="Verified",$C$39=1),0,1)</f>
        <v>0</v>
      </c>
      <c r="V65" s="24" t="n">
        <f aca="false">IF(V$45&lt;$G65,0,IF($F65=1,$C$10+($C$11-$C$10)*MIN(V$45-$G65,$C$12)/$C$12,$E65*$C$5*INDEX($C$6:$C$9,MIN(V$45-$G65,3)+1)))*(1-$C$14)*IF(AND($C65="Verified",$C$39=1),0,1)</f>
        <v>0</v>
      </c>
      <c r="W65" s="24" t="n">
        <f aca="false">IF(W$45&lt;$G65,0,IF($F65=1,$C$10+($C$11-$C$10)*MIN(W$45-$G65,$C$12)/$C$12,$E65*$C$5*INDEX($C$6:$C$9,MIN(W$45-$G65,3)+1)))*(1-$C$14)*IF(AND($C65="Verified",$C$39=1),0,1)</f>
        <v>0</v>
      </c>
      <c r="X65" s="24" t="n">
        <f aca="false">IF(X$45&lt;$G65,0,IF($F65=1,$C$10+($C$11-$C$10)*MIN(X$45-$G65,$C$12)/$C$12,$E65*$C$5*INDEX($C$6:$C$9,MIN(X$45-$G65,3)+1)))*(1-$C$14)*IF(AND($C65="Verified",$C$39=1),0,1)</f>
        <v>0</v>
      </c>
      <c r="Y65" s="24" t="n">
        <f aca="false">IF(Y$45&lt;$G65,0,IF($F65=1,$C$10+($C$11-$C$10)*MIN(Y$45-$G65,$C$12)/$C$12,$E65*$C$5*INDEX($C$6:$C$9,MIN(Y$45-$G65,3)+1)))*(1-$C$14)*IF(AND($C65="Verified",$C$39=1),0,1)</f>
        <v>0</v>
      </c>
    </row>
    <row r="66" customFormat="false" ht="15" hidden="false" customHeight="false" outlineLevel="0" collapsed="false">
      <c r="A66" s="29" t="n">
        <f aca="false">Assumptions!A75</f>
        <v>19</v>
      </c>
      <c r="B66" s="29" t="str">
        <f aca="false">Assumptions!B75</f>
        <v>B</v>
      </c>
      <c r="C66" s="29" t="str">
        <f aca="false">Assumptions!C75</f>
        <v>Verified</v>
      </c>
      <c r="D66" s="34" t="n">
        <f aca="false">Assumptions!D75</f>
        <v>6500</v>
      </c>
      <c r="E66" s="31" t="n">
        <f aca="false">Assumptions!E75</f>
        <v>30</v>
      </c>
      <c r="F66" s="29" t="n">
        <f aca="false">Assumptions!G75</f>
        <v>0</v>
      </c>
      <c r="G66" s="2" t="n">
        <f aca="false">Assumptions!F75+IF(F66=1,0,$C$15)</f>
        <v>16</v>
      </c>
      <c r="H66" s="24" t="n">
        <f aca="false">IF(H$45&lt;$G66,0,IF($F66=1,$C$10+($C$11-$C$10)*MIN(H$45-$G66,$C$12)/$C$12,$E66*$C$5*INDEX($C$6:$C$9,MIN(H$45-$G66,3)+1)))*(1-$C$14)*IF(AND($C66="Verified",$C$39=1),0,1)</f>
        <v>0</v>
      </c>
      <c r="I66" s="24" t="n">
        <f aca="false">IF(I$45&lt;$G66,0,IF($F66=1,$C$10+($C$11-$C$10)*MIN(I$45-$G66,$C$12)/$C$12,$E66*$C$5*INDEX($C$6:$C$9,MIN(I$45-$G66,3)+1)))*(1-$C$14)*IF(AND($C66="Verified",$C$39=1),0,1)</f>
        <v>0</v>
      </c>
      <c r="J66" s="24" t="n">
        <f aca="false">IF(J$45&lt;$G66,0,IF($F66=1,$C$10+($C$11-$C$10)*MIN(J$45-$G66,$C$12)/$C$12,$E66*$C$5*INDEX($C$6:$C$9,MIN(J$45-$G66,3)+1)))*(1-$C$14)*IF(AND($C66="Verified",$C$39=1),0,1)</f>
        <v>0</v>
      </c>
      <c r="K66" s="24" t="n">
        <f aca="false">IF(K$45&lt;$G66,0,IF($F66=1,$C$10+($C$11-$C$10)*MIN(K$45-$G66,$C$12)/$C$12,$E66*$C$5*INDEX($C$6:$C$9,MIN(K$45-$G66,3)+1)))*(1-$C$14)*IF(AND($C66="Verified",$C$39=1),0,1)</f>
        <v>0</v>
      </c>
      <c r="L66" s="24" t="n">
        <f aca="false">IF(L$45&lt;$G66,0,IF($F66=1,$C$10+($C$11-$C$10)*MIN(L$45-$G66,$C$12)/$C$12,$E66*$C$5*INDEX($C$6:$C$9,MIN(L$45-$G66,3)+1)))*(1-$C$14)*IF(AND($C66="Verified",$C$39=1),0,1)</f>
        <v>0</v>
      </c>
      <c r="M66" s="24" t="n">
        <f aca="false">IF(M$45&lt;$G66,0,IF($F66=1,$C$10+($C$11-$C$10)*MIN(M$45-$G66,$C$12)/$C$12,$E66*$C$5*INDEX($C$6:$C$9,MIN(M$45-$G66,3)+1)))*(1-$C$14)*IF(AND($C66="Verified",$C$39=1),0,1)</f>
        <v>0</v>
      </c>
      <c r="N66" s="24" t="n">
        <f aca="false">IF(N$45&lt;$G66,0,IF($F66=1,$C$10+($C$11-$C$10)*MIN(N$45-$G66,$C$12)/$C$12,$E66*$C$5*INDEX($C$6:$C$9,MIN(N$45-$G66,3)+1)))*(1-$C$14)*IF(AND($C66="Verified",$C$39=1),0,1)</f>
        <v>0</v>
      </c>
      <c r="O66" s="24" t="n">
        <f aca="false">IF(O$45&lt;$G66,0,IF($F66=1,$C$10+($C$11-$C$10)*MIN(O$45-$G66,$C$12)/$C$12,$E66*$C$5*INDEX($C$6:$C$9,MIN(O$45-$G66,3)+1)))*(1-$C$14)*IF(AND($C66="Verified",$C$39=1),0,1)</f>
        <v>0</v>
      </c>
      <c r="P66" s="24" t="n">
        <f aca="false">IF(P$45&lt;$G66,0,IF($F66=1,$C$10+($C$11-$C$10)*MIN(P$45-$G66,$C$12)/$C$12,$E66*$C$5*INDEX($C$6:$C$9,MIN(P$45-$G66,3)+1)))*(1-$C$14)*IF(AND($C66="Verified",$C$39=1),0,1)</f>
        <v>0</v>
      </c>
      <c r="Q66" s="24" t="n">
        <f aca="false">IF(Q$45&lt;$G66,0,IF($F66=1,$C$10+($C$11-$C$10)*MIN(Q$45-$G66,$C$12)/$C$12,$E66*$C$5*INDEX($C$6:$C$9,MIN(Q$45-$G66,3)+1)))*(1-$C$14)*IF(AND($C66="Verified",$C$39=1),0,1)</f>
        <v>0</v>
      </c>
      <c r="R66" s="24" t="n">
        <f aca="false">IF(R$45&lt;$G66,0,IF($F66=1,$C$10+($C$11-$C$10)*MIN(R$45-$G66,$C$12)/$C$12,$E66*$C$5*INDEX($C$6:$C$9,MIN(R$45-$G66,3)+1)))*(1-$C$14)*IF(AND($C66="Verified",$C$39=1),0,1)</f>
        <v>0</v>
      </c>
      <c r="S66" s="24" t="n">
        <f aca="false">IF(S$45&lt;$G66,0,IF($F66=1,$C$10+($C$11-$C$10)*MIN(S$45-$G66,$C$12)/$C$12,$E66*$C$5*INDEX($C$6:$C$9,MIN(S$45-$G66,3)+1)))*(1-$C$14)*IF(AND($C66="Verified",$C$39=1),0,1)</f>
        <v>0</v>
      </c>
      <c r="T66" s="24" t="n">
        <f aca="false">IF(T$45&lt;$G66,0,IF($F66=1,$C$10+($C$11-$C$10)*MIN(T$45-$G66,$C$12)/$C$12,$E66*$C$5*INDEX($C$6:$C$9,MIN(T$45-$G66,3)+1)))*(1-$C$14)*IF(AND($C66="Verified",$C$39=1),0,1)</f>
        <v>0</v>
      </c>
      <c r="U66" s="24" t="n">
        <f aca="false">IF(U$45&lt;$G66,0,IF($F66=1,$C$10+($C$11-$C$10)*MIN(U$45-$G66,$C$12)/$C$12,$E66*$C$5*INDEX($C$6:$C$9,MIN(U$45-$G66,3)+1)))*(1-$C$14)*IF(AND($C66="Verified",$C$39=1),0,1)</f>
        <v>0</v>
      </c>
      <c r="V66" s="24" t="n">
        <f aca="false">IF(V$45&lt;$G66,0,IF($F66=1,$C$10+($C$11-$C$10)*MIN(V$45-$G66,$C$12)/$C$12,$E66*$C$5*INDEX($C$6:$C$9,MIN(V$45-$G66,3)+1)))*(1-$C$14)*IF(AND($C66="Verified",$C$39=1),0,1)</f>
        <v>0</v>
      </c>
      <c r="W66" s="24" t="n">
        <f aca="false">IF(W$45&lt;$G66,0,IF($F66=1,$C$10+($C$11-$C$10)*MIN(W$45-$G66,$C$12)/$C$12,$E66*$C$5*INDEX($C$6:$C$9,MIN(W$45-$G66,3)+1)))*(1-$C$14)*IF(AND($C66="Verified",$C$39=1),0,1)</f>
        <v>0</v>
      </c>
      <c r="X66" s="24" t="n">
        <f aca="false">IF(X$45&lt;$G66,0,IF($F66=1,$C$10+($C$11-$C$10)*MIN(X$45-$G66,$C$12)/$C$12,$E66*$C$5*INDEX($C$6:$C$9,MIN(X$45-$G66,3)+1)))*(1-$C$14)*IF(AND($C66="Verified",$C$39=1),0,1)</f>
        <v>0</v>
      </c>
      <c r="Y66" s="24" t="n">
        <f aca="false">IF(Y$45&lt;$G66,0,IF($F66=1,$C$10+($C$11-$C$10)*MIN(Y$45-$G66,$C$12)/$C$12,$E66*$C$5*INDEX($C$6:$C$9,MIN(Y$45-$G66,3)+1)))*(1-$C$14)*IF(AND($C66="Verified",$C$39=1),0,1)</f>
        <v>0</v>
      </c>
    </row>
    <row r="67" customFormat="false" ht="15" hidden="false" customHeight="false" outlineLevel="0" collapsed="false">
      <c r="A67" s="29" t="n">
        <f aca="false">Assumptions!A76</f>
        <v>20</v>
      </c>
      <c r="B67" s="29" t="str">
        <f aca="false">Assumptions!B76</f>
        <v>B</v>
      </c>
      <c r="C67" s="29" t="str">
        <f aca="false">Assumptions!C76</f>
        <v>Verified</v>
      </c>
      <c r="D67" s="34" t="n">
        <f aca="false">Assumptions!D76</f>
        <v>6500</v>
      </c>
      <c r="E67" s="31" t="n">
        <f aca="false">Assumptions!E76</f>
        <v>30</v>
      </c>
      <c r="F67" s="29" t="n">
        <f aca="false">Assumptions!G76</f>
        <v>0</v>
      </c>
      <c r="G67" s="2" t="n">
        <f aca="false">Assumptions!F76+IF(F67=1,0,$C$15)</f>
        <v>16</v>
      </c>
      <c r="H67" s="24" t="n">
        <f aca="false">IF(H$45&lt;$G67,0,IF($F67=1,$C$10+($C$11-$C$10)*MIN(H$45-$G67,$C$12)/$C$12,$E67*$C$5*INDEX($C$6:$C$9,MIN(H$45-$G67,3)+1)))*(1-$C$14)*IF(AND($C67="Verified",$C$39=1),0,1)</f>
        <v>0</v>
      </c>
      <c r="I67" s="24" t="n">
        <f aca="false">IF(I$45&lt;$G67,0,IF($F67=1,$C$10+($C$11-$C$10)*MIN(I$45-$G67,$C$12)/$C$12,$E67*$C$5*INDEX($C$6:$C$9,MIN(I$45-$G67,3)+1)))*(1-$C$14)*IF(AND($C67="Verified",$C$39=1),0,1)</f>
        <v>0</v>
      </c>
      <c r="J67" s="24" t="n">
        <f aca="false">IF(J$45&lt;$G67,0,IF($F67=1,$C$10+($C$11-$C$10)*MIN(J$45-$G67,$C$12)/$C$12,$E67*$C$5*INDEX($C$6:$C$9,MIN(J$45-$G67,3)+1)))*(1-$C$14)*IF(AND($C67="Verified",$C$39=1),0,1)</f>
        <v>0</v>
      </c>
      <c r="K67" s="24" t="n">
        <f aca="false">IF(K$45&lt;$G67,0,IF($F67=1,$C$10+($C$11-$C$10)*MIN(K$45-$G67,$C$12)/$C$12,$E67*$C$5*INDEX($C$6:$C$9,MIN(K$45-$G67,3)+1)))*(1-$C$14)*IF(AND($C67="Verified",$C$39=1),0,1)</f>
        <v>0</v>
      </c>
      <c r="L67" s="24" t="n">
        <f aca="false">IF(L$45&lt;$G67,0,IF($F67=1,$C$10+($C$11-$C$10)*MIN(L$45-$G67,$C$12)/$C$12,$E67*$C$5*INDEX($C$6:$C$9,MIN(L$45-$G67,3)+1)))*(1-$C$14)*IF(AND($C67="Verified",$C$39=1),0,1)</f>
        <v>0</v>
      </c>
      <c r="M67" s="24" t="n">
        <f aca="false">IF(M$45&lt;$G67,0,IF($F67=1,$C$10+($C$11-$C$10)*MIN(M$45-$G67,$C$12)/$C$12,$E67*$C$5*INDEX($C$6:$C$9,MIN(M$45-$G67,3)+1)))*(1-$C$14)*IF(AND($C67="Verified",$C$39=1),0,1)</f>
        <v>0</v>
      </c>
      <c r="N67" s="24" t="n">
        <f aca="false">IF(N$45&lt;$G67,0,IF($F67=1,$C$10+($C$11-$C$10)*MIN(N$45-$G67,$C$12)/$C$12,$E67*$C$5*INDEX($C$6:$C$9,MIN(N$45-$G67,3)+1)))*(1-$C$14)*IF(AND($C67="Verified",$C$39=1),0,1)</f>
        <v>0</v>
      </c>
      <c r="O67" s="24" t="n">
        <f aca="false">IF(O$45&lt;$G67,0,IF($F67=1,$C$10+($C$11-$C$10)*MIN(O$45-$G67,$C$12)/$C$12,$E67*$C$5*INDEX($C$6:$C$9,MIN(O$45-$G67,3)+1)))*(1-$C$14)*IF(AND($C67="Verified",$C$39=1),0,1)</f>
        <v>0</v>
      </c>
      <c r="P67" s="24" t="n">
        <f aca="false">IF(P$45&lt;$G67,0,IF($F67=1,$C$10+($C$11-$C$10)*MIN(P$45-$G67,$C$12)/$C$12,$E67*$C$5*INDEX($C$6:$C$9,MIN(P$45-$G67,3)+1)))*(1-$C$14)*IF(AND($C67="Verified",$C$39=1),0,1)</f>
        <v>0</v>
      </c>
      <c r="Q67" s="24" t="n">
        <f aca="false">IF(Q$45&lt;$G67,0,IF($F67=1,$C$10+($C$11-$C$10)*MIN(Q$45-$G67,$C$12)/$C$12,$E67*$C$5*INDEX($C$6:$C$9,MIN(Q$45-$G67,3)+1)))*(1-$C$14)*IF(AND($C67="Verified",$C$39=1),0,1)</f>
        <v>0</v>
      </c>
      <c r="R67" s="24" t="n">
        <f aca="false">IF(R$45&lt;$G67,0,IF($F67=1,$C$10+($C$11-$C$10)*MIN(R$45-$G67,$C$12)/$C$12,$E67*$C$5*INDEX($C$6:$C$9,MIN(R$45-$G67,3)+1)))*(1-$C$14)*IF(AND($C67="Verified",$C$39=1),0,1)</f>
        <v>0</v>
      </c>
      <c r="S67" s="24" t="n">
        <f aca="false">IF(S$45&lt;$G67,0,IF($F67=1,$C$10+($C$11-$C$10)*MIN(S$45-$G67,$C$12)/$C$12,$E67*$C$5*INDEX($C$6:$C$9,MIN(S$45-$G67,3)+1)))*(1-$C$14)*IF(AND($C67="Verified",$C$39=1),0,1)</f>
        <v>0</v>
      </c>
      <c r="T67" s="24" t="n">
        <f aca="false">IF(T$45&lt;$G67,0,IF($F67=1,$C$10+($C$11-$C$10)*MIN(T$45-$G67,$C$12)/$C$12,$E67*$C$5*INDEX($C$6:$C$9,MIN(T$45-$G67,3)+1)))*(1-$C$14)*IF(AND($C67="Verified",$C$39=1),0,1)</f>
        <v>0</v>
      </c>
      <c r="U67" s="24" t="n">
        <f aca="false">IF(U$45&lt;$G67,0,IF($F67=1,$C$10+($C$11-$C$10)*MIN(U$45-$G67,$C$12)/$C$12,$E67*$C$5*INDEX($C$6:$C$9,MIN(U$45-$G67,3)+1)))*(1-$C$14)*IF(AND($C67="Verified",$C$39=1),0,1)</f>
        <v>0</v>
      </c>
      <c r="V67" s="24" t="n">
        <f aca="false">IF(V$45&lt;$G67,0,IF($F67=1,$C$10+($C$11-$C$10)*MIN(V$45-$G67,$C$12)/$C$12,$E67*$C$5*INDEX($C$6:$C$9,MIN(V$45-$G67,3)+1)))*(1-$C$14)*IF(AND($C67="Verified",$C$39=1),0,1)</f>
        <v>0</v>
      </c>
      <c r="W67" s="24" t="n">
        <f aca="false">IF(W$45&lt;$G67,0,IF($F67=1,$C$10+($C$11-$C$10)*MIN(W$45-$G67,$C$12)/$C$12,$E67*$C$5*INDEX($C$6:$C$9,MIN(W$45-$G67,3)+1)))*(1-$C$14)*IF(AND($C67="Verified",$C$39=1),0,1)</f>
        <v>0</v>
      </c>
      <c r="X67" s="24" t="n">
        <f aca="false">IF(X$45&lt;$G67,0,IF($F67=1,$C$10+($C$11-$C$10)*MIN(X$45-$G67,$C$12)/$C$12,$E67*$C$5*INDEX($C$6:$C$9,MIN(X$45-$G67,3)+1)))*(1-$C$14)*IF(AND($C67="Verified",$C$39=1),0,1)</f>
        <v>0</v>
      </c>
      <c r="Y67" s="24" t="n">
        <f aca="false">IF(Y$45&lt;$G67,0,IF($F67=1,$C$10+($C$11-$C$10)*MIN(Y$45-$G67,$C$12)/$C$12,$E67*$C$5*INDEX($C$6:$C$9,MIN(Y$45-$G67,3)+1)))*(1-$C$14)*IF(AND($C67="Verified",$C$39=1),0,1)</f>
        <v>0</v>
      </c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5" hidden="false" customHeight="false" outlineLevel="0" collapsed="false">
      <c r="A69" s="37" t="s">
        <v>199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customFormat="false" ht="15" hidden="false" customHeight="false" outlineLevel="0" collapsed="false">
      <c r="A70" s="2" t="n">
        <f aca="false">A48</f>
        <v>1</v>
      </c>
      <c r="B70" s="2" t="str">
        <f aca="false">B48</f>
        <v>Pilot</v>
      </c>
      <c r="C70" s="2" t="str">
        <f aca="false">C48</f>
        <v>Assured</v>
      </c>
      <c r="D70" s="2"/>
      <c r="E70" s="2"/>
      <c r="F70" s="2"/>
      <c r="G70" s="2"/>
      <c r="H70" s="23" t="n">
        <f aca="false">H48*$D48*$C$13*INDEX(Assumptions!$B$44:$B$46,MATCH($C48,Assumptions!$A$44:$A$46,0))+IF(H$45&gt;=$G48,INDEX(Assumptions!$C$44:$C$46,MATCH($C48,Assumptions!$A$44:$A$46,0)),0)+IF($C48="Assured",H48*$D48*$C$13*$C$26*$C$27*$C$28,0)</f>
        <v>40380.046875</v>
      </c>
      <c r="I70" s="23" t="n">
        <f aca="false">I48*$D48*$C$13*INDEX(Assumptions!$B$44:$B$46,MATCH($C48,Assumptions!$A$44:$A$46,0))+IF(I$45&gt;=$G48,INDEX(Assumptions!$C$44:$C$46,MATCH($C48,Assumptions!$A$44:$A$46,0)),0)+IF($C48="Assured",I48*$D48*$C$13*$C$26*$C$27*$C$28,0)</f>
        <v>42302.90625</v>
      </c>
      <c r="J70" s="23" t="n">
        <f aca="false">J48*$D48*$C$13*INDEX(Assumptions!$B$44:$B$46,MATCH($C48,Assumptions!$A$44:$A$46,0))+IF(J$45&gt;=$G48,INDEX(Assumptions!$C$44:$C$46,MATCH($C48,Assumptions!$A$44:$A$46,0)),0)+IF($C48="Assured",J48*$D48*$C$13*$C$26*$C$27*$C$28,0)</f>
        <v>44225.765625</v>
      </c>
      <c r="K70" s="23" t="n">
        <f aca="false">K48*$D48*$C$13*INDEX(Assumptions!$B$44:$B$46,MATCH($C48,Assumptions!$A$44:$A$46,0))+IF(K$45&gt;=$G48,INDEX(Assumptions!$C$44:$C$46,MATCH($C48,Assumptions!$A$44:$A$46,0)),0)+IF($C48="Assured",K48*$D48*$C$13*$C$26*$C$27*$C$28,0)</f>
        <v>46148.625</v>
      </c>
      <c r="L70" s="23" t="n">
        <f aca="false">L48*$D48*$C$13*INDEX(Assumptions!$B$44:$B$46,MATCH($C48,Assumptions!$A$44:$A$46,0))+IF(L$45&gt;=$G48,INDEX(Assumptions!$C$44:$C$46,MATCH($C48,Assumptions!$A$44:$A$46,0)),0)+IF($C48="Assured",L48*$D48*$C$13*$C$26*$C$27*$C$28,0)</f>
        <v>46148.625</v>
      </c>
      <c r="M70" s="23" t="n">
        <f aca="false">M48*$D48*$C$13*INDEX(Assumptions!$B$44:$B$46,MATCH($C48,Assumptions!$A$44:$A$46,0))+IF(M$45&gt;=$G48,INDEX(Assumptions!$C$44:$C$46,MATCH($C48,Assumptions!$A$44:$A$46,0)),0)+IF($C48="Assured",M48*$D48*$C$13*$C$26*$C$27*$C$28,0)</f>
        <v>46148.625</v>
      </c>
      <c r="N70" s="23" t="n">
        <f aca="false">N48*$D48*$C$13*INDEX(Assumptions!$B$44:$B$46,MATCH($C48,Assumptions!$A$44:$A$46,0))+IF(N$45&gt;=$G48,INDEX(Assumptions!$C$44:$C$46,MATCH($C48,Assumptions!$A$44:$A$46,0)),0)+IF($C48="Assured",N48*$D48*$C$13*$C$26*$C$27*$C$28,0)</f>
        <v>46148.625</v>
      </c>
      <c r="O70" s="23" t="n">
        <f aca="false">O48*$D48*$C$13*INDEX(Assumptions!$B$44:$B$46,MATCH($C48,Assumptions!$A$44:$A$46,0))+IF(O$45&gt;=$G48,INDEX(Assumptions!$C$44:$C$46,MATCH($C48,Assumptions!$A$44:$A$46,0)),0)+IF($C48="Assured",O48*$D48*$C$13*$C$26*$C$27*$C$28,0)</f>
        <v>46148.625</v>
      </c>
      <c r="P70" s="23" t="n">
        <f aca="false">P48*$D48*$C$13*INDEX(Assumptions!$B$44:$B$46,MATCH($C48,Assumptions!$A$44:$A$46,0))+IF(P$45&gt;=$G48,INDEX(Assumptions!$C$44:$C$46,MATCH($C48,Assumptions!$A$44:$A$46,0)),0)+IF($C48="Assured",P48*$D48*$C$13*$C$26*$C$27*$C$28,0)</f>
        <v>46148.625</v>
      </c>
      <c r="Q70" s="23" t="n">
        <f aca="false">Q48*$D48*$C$13*INDEX(Assumptions!$B$44:$B$46,MATCH($C48,Assumptions!$A$44:$A$46,0))+IF(Q$45&gt;=$G48,INDEX(Assumptions!$C$44:$C$46,MATCH($C48,Assumptions!$A$44:$A$46,0)),0)+IF($C48="Assured",Q48*$D48*$C$13*$C$26*$C$27*$C$28,0)</f>
        <v>46148.625</v>
      </c>
      <c r="R70" s="23" t="n">
        <f aca="false">R48*$D48*$C$13*INDEX(Assumptions!$B$44:$B$46,MATCH($C48,Assumptions!$A$44:$A$46,0))+IF(R$45&gt;=$G48,INDEX(Assumptions!$C$44:$C$46,MATCH($C48,Assumptions!$A$44:$A$46,0)),0)+IF($C48="Assured",R48*$D48*$C$13*$C$26*$C$27*$C$28,0)</f>
        <v>46148.625</v>
      </c>
      <c r="S70" s="23" t="n">
        <f aca="false">S48*$D48*$C$13*INDEX(Assumptions!$B$44:$B$46,MATCH($C48,Assumptions!$A$44:$A$46,0))+IF(S$45&gt;=$G48,INDEX(Assumptions!$C$44:$C$46,MATCH($C48,Assumptions!$A$44:$A$46,0)),0)+IF($C48="Assured",S48*$D48*$C$13*$C$26*$C$27*$C$28,0)</f>
        <v>46148.625</v>
      </c>
      <c r="T70" s="23" t="n">
        <f aca="false">T48*$D48*$C$13*INDEX(Assumptions!$B$44:$B$46,MATCH($C48,Assumptions!$A$44:$A$46,0))+IF(T$45&gt;=$G48,INDEX(Assumptions!$C$44:$C$46,MATCH($C48,Assumptions!$A$44:$A$46,0)),0)+IF($C48="Assured",T48*$D48*$C$13*$C$26*$C$27*$C$28,0)</f>
        <v>46148.625</v>
      </c>
      <c r="U70" s="23" t="n">
        <f aca="false">U48*$D48*$C$13*INDEX(Assumptions!$B$44:$B$46,MATCH($C48,Assumptions!$A$44:$A$46,0))+IF(U$45&gt;=$G48,INDEX(Assumptions!$C$44:$C$46,MATCH($C48,Assumptions!$A$44:$A$46,0)),0)+IF($C48="Assured",U48*$D48*$C$13*$C$26*$C$27*$C$28,0)</f>
        <v>46148.625</v>
      </c>
      <c r="V70" s="23" t="n">
        <f aca="false">V48*$D48*$C$13*INDEX(Assumptions!$B$44:$B$46,MATCH($C48,Assumptions!$A$44:$A$46,0))+IF(V$45&gt;=$G48,INDEX(Assumptions!$C$44:$C$46,MATCH($C48,Assumptions!$A$44:$A$46,0)),0)+IF($C48="Assured",V48*$D48*$C$13*$C$26*$C$27*$C$28,0)</f>
        <v>46148.625</v>
      </c>
      <c r="W70" s="23" t="n">
        <f aca="false">W48*$D48*$C$13*INDEX(Assumptions!$B$44:$B$46,MATCH($C48,Assumptions!$A$44:$A$46,0))+IF(W$45&gt;=$G48,INDEX(Assumptions!$C$44:$C$46,MATCH($C48,Assumptions!$A$44:$A$46,0)),0)+IF($C48="Assured",W48*$D48*$C$13*$C$26*$C$27*$C$28,0)</f>
        <v>46148.625</v>
      </c>
      <c r="X70" s="23" t="n">
        <f aca="false">X48*$D48*$C$13*INDEX(Assumptions!$B$44:$B$46,MATCH($C48,Assumptions!$A$44:$A$46,0))+IF(X$45&gt;=$G48,INDEX(Assumptions!$C$44:$C$46,MATCH($C48,Assumptions!$A$44:$A$46,0)),0)+IF($C48="Assured",X48*$D48*$C$13*$C$26*$C$27*$C$28,0)</f>
        <v>46148.625</v>
      </c>
      <c r="Y70" s="23" t="n">
        <f aca="false">Y48*$D48*$C$13*INDEX(Assumptions!$B$44:$B$46,MATCH($C48,Assumptions!$A$44:$A$46,0))+IF(Y$45&gt;=$G48,INDEX(Assumptions!$C$44:$C$46,MATCH($C48,Assumptions!$A$44:$A$46,0)),0)+IF($C48="Assured",Y48*$D48*$C$13*$C$26*$C$27*$C$28,0)</f>
        <v>46148.625</v>
      </c>
    </row>
    <row r="71" customFormat="false" ht="15" hidden="false" customHeight="false" outlineLevel="0" collapsed="false">
      <c r="A71" s="2" t="n">
        <f aca="false">A49</f>
        <v>2</v>
      </c>
      <c r="B71" s="2" t="str">
        <f aca="false">B49</f>
        <v>Pilot</v>
      </c>
      <c r="C71" s="2" t="str">
        <f aca="false">C49</f>
        <v>Assured</v>
      </c>
      <c r="D71" s="2"/>
      <c r="E71" s="2"/>
      <c r="F71" s="2"/>
      <c r="G71" s="2"/>
      <c r="H71" s="23" t="n">
        <f aca="false">H49*$D49*$C$13*INDEX(Assumptions!$B$44:$B$46,MATCH($C49,Assumptions!$A$44:$A$46,0))+IF(H$45&gt;=$G49,INDEX(Assumptions!$C$44:$C$46,MATCH($C49,Assumptions!$A$44:$A$46,0)),0)+IF($C49="Assured",H49*$D49*$C$13*$C$26*$C$27*$C$28,0)</f>
        <v>40380.046875</v>
      </c>
      <c r="I71" s="23" t="n">
        <f aca="false">I49*$D49*$C$13*INDEX(Assumptions!$B$44:$B$46,MATCH($C49,Assumptions!$A$44:$A$46,0))+IF(I$45&gt;=$G49,INDEX(Assumptions!$C$44:$C$46,MATCH($C49,Assumptions!$A$44:$A$46,0)),0)+IF($C49="Assured",I49*$D49*$C$13*$C$26*$C$27*$C$28,0)</f>
        <v>42302.90625</v>
      </c>
      <c r="J71" s="23" t="n">
        <f aca="false">J49*$D49*$C$13*INDEX(Assumptions!$B$44:$B$46,MATCH($C49,Assumptions!$A$44:$A$46,0))+IF(J$45&gt;=$G49,INDEX(Assumptions!$C$44:$C$46,MATCH($C49,Assumptions!$A$44:$A$46,0)),0)+IF($C49="Assured",J49*$D49*$C$13*$C$26*$C$27*$C$28,0)</f>
        <v>44225.765625</v>
      </c>
      <c r="K71" s="23" t="n">
        <f aca="false">K49*$D49*$C$13*INDEX(Assumptions!$B$44:$B$46,MATCH($C49,Assumptions!$A$44:$A$46,0))+IF(K$45&gt;=$G49,INDEX(Assumptions!$C$44:$C$46,MATCH($C49,Assumptions!$A$44:$A$46,0)),0)+IF($C49="Assured",K49*$D49*$C$13*$C$26*$C$27*$C$28,0)</f>
        <v>46148.625</v>
      </c>
      <c r="L71" s="23" t="n">
        <f aca="false">L49*$D49*$C$13*INDEX(Assumptions!$B$44:$B$46,MATCH($C49,Assumptions!$A$44:$A$46,0))+IF(L$45&gt;=$G49,INDEX(Assumptions!$C$44:$C$46,MATCH($C49,Assumptions!$A$44:$A$46,0)),0)+IF($C49="Assured",L49*$D49*$C$13*$C$26*$C$27*$C$28,0)</f>
        <v>46148.625</v>
      </c>
      <c r="M71" s="23" t="n">
        <f aca="false">M49*$D49*$C$13*INDEX(Assumptions!$B$44:$B$46,MATCH($C49,Assumptions!$A$44:$A$46,0))+IF(M$45&gt;=$G49,INDEX(Assumptions!$C$44:$C$46,MATCH($C49,Assumptions!$A$44:$A$46,0)),0)+IF($C49="Assured",M49*$D49*$C$13*$C$26*$C$27*$C$28,0)</f>
        <v>46148.625</v>
      </c>
      <c r="N71" s="23" t="n">
        <f aca="false">N49*$D49*$C$13*INDEX(Assumptions!$B$44:$B$46,MATCH($C49,Assumptions!$A$44:$A$46,0))+IF(N$45&gt;=$G49,INDEX(Assumptions!$C$44:$C$46,MATCH($C49,Assumptions!$A$44:$A$46,0)),0)+IF($C49="Assured",N49*$D49*$C$13*$C$26*$C$27*$C$28,0)</f>
        <v>46148.625</v>
      </c>
      <c r="O71" s="23" t="n">
        <f aca="false">O49*$D49*$C$13*INDEX(Assumptions!$B$44:$B$46,MATCH($C49,Assumptions!$A$44:$A$46,0))+IF(O$45&gt;=$G49,INDEX(Assumptions!$C$44:$C$46,MATCH($C49,Assumptions!$A$44:$A$46,0)),0)+IF($C49="Assured",O49*$D49*$C$13*$C$26*$C$27*$C$28,0)</f>
        <v>46148.625</v>
      </c>
      <c r="P71" s="23" t="n">
        <f aca="false">P49*$D49*$C$13*INDEX(Assumptions!$B$44:$B$46,MATCH($C49,Assumptions!$A$44:$A$46,0))+IF(P$45&gt;=$G49,INDEX(Assumptions!$C$44:$C$46,MATCH($C49,Assumptions!$A$44:$A$46,0)),0)+IF($C49="Assured",P49*$D49*$C$13*$C$26*$C$27*$C$28,0)</f>
        <v>46148.625</v>
      </c>
      <c r="Q71" s="23" t="n">
        <f aca="false">Q49*$D49*$C$13*INDEX(Assumptions!$B$44:$B$46,MATCH($C49,Assumptions!$A$44:$A$46,0))+IF(Q$45&gt;=$G49,INDEX(Assumptions!$C$44:$C$46,MATCH($C49,Assumptions!$A$44:$A$46,0)),0)+IF($C49="Assured",Q49*$D49*$C$13*$C$26*$C$27*$C$28,0)</f>
        <v>46148.625</v>
      </c>
      <c r="R71" s="23" t="n">
        <f aca="false">R49*$D49*$C$13*INDEX(Assumptions!$B$44:$B$46,MATCH($C49,Assumptions!$A$44:$A$46,0))+IF(R$45&gt;=$G49,INDEX(Assumptions!$C$44:$C$46,MATCH($C49,Assumptions!$A$44:$A$46,0)),0)+IF($C49="Assured",R49*$D49*$C$13*$C$26*$C$27*$C$28,0)</f>
        <v>46148.625</v>
      </c>
      <c r="S71" s="23" t="n">
        <f aca="false">S49*$D49*$C$13*INDEX(Assumptions!$B$44:$B$46,MATCH($C49,Assumptions!$A$44:$A$46,0))+IF(S$45&gt;=$G49,INDEX(Assumptions!$C$44:$C$46,MATCH($C49,Assumptions!$A$44:$A$46,0)),0)+IF($C49="Assured",S49*$D49*$C$13*$C$26*$C$27*$C$28,0)</f>
        <v>46148.625</v>
      </c>
      <c r="T71" s="23" t="n">
        <f aca="false">T49*$D49*$C$13*INDEX(Assumptions!$B$44:$B$46,MATCH($C49,Assumptions!$A$44:$A$46,0))+IF(T$45&gt;=$G49,INDEX(Assumptions!$C$44:$C$46,MATCH($C49,Assumptions!$A$44:$A$46,0)),0)+IF($C49="Assured",T49*$D49*$C$13*$C$26*$C$27*$C$28,0)</f>
        <v>46148.625</v>
      </c>
      <c r="U71" s="23" t="n">
        <f aca="false">U49*$D49*$C$13*INDEX(Assumptions!$B$44:$B$46,MATCH($C49,Assumptions!$A$44:$A$46,0))+IF(U$45&gt;=$G49,INDEX(Assumptions!$C$44:$C$46,MATCH($C49,Assumptions!$A$44:$A$46,0)),0)+IF($C49="Assured",U49*$D49*$C$13*$C$26*$C$27*$C$28,0)</f>
        <v>46148.625</v>
      </c>
      <c r="V71" s="23" t="n">
        <f aca="false">V49*$D49*$C$13*INDEX(Assumptions!$B$44:$B$46,MATCH($C49,Assumptions!$A$44:$A$46,0))+IF(V$45&gt;=$G49,INDEX(Assumptions!$C$44:$C$46,MATCH($C49,Assumptions!$A$44:$A$46,0)),0)+IF($C49="Assured",V49*$D49*$C$13*$C$26*$C$27*$C$28,0)</f>
        <v>46148.625</v>
      </c>
      <c r="W71" s="23" t="n">
        <f aca="false">W49*$D49*$C$13*INDEX(Assumptions!$B$44:$B$46,MATCH($C49,Assumptions!$A$44:$A$46,0))+IF(W$45&gt;=$G49,INDEX(Assumptions!$C$44:$C$46,MATCH($C49,Assumptions!$A$44:$A$46,0)),0)+IF($C49="Assured",W49*$D49*$C$13*$C$26*$C$27*$C$28,0)</f>
        <v>46148.625</v>
      </c>
      <c r="X71" s="23" t="n">
        <f aca="false">X49*$D49*$C$13*INDEX(Assumptions!$B$44:$B$46,MATCH($C49,Assumptions!$A$44:$A$46,0))+IF(X$45&gt;=$G49,INDEX(Assumptions!$C$44:$C$46,MATCH($C49,Assumptions!$A$44:$A$46,0)),0)+IF($C49="Assured",X49*$D49*$C$13*$C$26*$C$27*$C$28,0)</f>
        <v>46148.625</v>
      </c>
      <c r="Y71" s="23" t="n">
        <f aca="false">Y49*$D49*$C$13*INDEX(Assumptions!$B$44:$B$46,MATCH($C49,Assumptions!$A$44:$A$46,0))+IF(Y$45&gt;=$G49,INDEX(Assumptions!$C$44:$C$46,MATCH($C49,Assumptions!$A$44:$A$46,0)),0)+IF($C49="Assured",Y49*$D49*$C$13*$C$26*$C$27*$C$28,0)</f>
        <v>46148.625</v>
      </c>
    </row>
    <row r="72" customFormat="false" ht="15" hidden="false" customHeight="false" outlineLevel="0" collapsed="false">
      <c r="A72" s="2" t="n">
        <f aca="false">A50</f>
        <v>3</v>
      </c>
      <c r="B72" s="2" t="str">
        <f aca="false">B50</f>
        <v>Pilot</v>
      </c>
      <c r="C72" s="2" t="str">
        <f aca="false">C50</f>
        <v>Assured</v>
      </c>
      <c r="D72" s="2"/>
      <c r="E72" s="2"/>
      <c r="F72" s="2"/>
      <c r="G72" s="2"/>
      <c r="H72" s="23" t="n">
        <f aca="false">H50*$D50*$C$13*INDEX(Assumptions!$B$44:$B$46,MATCH($C50,Assumptions!$A$44:$A$46,0))+IF(H$45&gt;=$G50,INDEX(Assumptions!$C$44:$C$46,MATCH($C50,Assumptions!$A$44:$A$46,0)),0)+IF($C50="Assured",H50*$D50*$C$13*$C$26*$C$27*$C$28,0)</f>
        <v>40380.046875</v>
      </c>
      <c r="I72" s="23" t="n">
        <f aca="false">I50*$D50*$C$13*INDEX(Assumptions!$B$44:$B$46,MATCH($C50,Assumptions!$A$44:$A$46,0))+IF(I$45&gt;=$G50,INDEX(Assumptions!$C$44:$C$46,MATCH($C50,Assumptions!$A$44:$A$46,0)),0)+IF($C50="Assured",I50*$D50*$C$13*$C$26*$C$27*$C$28,0)</f>
        <v>42302.90625</v>
      </c>
      <c r="J72" s="23" t="n">
        <f aca="false">J50*$D50*$C$13*INDEX(Assumptions!$B$44:$B$46,MATCH($C50,Assumptions!$A$44:$A$46,0))+IF(J$45&gt;=$G50,INDEX(Assumptions!$C$44:$C$46,MATCH($C50,Assumptions!$A$44:$A$46,0)),0)+IF($C50="Assured",J50*$D50*$C$13*$C$26*$C$27*$C$28,0)</f>
        <v>44225.765625</v>
      </c>
      <c r="K72" s="23" t="n">
        <f aca="false">K50*$D50*$C$13*INDEX(Assumptions!$B$44:$B$46,MATCH($C50,Assumptions!$A$44:$A$46,0))+IF(K$45&gt;=$G50,INDEX(Assumptions!$C$44:$C$46,MATCH($C50,Assumptions!$A$44:$A$46,0)),0)+IF($C50="Assured",K50*$D50*$C$13*$C$26*$C$27*$C$28,0)</f>
        <v>46148.625</v>
      </c>
      <c r="L72" s="23" t="n">
        <f aca="false">L50*$D50*$C$13*INDEX(Assumptions!$B$44:$B$46,MATCH($C50,Assumptions!$A$44:$A$46,0))+IF(L$45&gt;=$G50,INDEX(Assumptions!$C$44:$C$46,MATCH($C50,Assumptions!$A$44:$A$46,0)),0)+IF($C50="Assured",L50*$D50*$C$13*$C$26*$C$27*$C$28,0)</f>
        <v>46148.625</v>
      </c>
      <c r="M72" s="23" t="n">
        <f aca="false">M50*$D50*$C$13*INDEX(Assumptions!$B$44:$B$46,MATCH($C50,Assumptions!$A$44:$A$46,0))+IF(M$45&gt;=$G50,INDEX(Assumptions!$C$44:$C$46,MATCH($C50,Assumptions!$A$44:$A$46,0)),0)+IF($C50="Assured",M50*$D50*$C$13*$C$26*$C$27*$C$28,0)</f>
        <v>46148.625</v>
      </c>
      <c r="N72" s="23" t="n">
        <f aca="false">N50*$D50*$C$13*INDEX(Assumptions!$B$44:$B$46,MATCH($C50,Assumptions!$A$44:$A$46,0))+IF(N$45&gt;=$G50,INDEX(Assumptions!$C$44:$C$46,MATCH($C50,Assumptions!$A$44:$A$46,0)),0)+IF($C50="Assured",N50*$D50*$C$13*$C$26*$C$27*$C$28,0)</f>
        <v>46148.625</v>
      </c>
      <c r="O72" s="23" t="n">
        <f aca="false">O50*$D50*$C$13*INDEX(Assumptions!$B$44:$B$46,MATCH($C50,Assumptions!$A$44:$A$46,0))+IF(O$45&gt;=$G50,INDEX(Assumptions!$C$44:$C$46,MATCH($C50,Assumptions!$A$44:$A$46,0)),0)+IF($C50="Assured",O50*$D50*$C$13*$C$26*$C$27*$C$28,0)</f>
        <v>46148.625</v>
      </c>
      <c r="P72" s="23" t="n">
        <f aca="false">P50*$D50*$C$13*INDEX(Assumptions!$B$44:$B$46,MATCH($C50,Assumptions!$A$44:$A$46,0))+IF(P$45&gt;=$G50,INDEX(Assumptions!$C$44:$C$46,MATCH($C50,Assumptions!$A$44:$A$46,0)),0)+IF($C50="Assured",P50*$D50*$C$13*$C$26*$C$27*$C$28,0)</f>
        <v>46148.625</v>
      </c>
      <c r="Q72" s="23" t="n">
        <f aca="false">Q50*$D50*$C$13*INDEX(Assumptions!$B$44:$B$46,MATCH($C50,Assumptions!$A$44:$A$46,0))+IF(Q$45&gt;=$G50,INDEX(Assumptions!$C$44:$C$46,MATCH($C50,Assumptions!$A$44:$A$46,0)),0)+IF($C50="Assured",Q50*$D50*$C$13*$C$26*$C$27*$C$28,0)</f>
        <v>46148.625</v>
      </c>
      <c r="R72" s="23" t="n">
        <f aca="false">R50*$D50*$C$13*INDEX(Assumptions!$B$44:$B$46,MATCH($C50,Assumptions!$A$44:$A$46,0))+IF(R$45&gt;=$G50,INDEX(Assumptions!$C$44:$C$46,MATCH($C50,Assumptions!$A$44:$A$46,0)),0)+IF($C50="Assured",R50*$D50*$C$13*$C$26*$C$27*$C$28,0)</f>
        <v>46148.625</v>
      </c>
      <c r="S72" s="23" t="n">
        <f aca="false">S50*$D50*$C$13*INDEX(Assumptions!$B$44:$B$46,MATCH($C50,Assumptions!$A$44:$A$46,0))+IF(S$45&gt;=$G50,INDEX(Assumptions!$C$44:$C$46,MATCH($C50,Assumptions!$A$44:$A$46,0)),0)+IF($C50="Assured",S50*$D50*$C$13*$C$26*$C$27*$C$28,0)</f>
        <v>46148.625</v>
      </c>
      <c r="T72" s="23" t="n">
        <f aca="false">T50*$D50*$C$13*INDEX(Assumptions!$B$44:$B$46,MATCH($C50,Assumptions!$A$44:$A$46,0))+IF(T$45&gt;=$G50,INDEX(Assumptions!$C$44:$C$46,MATCH($C50,Assumptions!$A$44:$A$46,0)),0)+IF($C50="Assured",T50*$D50*$C$13*$C$26*$C$27*$C$28,0)</f>
        <v>46148.625</v>
      </c>
      <c r="U72" s="23" t="n">
        <f aca="false">U50*$D50*$C$13*INDEX(Assumptions!$B$44:$B$46,MATCH($C50,Assumptions!$A$44:$A$46,0))+IF(U$45&gt;=$G50,INDEX(Assumptions!$C$44:$C$46,MATCH($C50,Assumptions!$A$44:$A$46,0)),0)+IF($C50="Assured",U50*$D50*$C$13*$C$26*$C$27*$C$28,0)</f>
        <v>46148.625</v>
      </c>
      <c r="V72" s="23" t="n">
        <f aca="false">V50*$D50*$C$13*INDEX(Assumptions!$B$44:$B$46,MATCH($C50,Assumptions!$A$44:$A$46,0))+IF(V$45&gt;=$G50,INDEX(Assumptions!$C$44:$C$46,MATCH($C50,Assumptions!$A$44:$A$46,0)),0)+IF($C50="Assured",V50*$D50*$C$13*$C$26*$C$27*$C$28,0)</f>
        <v>46148.625</v>
      </c>
      <c r="W72" s="23" t="n">
        <f aca="false">W50*$D50*$C$13*INDEX(Assumptions!$B$44:$B$46,MATCH($C50,Assumptions!$A$44:$A$46,0))+IF(W$45&gt;=$G50,INDEX(Assumptions!$C$44:$C$46,MATCH($C50,Assumptions!$A$44:$A$46,0)),0)+IF($C50="Assured",W50*$D50*$C$13*$C$26*$C$27*$C$28,0)</f>
        <v>46148.625</v>
      </c>
      <c r="X72" s="23" t="n">
        <f aca="false">X50*$D50*$C$13*INDEX(Assumptions!$B$44:$B$46,MATCH($C50,Assumptions!$A$44:$A$46,0))+IF(X$45&gt;=$G50,INDEX(Assumptions!$C$44:$C$46,MATCH($C50,Assumptions!$A$44:$A$46,0)),0)+IF($C50="Assured",X50*$D50*$C$13*$C$26*$C$27*$C$28,0)</f>
        <v>46148.625</v>
      </c>
      <c r="Y72" s="23" t="n">
        <f aca="false">Y50*$D50*$C$13*INDEX(Assumptions!$B$44:$B$46,MATCH($C50,Assumptions!$A$44:$A$46,0))+IF(Y$45&gt;=$G50,INDEX(Assumptions!$C$44:$C$46,MATCH($C50,Assumptions!$A$44:$A$46,0)),0)+IF($C50="Assured",Y50*$D50*$C$13*$C$26*$C$27*$C$28,0)</f>
        <v>46148.625</v>
      </c>
    </row>
    <row r="73" customFormat="false" ht="15" hidden="false" customHeight="false" outlineLevel="0" collapsed="false">
      <c r="A73" s="2" t="n">
        <f aca="false">A51</f>
        <v>4</v>
      </c>
      <c r="B73" s="2" t="str">
        <f aca="false">B51</f>
        <v>Pilot</v>
      </c>
      <c r="C73" s="2" t="str">
        <f aca="false">C51</f>
        <v>Assured</v>
      </c>
      <c r="D73" s="2"/>
      <c r="E73" s="2"/>
      <c r="F73" s="2"/>
      <c r="G73" s="2"/>
      <c r="H73" s="23" t="n">
        <f aca="false">H51*$D51*$C$13*INDEX(Assumptions!$B$44:$B$46,MATCH($C51,Assumptions!$A$44:$A$46,0))+IF(H$45&gt;=$G51,INDEX(Assumptions!$C$44:$C$46,MATCH($C51,Assumptions!$A$44:$A$46,0)),0)+IF($C51="Assured",H51*$D51*$C$13*$C$26*$C$27*$C$28,0)</f>
        <v>40380.046875</v>
      </c>
      <c r="I73" s="23" t="n">
        <f aca="false">I51*$D51*$C$13*INDEX(Assumptions!$B$44:$B$46,MATCH($C51,Assumptions!$A$44:$A$46,0))+IF(I$45&gt;=$G51,INDEX(Assumptions!$C$44:$C$46,MATCH($C51,Assumptions!$A$44:$A$46,0)),0)+IF($C51="Assured",I51*$D51*$C$13*$C$26*$C$27*$C$28,0)</f>
        <v>42302.90625</v>
      </c>
      <c r="J73" s="23" t="n">
        <f aca="false">J51*$D51*$C$13*INDEX(Assumptions!$B$44:$B$46,MATCH($C51,Assumptions!$A$44:$A$46,0))+IF(J$45&gt;=$G51,INDEX(Assumptions!$C$44:$C$46,MATCH($C51,Assumptions!$A$44:$A$46,0)),0)+IF($C51="Assured",J51*$D51*$C$13*$C$26*$C$27*$C$28,0)</f>
        <v>44225.765625</v>
      </c>
      <c r="K73" s="23" t="n">
        <f aca="false">K51*$D51*$C$13*INDEX(Assumptions!$B$44:$B$46,MATCH($C51,Assumptions!$A$44:$A$46,0))+IF(K$45&gt;=$G51,INDEX(Assumptions!$C$44:$C$46,MATCH($C51,Assumptions!$A$44:$A$46,0)),0)+IF($C51="Assured",K51*$D51*$C$13*$C$26*$C$27*$C$28,0)</f>
        <v>46148.625</v>
      </c>
      <c r="L73" s="23" t="n">
        <f aca="false">L51*$D51*$C$13*INDEX(Assumptions!$B$44:$B$46,MATCH($C51,Assumptions!$A$44:$A$46,0))+IF(L$45&gt;=$G51,INDEX(Assumptions!$C$44:$C$46,MATCH($C51,Assumptions!$A$44:$A$46,0)),0)+IF($C51="Assured",L51*$D51*$C$13*$C$26*$C$27*$C$28,0)</f>
        <v>46148.625</v>
      </c>
      <c r="M73" s="23" t="n">
        <f aca="false">M51*$D51*$C$13*INDEX(Assumptions!$B$44:$B$46,MATCH($C51,Assumptions!$A$44:$A$46,0))+IF(M$45&gt;=$G51,INDEX(Assumptions!$C$44:$C$46,MATCH($C51,Assumptions!$A$44:$A$46,0)),0)+IF($C51="Assured",M51*$D51*$C$13*$C$26*$C$27*$C$28,0)</f>
        <v>46148.625</v>
      </c>
      <c r="N73" s="23" t="n">
        <f aca="false">N51*$D51*$C$13*INDEX(Assumptions!$B$44:$B$46,MATCH($C51,Assumptions!$A$44:$A$46,0))+IF(N$45&gt;=$G51,INDEX(Assumptions!$C$44:$C$46,MATCH($C51,Assumptions!$A$44:$A$46,0)),0)+IF($C51="Assured",N51*$D51*$C$13*$C$26*$C$27*$C$28,0)</f>
        <v>46148.625</v>
      </c>
      <c r="O73" s="23" t="n">
        <f aca="false">O51*$D51*$C$13*INDEX(Assumptions!$B$44:$B$46,MATCH($C51,Assumptions!$A$44:$A$46,0))+IF(O$45&gt;=$G51,INDEX(Assumptions!$C$44:$C$46,MATCH($C51,Assumptions!$A$44:$A$46,0)),0)+IF($C51="Assured",O51*$D51*$C$13*$C$26*$C$27*$C$28,0)</f>
        <v>46148.625</v>
      </c>
      <c r="P73" s="23" t="n">
        <f aca="false">P51*$D51*$C$13*INDEX(Assumptions!$B$44:$B$46,MATCH($C51,Assumptions!$A$44:$A$46,0))+IF(P$45&gt;=$G51,INDEX(Assumptions!$C$44:$C$46,MATCH($C51,Assumptions!$A$44:$A$46,0)),0)+IF($C51="Assured",P51*$D51*$C$13*$C$26*$C$27*$C$28,0)</f>
        <v>46148.625</v>
      </c>
      <c r="Q73" s="23" t="n">
        <f aca="false">Q51*$D51*$C$13*INDEX(Assumptions!$B$44:$B$46,MATCH($C51,Assumptions!$A$44:$A$46,0))+IF(Q$45&gt;=$G51,INDEX(Assumptions!$C$44:$C$46,MATCH($C51,Assumptions!$A$44:$A$46,0)),0)+IF($C51="Assured",Q51*$D51*$C$13*$C$26*$C$27*$C$28,0)</f>
        <v>46148.625</v>
      </c>
      <c r="R73" s="23" t="n">
        <f aca="false">R51*$D51*$C$13*INDEX(Assumptions!$B$44:$B$46,MATCH($C51,Assumptions!$A$44:$A$46,0))+IF(R$45&gt;=$G51,INDEX(Assumptions!$C$44:$C$46,MATCH($C51,Assumptions!$A$44:$A$46,0)),0)+IF($C51="Assured",R51*$D51*$C$13*$C$26*$C$27*$C$28,0)</f>
        <v>46148.625</v>
      </c>
      <c r="S73" s="23" t="n">
        <f aca="false">S51*$D51*$C$13*INDEX(Assumptions!$B$44:$B$46,MATCH($C51,Assumptions!$A$44:$A$46,0))+IF(S$45&gt;=$G51,INDEX(Assumptions!$C$44:$C$46,MATCH($C51,Assumptions!$A$44:$A$46,0)),0)+IF($C51="Assured",S51*$D51*$C$13*$C$26*$C$27*$C$28,0)</f>
        <v>46148.625</v>
      </c>
      <c r="T73" s="23" t="n">
        <f aca="false">T51*$D51*$C$13*INDEX(Assumptions!$B$44:$B$46,MATCH($C51,Assumptions!$A$44:$A$46,0))+IF(T$45&gt;=$G51,INDEX(Assumptions!$C$44:$C$46,MATCH($C51,Assumptions!$A$44:$A$46,0)),0)+IF($C51="Assured",T51*$D51*$C$13*$C$26*$C$27*$C$28,0)</f>
        <v>46148.625</v>
      </c>
      <c r="U73" s="23" t="n">
        <f aca="false">U51*$D51*$C$13*INDEX(Assumptions!$B$44:$B$46,MATCH($C51,Assumptions!$A$44:$A$46,0))+IF(U$45&gt;=$G51,INDEX(Assumptions!$C$44:$C$46,MATCH($C51,Assumptions!$A$44:$A$46,0)),0)+IF($C51="Assured",U51*$D51*$C$13*$C$26*$C$27*$C$28,0)</f>
        <v>46148.625</v>
      </c>
      <c r="V73" s="23" t="n">
        <f aca="false">V51*$D51*$C$13*INDEX(Assumptions!$B$44:$B$46,MATCH($C51,Assumptions!$A$44:$A$46,0))+IF(V$45&gt;=$G51,INDEX(Assumptions!$C$44:$C$46,MATCH($C51,Assumptions!$A$44:$A$46,0)),0)+IF($C51="Assured",V51*$D51*$C$13*$C$26*$C$27*$C$28,0)</f>
        <v>46148.625</v>
      </c>
      <c r="W73" s="23" t="n">
        <f aca="false">W51*$D51*$C$13*INDEX(Assumptions!$B$44:$B$46,MATCH($C51,Assumptions!$A$44:$A$46,0))+IF(W$45&gt;=$G51,INDEX(Assumptions!$C$44:$C$46,MATCH($C51,Assumptions!$A$44:$A$46,0)),0)+IF($C51="Assured",W51*$D51*$C$13*$C$26*$C$27*$C$28,0)</f>
        <v>46148.625</v>
      </c>
      <c r="X73" s="23" t="n">
        <f aca="false">X51*$D51*$C$13*INDEX(Assumptions!$B$44:$B$46,MATCH($C51,Assumptions!$A$44:$A$46,0))+IF(X$45&gt;=$G51,INDEX(Assumptions!$C$44:$C$46,MATCH($C51,Assumptions!$A$44:$A$46,0)),0)+IF($C51="Assured",X51*$D51*$C$13*$C$26*$C$27*$C$28,0)</f>
        <v>46148.625</v>
      </c>
      <c r="Y73" s="23" t="n">
        <f aca="false">Y51*$D51*$C$13*INDEX(Assumptions!$B$44:$B$46,MATCH($C51,Assumptions!$A$44:$A$46,0))+IF(Y$45&gt;=$G51,INDEX(Assumptions!$C$44:$C$46,MATCH($C51,Assumptions!$A$44:$A$46,0)),0)+IF($C51="Assured",Y51*$D51*$C$13*$C$26*$C$27*$C$28,0)</f>
        <v>46148.625</v>
      </c>
    </row>
    <row r="74" customFormat="false" ht="15" hidden="false" customHeight="false" outlineLevel="0" collapsed="false">
      <c r="A74" s="2" t="n">
        <f aca="false">A52</f>
        <v>5</v>
      </c>
      <c r="B74" s="2" t="str">
        <f aca="false">B52</f>
        <v>A</v>
      </c>
      <c r="C74" s="2" t="str">
        <f aca="false">C52</f>
        <v>Assured</v>
      </c>
      <c r="D74" s="2"/>
      <c r="E74" s="2"/>
      <c r="F74" s="2"/>
      <c r="G74" s="2"/>
      <c r="H74" s="23" t="n">
        <f aca="false">H52*$D52*$C$13*INDEX(Assumptions!$B$44:$B$46,MATCH($C52,Assumptions!$A$44:$A$46,0))+IF(H$45&gt;=$G52,INDEX(Assumptions!$C$44:$C$46,MATCH($C52,Assumptions!$A$44:$A$46,0)),0)+IF($C52="Assured",H52*$D52*$C$13*$C$26*$C$27*$C$28,0)</f>
        <v>0</v>
      </c>
      <c r="I74" s="23" t="n">
        <f aca="false">I52*$D52*$C$13*INDEX(Assumptions!$B$44:$B$46,MATCH($C52,Assumptions!$A$44:$A$46,0))+IF(I$45&gt;=$G52,INDEX(Assumptions!$C$44:$C$46,MATCH($C52,Assumptions!$A$44:$A$46,0)),0)+IF($C52="Assured",I52*$D52*$C$13*$C$26*$C$27*$C$28,0)</f>
        <v>0</v>
      </c>
      <c r="J74" s="23" t="n">
        <f aca="false">J52*$D52*$C$13*INDEX(Assumptions!$B$44:$B$46,MATCH($C52,Assumptions!$A$44:$A$46,0))+IF(J$45&gt;=$G52,INDEX(Assumptions!$C$44:$C$46,MATCH($C52,Assumptions!$A$44:$A$46,0)),0)+IF($C52="Assured",J52*$D52*$C$13*$C$26*$C$27*$C$28,0)</f>
        <v>0</v>
      </c>
      <c r="K74" s="23" t="n">
        <f aca="false">K52*$D52*$C$13*INDEX(Assumptions!$B$44:$B$46,MATCH($C52,Assumptions!$A$44:$A$46,0))+IF(K$45&gt;=$G52,INDEX(Assumptions!$C$44:$C$46,MATCH($C52,Assumptions!$A$44:$A$46,0)),0)+IF($C52="Assured",K52*$D52*$C$13*$C$26*$C$27*$C$28,0)</f>
        <v>0</v>
      </c>
      <c r="L74" s="23" t="n">
        <f aca="false">L52*$D52*$C$13*INDEX(Assumptions!$B$44:$B$46,MATCH($C52,Assumptions!$A$44:$A$46,0))+IF(L$45&gt;=$G52,INDEX(Assumptions!$C$44:$C$46,MATCH($C52,Assumptions!$A$44:$A$46,0)),0)+IF($C52="Assured",L52*$D52*$C$13*$C$26*$C$27*$C$28,0)</f>
        <v>15245.334</v>
      </c>
      <c r="M74" s="23" t="n">
        <f aca="false">M52*$D52*$C$13*INDEX(Assumptions!$B$44:$B$46,MATCH($C52,Assumptions!$A$44:$A$46,0))+IF(M$45&gt;=$G52,INDEX(Assumptions!$C$44:$C$46,MATCH($C52,Assumptions!$A$44:$A$46,0)),0)+IF($C52="Assured",M52*$D52*$C$13*$C$26*$C$27*$C$28,0)</f>
        <v>30490.668</v>
      </c>
      <c r="N74" s="23" t="n">
        <f aca="false">N52*$D52*$C$13*INDEX(Assumptions!$B$44:$B$46,MATCH($C52,Assumptions!$A$44:$A$46,0))+IF(N$45&gt;=$G52,INDEX(Assumptions!$C$44:$C$46,MATCH($C52,Assumptions!$A$44:$A$46,0)),0)+IF($C52="Assured",N52*$D52*$C$13*$C$26*$C$27*$C$28,0)</f>
        <v>43195.113</v>
      </c>
      <c r="O74" s="23" t="n">
        <f aca="false">O52*$D52*$C$13*INDEX(Assumptions!$B$44:$B$46,MATCH($C52,Assumptions!$A$44:$A$46,0))+IF(O$45&gt;=$G52,INDEX(Assumptions!$C$44:$C$46,MATCH($C52,Assumptions!$A$44:$A$46,0)),0)+IF($C52="Assured",O52*$D52*$C$13*$C$26*$C$27*$C$28,0)</f>
        <v>50817.78</v>
      </c>
      <c r="P74" s="23" t="n">
        <f aca="false">P52*$D52*$C$13*INDEX(Assumptions!$B$44:$B$46,MATCH($C52,Assumptions!$A$44:$A$46,0))+IF(P$45&gt;=$G52,INDEX(Assumptions!$C$44:$C$46,MATCH($C52,Assumptions!$A$44:$A$46,0)),0)+IF($C52="Assured",P52*$D52*$C$13*$C$26*$C$27*$C$28,0)</f>
        <v>50817.78</v>
      </c>
      <c r="Q74" s="23" t="n">
        <f aca="false">Q52*$D52*$C$13*INDEX(Assumptions!$B$44:$B$46,MATCH($C52,Assumptions!$A$44:$A$46,0))+IF(Q$45&gt;=$G52,INDEX(Assumptions!$C$44:$C$46,MATCH($C52,Assumptions!$A$44:$A$46,0)),0)+IF($C52="Assured",Q52*$D52*$C$13*$C$26*$C$27*$C$28,0)</f>
        <v>50817.78</v>
      </c>
      <c r="R74" s="23" t="n">
        <f aca="false">R52*$D52*$C$13*INDEX(Assumptions!$B$44:$B$46,MATCH($C52,Assumptions!$A$44:$A$46,0))+IF(R$45&gt;=$G52,INDEX(Assumptions!$C$44:$C$46,MATCH($C52,Assumptions!$A$44:$A$46,0)),0)+IF($C52="Assured",R52*$D52*$C$13*$C$26*$C$27*$C$28,0)</f>
        <v>50817.78</v>
      </c>
      <c r="S74" s="23" t="n">
        <f aca="false">S52*$D52*$C$13*INDEX(Assumptions!$B$44:$B$46,MATCH($C52,Assumptions!$A$44:$A$46,0))+IF(S$45&gt;=$G52,INDEX(Assumptions!$C$44:$C$46,MATCH($C52,Assumptions!$A$44:$A$46,0)),0)+IF($C52="Assured",S52*$D52*$C$13*$C$26*$C$27*$C$28,0)</f>
        <v>50817.78</v>
      </c>
      <c r="T74" s="23" t="n">
        <f aca="false">T52*$D52*$C$13*INDEX(Assumptions!$B$44:$B$46,MATCH($C52,Assumptions!$A$44:$A$46,0))+IF(T$45&gt;=$G52,INDEX(Assumptions!$C$44:$C$46,MATCH($C52,Assumptions!$A$44:$A$46,0)),0)+IF($C52="Assured",T52*$D52*$C$13*$C$26*$C$27*$C$28,0)</f>
        <v>50817.78</v>
      </c>
      <c r="U74" s="23" t="n">
        <f aca="false">U52*$D52*$C$13*INDEX(Assumptions!$B$44:$B$46,MATCH($C52,Assumptions!$A$44:$A$46,0))+IF(U$45&gt;=$G52,INDEX(Assumptions!$C$44:$C$46,MATCH($C52,Assumptions!$A$44:$A$46,0)),0)+IF($C52="Assured",U52*$D52*$C$13*$C$26*$C$27*$C$28,0)</f>
        <v>50817.78</v>
      </c>
      <c r="V74" s="23" t="n">
        <f aca="false">V52*$D52*$C$13*INDEX(Assumptions!$B$44:$B$46,MATCH($C52,Assumptions!$A$44:$A$46,0))+IF(V$45&gt;=$G52,INDEX(Assumptions!$C$44:$C$46,MATCH($C52,Assumptions!$A$44:$A$46,0)),0)+IF($C52="Assured",V52*$D52*$C$13*$C$26*$C$27*$C$28,0)</f>
        <v>50817.78</v>
      </c>
      <c r="W74" s="23" t="n">
        <f aca="false">W52*$D52*$C$13*INDEX(Assumptions!$B$44:$B$46,MATCH($C52,Assumptions!$A$44:$A$46,0))+IF(W$45&gt;=$G52,INDEX(Assumptions!$C$44:$C$46,MATCH($C52,Assumptions!$A$44:$A$46,0)),0)+IF($C52="Assured",W52*$D52*$C$13*$C$26*$C$27*$C$28,0)</f>
        <v>50817.78</v>
      </c>
      <c r="X74" s="23" t="n">
        <f aca="false">X52*$D52*$C$13*INDEX(Assumptions!$B$44:$B$46,MATCH($C52,Assumptions!$A$44:$A$46,0))+IF(X$45&gt;=$G52,INDEX(Assumptions!$C$44:$C$46,MATCH($C52,Assumptions!$A$44:$A$46,0)),0)+IF($C52="Assured",X52*$D52*$C$13*$C$26*$C$27*$C$28,0)</f>
        <v>50817.78</v>
      </c>
      <c r="Y74" s="23" t="n">
        <f aca="false">Y52*$D52*$C$13*INDEX(Assumptions!$B$44:$B$46,MATCH($C52,Assumptions!$A$44:$A$46,0))+IF(Y$45&gt;=$G52,INDEX(Assumptions!$C$44:$C$46,MATCH($C52,Assumptions!$A$44:$A$46,0)),0)+IF($C52="Assured",Y52*$D52*$C$13*$C$26*$C$27*$C$28,0)</f>
        <v>50817.78</v>
      </c>
    </row>
    <row r="75" customFormat="false" ht="15" hidden="false" customHeight="false" outlineLevel="0" collapsed="false">
      <c r="A75" s="2" t="n">
        <f aca="false">A53</f>
        <v>6</v>
      </c>
      <c r="B75" s="2" t="str">
        <f aca="false">B53</f>
        <v>A</v>
      </c>
      <c r="C75" s="2" t="str">
        <f aca="false">C53</f>
        <v>Assured</v>
      </c>
      <c r="D75" s="2"/>
      <c r="E75" s="2"/>
      <c r="F75" s="2"/>
      <c r="G75" s="2"/>
      <c r="H75" s="23" t="n">
        <f aca="false">H53*$D53*$C$13*INDEX(Assumptions!$B$44:$B$46,MATCH($C53,Assumptions!$A$44:$A$46,0))+IF(H$45&gt;=$G53,INDEX(Assumptions!$C$44:$C$46,MATCH($C53,Assumptions!$A$44:$A$46,0)),0)+IF($C53="Assured",H53*$D53*$C$13*$C$26*$C$27*$C$28,0)</f>
        <v>0</v>
      </c>
      <c r="I75" s="23" t="n">
        <f aca="false">I53*$D53*$C$13*INDEX(Assumptions!$B$44:$B$46,MATCH($C53,Assumptions!$A$44:$A$46,0))+IF(I$45&gt;=$G53,INDEX(Assumptions!$C$44:$C$46,MATCH($C53,Assumptions!$A$44:$A$46,0)),0)+IF($C53="Assured",I53*$D53*$C$13*$C$26*$C$27*$C$28,0)</f>
        <v>0</v>
      </c>
      <c r="J75" s="23" t="n">
        <f aca="false">J53*$D53*$C$13*INDEX(Assumptions!$B$44:$B$46,MATCH($C53,Assumptions!$A$44:$A$46,0))+IF(J$45&gt;=$G53,INDEX(Assumptions!$C$44:$C$46,MATCH($C53,Assumptions!$A$44:$A$46,0)),0)+IF($C53="Assured",J53*$D53*$C$13*$C$26*$C$27*$C$28,0)</f>
        <v>0</v>
      </c>
      <c r="K75" s="23" t="n">
        <f aca="false">K53*$D53*$C$13*INDEX(Assumptions!$B$44:$B$46,MATCH($C53,Assumptions!$A$44:$A$46,0))+IF(K$45&gt;=$G53,INDEX(Assumptions!$C$44:$C$46,MATCH($C53,Assumptions!$A$44:$A$46,0)),0)+IF($C53="Assured",K53*$D53*$C$13*$C$26*$C$27*$C$28,0)</f>
        <v>0</v>
      </c>
      <c r="L75" s="23" t="n">
        <f aca="false">L53*$D53*$C$13*INDEX(Assumptions!$B$44:$B$46,MATCH($C53,Assumptions!$A$44:$A$46,0))+IF(L$45&gt;=$G53,INDEX(Assumptions!$C$44:$C$46,MATCH($C53,Assumptions!$A$44:$A$46,0)),0)+IF($C53="Assured",L53*$D53*$C$13*$C$26*$C$27*$C$28,0)</f>
        <v>15245.334</v>
      </c>
      <c r="M75" s="23" t="n">
        <f aca="false">M53*$D53*$C$13*INDEX(Assumptions!$B$44:$B$46,MATCH($C53,Assumptions!$A$44:$A$46,0))+IF(M$45&gt;=$G53,INDEX(Assumptions!$C$44:$C$46,MATCH($C53,Assumptions!$A$44:$A$46,0)),0)+IF($C53="Assured",M53*$D53*$C$13*$C$26*$C$27*$C$28,0)</f>
        <v>30490.668</v>
      </c>
      <c r="N75" s="23" t="n">
        <f aca="false">N53*$D53*$C$13*INDEX(Assumptions!$B$44:$B$46,MATCH($C53,Assumptions!$A$44:$A$46,0))+IF(N$45&gt;=$G53,INDEX(Assumptions!$C$44:$C$46,MATCH($C53,Assumptions!$A$44:$A$46,0)),0)+IF($C53="Assured",N53*$D53*$C$13*$C$26*$C$27*$C$28,0)</f>
        <v>43195.113</v>
      </c>
      <c r="O75" s="23" t="n">
        <f aca="false">O53*$D53*$C$13*INDEX(Assumptions!$B$44:$B$46,MATCH($C53,Assumptions!$A$44:$A$46,0))+IF(O$45&gt;=$G53,INDEX(Assumptions!$C$44:$C$46,MATCH($C53,Assumptions!$A$44:$A$46,0)),0)+IF($C53="Assured",O53*$D53*$C$13*$C$26*$C$27*$C$28,0)</f>
        <v>50817.78</v>
      </c>
      <c r="P75" s="23" t="n">
        <f aca="false">P53*$D53*$C$13*INDEX(Assumptions!$B$44:$B$46,MATCH($C53,Assumptions!$A$44:$A$46,0))+IF(P$45&gt;=$G53,INDEX(Assumptions!$C$44:$C$46,MATCH($C53,Assumptions!$A$44:$A$46,0)),0)+IF($C53="Assured",P53*$D53*$C$13*$C$26*$C$27*$C$28,0)</f>
        <v>50817.78</v>
      </c>
      <c r="Q75" s="23" t="n">
        <f aca="false">Q53*$D53*$C$13*INDEX(Assumptions!$B$44:$B$46,MATCH($C53,Assumptions!$A$44:$A$46,0))+IF(Q$45&gt;=$G53,INDEX(Assumptions!$C$44:$C$46,MATCH($C53,Assumptions!$A$44:$A$46,0)),0)+IF($C53="Assured",Q53*$D53*$C$13*$C$26*$C$27*$C$28,0)</f>
        <v>50817.78</v>
      </c>
      <c r="R75" s="23" t="n">
        <f aca="false">R53*$D53*$C$13*INDEX(Assumptions!$B$44:$B$46,MATCH($C53,Assumptions!$A$44:$A$46,0))+IF(R$45&gt;=$G53,INDEX(Assumptions!$C$44:$C$46,MATCH($C53,Assumptions!$A$44:$A$46,0)),0)+IF($C53="Assured",R53*$D53*$C$13*$C$26*$C$27*$C$28,0)</f>
        <v>50817.78</v>
      </c>
      <c r="S75" s="23" t="n">
        <f aca="false">S53*$D53*$C$13*INDEX(Assumptions!$B$44:$B$46,MATCH($C53,Assumptions!$A$44:$A$46,0))+IF(S$45&gt;=$G53,INDEX(Assumptions!$C$44:$C$46,MATCH($C53,Assumptions!$A$44:$A$46,0)),0)+IF($C53="Assured",S53*$D53*$C$13*$C$26*$C$27*$C$28,0)</f>
        <v>50817.78</v>
      </c>
      <c r="T75" s="23" t="n">
        <f aca="false">T53*$D53*$C$13*INDEX(Assumptions!$B$44:$B$46,MATCH($C53,Assumptions!$A$44:$A$46,0))+IF(T$45&gt;=$G53,INDEX(Assumptions!$C$44:$C$46,MATCH($C53,Assumptions!$A$44:$A$46,0)),0)+IF($C53="Assured",T53*$D53*$C$13*$C$26*$C$27*$C$28,0)</f>
        <v>50817.78</v>
      </c>
      <c r="U75" s="23" t="n">
        <f aca="false">U53*$D53*$C$13*INDEX(Assumptions!$B$44:$B$46,MATCH($C53,Assumptions!$A$44:$A$46,0))+IF(U$45&gt;=$G53,INDEX(Assumptions!$C$44:$C$46,MATCH($C53,Assumptions!$A$44:$A$46,0)),0)+IF($C53="Assured",U53*$D53*$C$13*$C$26*$C$27*$C$28,0)</f>
        <v>50817.78</v>
      </c>
      <c r="V75" s="23" t="n">
        <f aca="false">V53*$D53*$C$13*INDEX(Assumptions!$B$44:$B$46,MATCH($C53,Assumptions!$A$44:$A$46,0))+IF(V$45&gt;=$G53,INDEX(Assumptions!$C$44:$C$46,MATCH($C53,Assumptions!$A$44:$A$46,0)),0)+IF($C53="Assured",V53*$D53*$C$13*$C$26*$C$27*$C$28,0)</f>
        <v>50817.78</v>
      </c>
      <c r="W75" s="23" t="n">
        <f aca="false">W53*$D53*$C$13*INDEX(Assumptions!$B$44:$B$46,MATCH($C53,Assumptions!$A$44:$A$46,0))+IF(W$45&gt;=$G53,INDEX(Assumptions!$C$44:$C$46,MATCH($C53,Assumptions!$A$44:$A$46,0)),0)+IF($C53="Assured",W53*$D53*$C$13*$C$26*$C$27*$C$28,0)</f>
        <v>50817.78</v>
      </c>
      <c r="X75" s="23" t="n">
        <f aca="false">X53*$D53*$C$13*INDEX(Assumptions!$B$44:$B$46,MATCH($C53,Assumptions!$A$44:$A$46,0))+IF(X$45&gt;=$G53,INDEX(Assumptions!$C$44:$C$46,MATCH($C53,Assumptions!$A$44:$A$46,0)),0)+IF($C53="Assured",X53*$D53*$C$13*$C$26*$C$27*$C$28,0)</f>
        <v>50817.78</v>
      </c>
      <c r="Y75" s="23" t="n">
        <f aca="false">Y53*$D53*$C$13*INDEX(Assumptions!$B$44:$B$46,MATCH($C53,Assumptions!$A$44:$A$46,0))+IF(Y$45&gt;=$G53,INDEX(Assumptions!$C$44:$C$46,MATCH($C53,Assumptions!$A$44:$A$46,0)),0)+IF($C53="Assured",Y53*$D53*$C$13*$C$26*$C$27*$C$28,0)</f>
        <v>50817.78</v>
      </c>
    </row>
    <row r="76" customFormat="false" ht="15" hidden="false" customHeight="false" outlineLevel="0" collapsed="false">
      <c r="A76" s="2" t="n">
        <f aca="false">A54</f>
        <v>7</v>
      </c>
      <c r="B76" s="2" t="str">
        <f aca="false">B54</f>
        <v>A</v>
      </c>
      <c r="C76" s="2" t="str">
        <f aca="false">C54</f>
        <v>Assured</v>
      </c>
      <c r="D76" s="2"/>
      <c r="E76" s="2"/>
      <c r="F76" s="2"/>
      <c r="G76" s="2"/>
      <c r="H76" s="23" t="n">
        <f aca="false">H54*$D54*$C$13*INDEX(Assumptions!$B$44:$B$46,MATCH($C54,Assumptions!$A$44:$A$46,0))+IF(H$45&gt;=$G54,INDEX(Assumptions!$C$44:$C$46,MATCH($C54,Assumptions!$A$44:$A$46,0)),0)+IF($C54="Assured",H54*$D54*$C$13*$C$26*$C$27*$C$28,0)</f>
        <v>0</v>
      </c>
      <c r="I76" s="23" t="n">
        <f aca="false">I54*$D54*$C$13*INDEX(Assumptions!$B$44:$B$46,MATCH($C54,Assumptions!$A$44:$A$46,0))+IF(I$45&gt;=$G54,INDEX(Assumptions!$C$44:$C$46,MATCH($C54,Assumptions!$A$44:$A$46,0)),0)+IF($C54="Assured",I54*$D54*$C$13*$C$26*$C$27*$C$28,0)</f>
        <v>0</v>
      </c>
      <c r="J76" s="23" t="n">
        <f aca="false">J54*$D54*$C$13*INDEX(Assumptions!$B$44:$B$46,MATCH($C54,Assumptions!$A$44:$A$46,0))+IF(J$45&gt;=$G54,INDEX(Assumptions!$C$44:$C$46,MATCH($C54,Assumptions!$A$44:$A$46,0)),0)+IF($C54="Assured",J54*$D54*$C$13*$C$26*$C$27*$C$28,0)</f>
        <v>0</v>
      </c>
      <c r="K76" s="23" t="n">
        <f aca="false">K54*$D54*$C$13*INDEX(Assumptions!$B$44:$B$46,MATCH($C54,Assumptions!$A$44:$A$46,0))+IF(K$45&gt;=$G54,INDEX(Assumptions!$C$44:$C$46,MATCH($C54,Assumptions!$A$44:$A$46,0)),0)+IF($C54="Assured",K54*$D54*$C$13*$C$26*$C$27*$C$28,0)</f>
        <v>0</v>
      </c>
      <c r="L76" s="23" t="n">
        <f aca="false">L54*$D54*$C$13*INDEX(Assumptions!$B$44:$B$46,MATCH($C54,Assumptions!$A$44:$A$46,0))+IF(L$45&gt;=$G54,INDEX(Assumptions!$C$44:$C$46,MATCH($C54,Assumptions!$A$44:$A$46,0)),0)+IF($C54="Assured",L54*$D54*$C$13*$C$26*$C$27*$C$28,0)</f>
        <v>0</v>
      </c>
      <c r="M76" s="23" t="n">
        <f aca="false">M54*$D54*$C$13*INDEX(Assumptions!$B$44:$B$46,MATCH($C54,Assumptions!$A$44:$A$46,0))+IF(M$45&gt;=$G54,INDEX(Assumptions!$C$44:$C$46,MATCH($C54,Assumptions!$A$44:$A$46,0)),0)+IF($C54="Assured",M54*$D54*$C$13*$C$26*$C$27*$C$28,0)</f>
        <v>15245.334</v>
      </c>
      <c r="N76" s="23" t="n">
        <f aca="false">N54*$D54*$C$13*INDEX(Assumptions!$B$44:$B$46,MATCH($C54,Assumptions!$A$44:$A$46,0))+IF(N$45&gt;=$G54,INDEX(Assumptions!$C$44:$C$46,MATCH($C54,Assumptions!$A$44:$A$46,0)),0)+IF($C54="Assured",N54*$D54*$C$13*$C$26*$C$27*$C$28,0)</f>
        <v>30490.668</v>
      </c>
      <c r="O76" s="23" t="n">
        <f aca="false">O54*$D54*$C$13*INDEX(Assumptions!$B$44:$B$46,MATCH($C54,Assumptions!$A$44:$A$46,0))+IF(O$45&gt;=$G54,INDEX(Assumptions!$C$44:$C$46,MATCH($C54,Assumptions!$A$44:$A$46,0)),0)+IF($C54="Assured",O54*$D54*$C$13*$C$26*$C$27*$C$28,0)</f>
        <v>43195.113</v>
      </c>
      <c r="P76" s="23" t="n">
        <f aca="false">P54*$D54*$C$13*INDEX(Assumptions!$B$44:$B$46,MATCH($C54,Assumptions!$A$44:$A$46,0))+IF(P$45&gt;=$G54,INDEX(Assumptions!$C$44:$C$46,MATCH($C54,Assumptions!$A$44:$A$46,0)),0)+IF($C54="Assured",P54*$D54*$C$13*$C$26*$C$27*$C$28,0)</f>
        <v>50817.78</v>
      </c>
      <c r="Q76" s="23" t="n">
        <f aca="false">Q54*$D54*$C$13*INDEX(Assumptions!$B$44:$B$46,MATCH($C54,Assumptions!$A$44:$A$46,0))+IF(Q$45&gt;=$G54,INDEX(Assumptions!$C$44:$C$46,MATCH($C54,Assumptions!$A$44:$A$46,0)),0)+IF($C54="Assured",Q54*$D54*$C$13*$C$26*$C$27*$C$28,0)</f>
        <v>50817.78</v>
      </c>
      <c r="R76" s="23" t="n">
        <f aca="false">R54*$D54*$C$13*INDEX(Assumptions!$B$44:$B$46,MATCH($C54,Assumptions!$A$44:$A$46,0))+IF(R$45&gt;=$G54,INDEX(Assumptions!$C$44:$C$46,MATCH($C54,Assumptions!$A$44:$A$46,0)),0)+IF($C54="Assured",R54*$D54*$C$13*$C$26*$C$27*$C$28,0)</f>
        <v>50817.78</v>
      </c>
      <c r="S76" s="23" t="n">
        <f aca="false">S54*$D54*$C$13*INDEX(Assumptions!$B$44:$B$46,MATCH($C54,Assumptions!$A$44:$A$46,0))+IF(S$45&gt;=$G54,INDEX(Assumptions!$C$44:$C$46,MATCH($C54,Assumptions!$A$44:$A$46,0)),0)+IF($C54="Assured",S54*$D54*$C$13*$C$26*$C$27*$C$28,0)</f>
        <v>50817.78</v>
      </c>
      <c r="T76" s="23" t="n">
        <f aca="false">T54*$D54*$C$13*INDEX(Assumptions!$B$44:$B$46,MATCH($C54,Assumptions!$A$44:$A$46,0))+IF(T$45&gt;=$G54,INDEX(Assumptions!$C$44:$C$46,MATCH($C54,Assumptions!$A$44:$A$46,0)),0)+IF($C54="Assured",T54*$D54*$C$13*$C$26*$C$27*$C$28,0)</f>
        <v>50817.78</v>
      </c>
      <c r="U76" s="23" t="n">
        <f aca="false">U54*$D54*$C$13*INDEX(Assumptions!$B$44:$B$46,MATCH($C54,Assumptions!$A$44:$A$46,0))+IF(U$45&gt;=$G54,INDEX(Assumptions!$C$44:$C$46,MATCH($C54,Assumptions!$A$44:$A$46,0)),0)+IF($C54="Assured",U54*$D54*$C$13*$C$26*$C$27*$C$28,0)</f>
        <v>50817.78</v>
      </c>
      <c r="V76" s="23" t="n">
        <f aca="false">V54*$D54*$C$13*INDEX(Assumptions!$B$44:$B$46,MATCH($C54,Assumptions!$A$44:$A$46,0))+IF(V$45&gt;=$G54,INDEX(Assumptions!$C$44:$C$46,MATCH($C54,Assumptions!$A$44:$A$46,0)),0)+IF($C54="Assured",V54*$D54*$C$13*$C$26*$C$27*$C$28,0)</f>
        <v>50817.78</v>
      </c>
      <c r="W76" s="23" t="n">
        <f aca="false">W54*$D54*$C$13*INDEX(Assumptions!$B$44:$B$46,MATCH($C54,Assumptions!$A$44:$A$46,0))+IF(W$45&gt;=$G54,INDEX(Assumptions!$C$44:$C$46,MATCH($C54,Assumptions!$A$44:$A$46,0)),0)+IF($C54="Assured",W54*$D54*$C$13*$C$26*$C$27*$C$28,0)</f>
        <v>50817.78</v>
      </c>
      <c r="X76" s="23" t="n">
        <f aca="false">X54*$D54*$C$13*INDEX(Assumptions!$B$44:$B$46,MATCH($C54,Assumptions!$A$44:$A$46,0))+IF(X$45&gt;=$G54,INDEX(Assumptions!$C$44:$C$46,MATCH($C54,Assumptions!$A$44:$A$46,0)),0)+IF($C54="Assured",X54*$D54*$C$13*$C$26*$C$27*$C$28,0)</f>
        <v>50817.78</v>
      </c>
      <c r="Y76" s="23" t="n">
        <f aca="false">Y54*$D54*$C$13*INDEX(Assumptions!$B$44:$B$46,MATCH($C54,Assumptions!$A$44:$A$46,0))+IF(Y$45&gt;=$G54,INDEX(Assumptions!$C$44:$C$46,MATCH($C54,Assumptions!$A$44:$A$46,0)),0)+IF($C54="Assured",Y54*$D54*$C$13*$C$26*$C$27*$C$28,0)</f>
        <v>50817.78</v>
      </c>
    </row>
    <row r="77" customFormat="false" ht="15" hidden="false" customHeight="false" outlineLevel="0" collapsed="false">
      <c r="A77" s="2" t="n">
        <f aca="false">A55</f>
        <v>8</v>
      </c>
      <c r="B77" s="2" t="str">
        <f aca="false">B55</f>
        <v>A</v>
      </c>
      <c r="C77" s="2" t="str">
        <f aca="false">C55</f>
        <v>Assured</v>
      </c>
      <c r="D77" s="2"/>
      <c r="E77" s="2"/>
      <c r="F77" s="2"/>
      <c r="G77" s="2"/>
      <c r="H77" s="23" t="n">
        <f aca="false">H55*$D55*$C$13*INDEX(Assumptions!$B$44:$B$46,MATCH($C55,Assumptions!$A$44:$A$46,0))+IF(H$45&gt;=$G55,INDEX(Assumptions!$C$44:$C$46,MATCH($C55,Assumptions!$A$44:$A$46,0)),0)+IF($C55="Assured",H55*$D55*$C$13*$C$26*$C$27*$C$28,0)</f>
        <v>0</v>
      </c>
      <c r="I77" s="23" t="n">
        <f aca="false">I55*$D55*$C$13*INDEX(Assumptions!$B$44:$B$46,MATCH($C55,Assumptions!$A$44:$A$46,0))+IF(I$45&gt;=$G55,INDEX(Assumptions!$C$44:$C$46,MATCH($C55,Assumptions!$A$44:$A$46,0)),0)+IF($C55="Assured",I55*$D55*$C$13*$C$26*$C$27*$C$28,0)</f>
        <v>0</v>
      </c>
      <c r="J77" s="23" t="n">
        <f aca="false">J55*$D55*$C$13*INDEX(Assumptions!$B$44:$B$46,MATCH($C55,Assumptions!$A$44:$A$46,0))+IF(J$45&gt;=$G55,INDEX(Assumptions!$C$44:$C$46,MATCH($C55,Assumptions!$A$44:$A$46,0)),0)+IF($C55="Assured",J55*$D55*$C$13*$C$26*$C$27*$C$28,0)</f>
        <v>0</v>
      </c>
      <c r="K77" s="23" t="n">
        <f aca="false">K55*$D55*$C$13*INDEX(Assumptions!$B$44:$B$46,MATCH($C55,Assumptions!$A$44:$A$46,0))+IF(K$45&gt;=$G55,INDEX(Assumptions!$C$44:$C$46,MATCH($C55,Assumptions!$A$44:$A$46,0)),0)+IF($C55="Assured",K55*$D55*$C$13*$C$26*$C$27*$C$28,0)</f>
        <v>0</v>
      </c>
      <c r="L77" s="23" t="n">
        <f aca="false">L55*$D55*$C$13*INDEX(Assumptions!$B$44:$B$46,MATCH($C55,Assumptions!$A$44:$A$46,0))+IF(L$45&gt;=$G55,INDEX(Assumptions!$C$44:$C$46,MATCH($C55,Assumptions!$A$44:$A$46,0)),0)+IF($C55="Assured",L55*$D55*$C$13*$C$26*$C$27*$C$28,0)</f>
        <v>0</v>
      </c>
      <c r="M77" s="23" t="n">
        <f aca="false">M55*$D55*$C$13*INDEX(Assumptions!$B$44:$B$46,MATCH($C55,Assumptions!$A$44:$A$46,0))+IF(M$45&gt;=$G55,INDEX(Assumptions!$C$44:$C$46,MATCH($C55,Assumptions!$A$44:$A$46,0)),0)+IF($C55="Assured",M55*$D55*$C$13*$C$26*$C$27*$C$28,0)</f>
        <v>15245.334</v>
      </c>
      <c r="N77" s="23" t="n">
        <f aca="false">N55*$D55*$C$13*INDEX(Assumptions!$B$44:$B$46,MATCH($C55,Assumptions!$A$44:$A$46,0))+IF(N$45&gt;=$G55,INDEX(Assumptions!$C$44:$C$46,MATCH($C55,Assumptions!$A$44:$A$46,0)),0)+IF($C55="Assured",N55*$D55*$C$13*$C$26*$C$27*$C$28,0)</f>
        <v>30490.668</v>
      </c>
      <c r="O77" s="23" t="n">
        <f aca="false">O55*$D55*$C$13*INDEX(Assumptions!$B$44:$B$46,MATCH($C55,Assumptions!$A$44:$A$46,0))+IF(O$45&gt;=$G55,INDEX(Assumptions!$C$44:$C$46,MATCH($C55,Assumptions!$A$44:$A$46,0)),0)+IF($C55="Assured",O55*$D55*$C$13*$C$26*$C$27*$C$28,0)</f>
        <v>43195.113</v>
      </c>
      <c r="P77" s="23" t="n">
        <f aca="false">P55*$D55*$C$13*INDEX(Assumptions!$B$44:$B$46,MATCH($C55,Assumptions!$A$44:$A$46,0))+IF(P$45&gt;=$G55,INDEX(Assumptions!$C$44:$C$46,MATCH($C55,Assumptions!$A$44:$A$46,0)),0)+IF($C55="Assured",P55*$D55*$C$13*$C$26*$C$27*$C$28,0)</f>
        <v>50817.78</v>
      </c>
      <c r="Q77" s="23" t="n">
        <f aca="false">Q55*$D55*$C$13*INDEX(Assumptions!$B$44:$B$46,MATCH($C55,Assumptions!$A$44:$A$46,0))+IF(Q$45&gt;=$G55,INDEX(Assumptions!$C$44:$C$46,MATCH($C55,Assumptions!$A$44:$A$46,0)),0)+IF($C55="Assured",Q55*$D55*$C$13*$C$26*$C$27*$C$28,0)</f>
        <v>50817.78</v>
      </c>
      <c r="R77" s="23" t="n">
        <f aca="false">R55*$D55*$C$13*INDEX(Assumptions!$B$44:$B$46,MATCH($C55,Assumptions!$A$44:$A$46,0))+IF(R$45&gt;=$G55,INDEX(Assumptions!$C$44:$C$46,MATCH($C55,Assumptions!$A$44:$A$46,0)),0)+IF($C55="Assured",R55*$D55*$C$13*$C$26*$C$27*$C$28,0)</f>
        <v>50817.78</v>
      </c>
      <c r="S77" s="23" t="n">
        <f aca="false">S55*$D55*$C$13*INDEX(Assumptions!$B$44:$B$46,MATCH($C55,Assumptions!$A$44:$A$46,0))+IF(S$45&gt;=$G55,INDEX(Assumptions!$C$44:$C$46,MATCH($C55,Assumptions!$A$44:$A$46,0)),0)+IF($C55="Assured",S55*$D55*$C$13*$C$26*$C$27*$C$28,0)</f>
        <v>50817.78</v>
      </c>
      <c r="T77" s="23" t="n">
        <f aca="false">T55*$D55*$C$13*INDEX(Assumptions!$B$44:$B$46,MATCH($C55,Assumptions!$A$44:$A$46,0))+IF(T$45&gt;=$G55,INDEX(Assumptions!$C$44:$C$46,MATCH($C55,Assumptions!$A$44:$A$46,0)),0)+IF($C55="Assured",T55*$D55*$C$13*$C$26*$C$27*$C$28,0)</f>
        <v>50817.78</v>
      </c>
      <c r="U77" s="23" t="n">
        <f aca="false">U55*$D55*$C$13*INDEX(Assumptions!$B$44:$B$46,MATCH($C55,Assumptions!$A$44:$A$46,0))+IF(U$45&gt;=$G55,INDEX(Assumptions!$C$44:$C$46,MATCH($C55,Assumptions!$A$44:$A$46,0)),0)+IF($C55="Assured",U55*$D55*$C$13*$C$26*$C$27*$C$28,0)</f>
        <v>50817.78</v>
      </c>
      <c r="V77" s="23" t="n">
        <f aca="false">V55*$D55*$C$13*INDEX(Assumptions!$B$44:$B$46,MATCH($C55,Assumptions!$A$44:$A$46,0))+IF(V$45&gt;=$G55,INDEX(Assumptions!$C$44:$C$46,MATCH($C55,Assumptions!$A$44:$A$46,0)),0)+IF($C55="Assured",V55*$D55*$C$13*$C$26*$C$27*$C$28,0)</f>
        <v>50817.78</v>
      </c>
      <c r="W77" s="23" t="n">
        <f aca="false">W55*$D55*$C$13*INDEX(Assumptions!$B$44:$B$46,MATCH($C55,Assumptions!$A$44:$A$46,0))+IF(W$45&gt;=$G55,INDEX(Assumptions!$C$44:$C$46,MATCH($C55,Assumptions!$A$44:$A$46,0)),0)+IF($C55="Assured",W55*$D55*$C$13*$C$26*$C$27*$C$28,0)</f>
        <v>50817.78</v>
      </c>
      <c r="X77" s="23" t="n">
        <f aca="false">X55*$D55*$C$13*INDEX(Assumptions!$B$44:$B$46,MATCH($C55,Assumptions!$A$44:$A$46,0))+IF(X$45&gt;=$G55,INDEX(Assumptions!$C$44:$C$46,MATCH($C55,Assumptions!$A$44:$A$46,0)),0)+IF($C55="Assured",X55*$D55*$C$13*$C$26*$C$27*$C$28,0)</f>
        <v>50817.78</v>
      </c>
      <c r="Y77" s="23" t="n">
        <f aca="false">Y55*$D55*$C$13*INDEX(Assumptions!$B$44:$B$46,MATCH($C55,Assumptions!$A$44:$A$46,0))+IF(Y$45&gt;=$G55,INDEX(Assumptions!$C$44:$C$46,MATCH($C55,Assumptions!$A$44:$A$46,0)),0)+IF($C55="Assured",Y55*$D55*$C$13*$C$26*$C$27*$C$28,0)</f>
        <v>50817.78</v>
      </c>
    </row>
    <row r="78" customFormat="false" ht="15" hidden="false" customHeight="false" outlineLevel="0" collapsed="false">
      <c r="A78" s="2" t="n">
        <f aca="false">A56</f>
        <v>9</v>
      </c>
      <c r="B78" s="2" t="str">
        <f aca="false">B56</f>
        <v>A</v>
      </c>
      <c r="C78" s="2" t="str">
        <f aca="false">C56</f>
        <v>Assured</v>
      </c>
      <c r="D78" s="2"/>
      <c r="E78" s="2"/>
      <c r="F78" s="2"/>
      <c r="G78" s="2"/>
      <c r="H78" s="23" t="n">
        <f aca="false">H56*$D56*$C$13*INDEX(Assumptions!$B$44:$B$46,MATCH($C56,Assumptions!$A$44:$A$46,0))+IF(H$45&gt;=$G56,INDEX(Assumptions!$C$44:$C$46,MATCH($C56,Assumptions!$A$44:$A$46,0)),0)+IF($C56="Assured",H56*$D56*$C$13*$C$26*$C$27*$C$28,0)</f>
        <v>0</v>
      </c>
      <c r="I78" s="23" t="n">
        <f aca="false">I56*$D56*$C$13*INDEX(Assumptions!$B$44:$B$46,MATCH($C56,Assumptions!$A$44:$A$46,0))+IF(I$45&gt;=$G56,INDEX(Assumptions!$C$44:$C$46,MATCH($C56,Assumptions!$A$44:$A$46,0)),0)+IF($C56="Assured",I56*$D56*$C$13*$C$26*$C$27*$C$28,0)</f>
        <v>0</v>
      </c>
      <c r="J78" s="23" t="n">
        <f aca="false">J56*$D56*$C$13*INDEX(Assumptions!$B$44:$B$46,MATCH($C56,Assumptions!$A$44:$A$46,0))+IF(J$45&gt;=$G56,INDEX(Assumptions!$C$44:$C$46,MATCH($C56,Assumptions!$A$44:$A$46,0)),0)+IF($C56="Assured",J56*$D56*$C$13*$C$26*$C$27*$C$28,0)</f>
        <v>0</v>
      </c>
      <c r="K78" s="23" t="n">
        <f aca="false">K56*$D56*$C$13*INDEX(Assumptions!$B$44:$B$46,MATCH($C56,Assumptions!$A$44:$A$46,0))+IF(K$45&gt;=$G56,INDEX(Assumptions!$C$44:$C$46,MATCH($C56,Assumptions!$A$44:$A$46,0)),0)+IF($C56="Assured",K56*$D56*$C$13*$C$26*$C$27*$C$28,0)</f>
        <v>0</v>
      </c>
      <c r="L78" s="23" t="n">
        <f aca="false">L56*$D56*$C$13*INDEX(Assumptions!$B$44:$B$46,MATCH($C56,Assumptions!$A$44:$A$46,0))+IF(L$45&gt;=$G56,INDEX(Assumptions!$C$44:$C$46,MATCH($C56,Assumptions!$A$44:$A$46,0)),0)+IF($C56="Assured",L56*$D56*$C$13*$C$26*$C$27*$C$28,0)</f>
        <v>0</v>
      </c>
      <c r="M78" s="23" t="n">
        <f aca="false">M56*$D56*$C$13*INDEX(Assumptions!$B$44:$B$46,MATCH($C56,Assumptions!$A$44:$A$46,0))+IF(M$45&gt;=$G56,INDEX(Assumptions!$C$44:$C$46,MATCH($C56,Assumptions!$A$44:$A$46,0)),0)+IF($C56="Assured",M56*$D56*$C$13*$C$26*$C$27*$C$28,0)</f>
        <v>0</v>
      </c>
      <c r="N78" s="23" t="n">
        <f aca="false">N56*$D56*$C$13*INDEX(Assumptions!$B$44:$B$46,MATCH($C56,Assumptions!$A$44:$A$46,0))+IF(N$45&gt;=$G56,INDEX(Assumptions!$C$44:$C$46,MATCH($C56,Assumptions!$A$44:$A$46,0)),0)+IF($C56="Assured",N56*$D56*$C$13*$C$26*$C$27*$C$28,0)</f>
        <v>15245.334</v>
      </c>
      <c r="O78" s="23" t="n">
        <f aca="false">O56*$D56*$C$13*INDEX(Assumptions!$B$44:$B$46,MATCH($C56,Assumptions!$A$44:$A$46,0))+IF(O$45&gt;=$G56,INDEX(Assumptions!$C$44:$C$46,MATCH($C56,Assumptions!$A$44:$A$46,0)),0)+IF($C56="Assured",O56*$D56*$C$13*$C$26*$C$27*$C$28,0)</f>
        <v>30490.668</v>
      </c>
      <c r="P78" s="23" t="n">
        <f aca="false">P56*$D56*$C$13*INDEX(Assumptions!$B$44:$B$46,MATCH($C56,Assumptions!$A$44:$A$46,0))+IF(P$45&gt;=$G56,INDEX(Assumptions!$C$44:$C$46,MATCH($C56,Assumptions!$A$44:$A$46,0)),0)+IF($C56="Assured",P56*$D56*$C$13*$C$26*$C$27*$C$28,0)</f>
        <v>43195.113</v>
      </c>
      <c r="Q78" s="23" t="n">
        <f aca="false">Q56*$D56*$C$13*INDEX(Assumptions!$B$44:$B$46,MATCH($C56,Assumptions!$A$44:$A$46,0))+IF(Q$45&gt;=$G56,INDEX(Assumptions!$C$44:$C$46,MATCH($C56,Assumptions!$A$44:$A$46,0)),0)+IF($C56="Assured",Q56*$D56*$C$13*$C$26*$C$27*$C$28,0)</f>
        <v>50817.78</v>
      </c>
      <c r="R78" s="23" t="n">
        <f aca="false">R56*$D56*$C$13*INDEX(Assumptions!$B$44:$B$46,MATCH($C56,Assumptions!$A$44:$A$46,0))+IF(R$45&gt;=$G56,INDEX(Assumptions!$C$44:$C$46,MATCH($C56,Assumptions!$A$44:$A$46,0)),0)+IF($C56="Assured",R56*$D56*$C$13*$C$26*$C$27*$C$28,0)</f>
        <v>50817.78</v>
      </c>
      <c r="S78" s="23" t="n">
        <f aca="false">S56*$D56*$C$13*INDEX(Assumptions!$B$44:$B$46,MATCH($C56,Assumptions!$A$44:$A$46,0))+IF(S$45&gt;=$G56,INDEX(Assumptions!$C$44:$C$46,MATCH($C56,Assumptions!$A$44:$A$46,0)),0)+IF($C56="Assured",S56*$D56*$C$13*$C$26*$C$27*$C$28,0)</f>
        <v>50817.78</v>
      </c>
      <c r="T78" s="23" t="n">
        <f aca="false">T56*$D56*$C$13*INDEX(Assumptions!$B$44:$B$46,MATCH($C56,Assumptions!$A$44:$A$46,0))+IF(T$45&gt;=$G56,INDEX(Assumptions!$C$44:$C$46,MATCH($C56,Assumptions!$A$44:$A$46,0)),0)+IF($C56="Assured",T56*$D56*$C$13*$C$26*$C$27*$C$28,0)</f>
        <v>50817.78</v>
      </c>
      <c r="U78" s="23" t="n">
        <f aca="false">U56*$D56*$C$13*INDEX(Assumptions!$B$44:$B$46,MATCH($C56,Assumptions!$A$44:$A$46,0))+IF(U$45&gt;=$G56,INDEX(Assumptions!$C$44:$C$46,MATCH($C56,Assumptions!$A$44:$A$46,0)),0)+IF($C56="Assured",U56*$D56*$C$13*$C$26*$C$27*$C$28,0)</f>
        <v>50817.78</v>
      </c>
      <c r="V78" s="23" t="n">
        <f aca="false">V56*$D56*$C$13*INDEX(Assumptions!$B$44:$B$46,MATCH($C56,Assumptions!$A$44:$A$46,0))+IF(V$45&gt;=$G56,INDEX(Assumptions!$C$44:$C$46,MATCH($C56,Assumptions!$A$44:$A$46,0)),0)+IF($C56="Assured",V56*$D56*$C$13*$C$26*$C$27*$C$28,0)</f>
        <v>50817.78</v>
      </c>
      <c r="W78" s="23" t="n">
        <f aca="false">W56*$D56*$C$13*INDEX(Assumptions!$B$44:$B$46,MATCH($C56,Assumptions!$A$44:$A$46,0))+IF(W$45&gt;=$G56,INDEX(Assumptions!$C$44:$C$46,MATCH($C56,Assumptions!$A$44:$A$46,0)),0)+IF($C56="Assured",W56*$D56*$C$13*$C$26*$C$27*$C$28,0)</f>
        <v>50817.78</v>
      </c>
      <c r="X78" s="23" t="n">
        <f aca="false">X56*$D56*$C$13*INDEX(Assumptions!$B$44:$B$46,MATCH($C56,Assumptions!$A$44:$A$46,0))+IF(X$45&gt;=$G56,INDEX(Assumptions!$C$44:$C$46,MATCH($C56,Assumptions!$A$44:$A$46,0)),0)+IF($C56="Assured",X56*$D56*$C$13*$C$26*$C$27*$C$28,0)</f>
        <v>50817.78</v>
      </c>
      <c r="Y78" s="23" t="n">
        <f aca="false">Y56*$D56*$C$13*INDEX(Assumptions!$B$44:$B$46,MATCH($C56,Assumptions!$A$44:$A$46,0))+IF(Y$45&gt;=$G56,INDEX(Assumptions!$C$44:$C$46,MATCH($C56,Assumptions!$A$44:$A$46,0)),0)+IF($C56="Assured",Y56*$D56*$C$13*$C$26*$C$27*$C$28,0)</f>
        <v>50817.78</v>
      </c>
    </row>
    <row r="79" customFormat="false" ht="15" hidden="false" customHeight="false" outlineLevel="0" collapsed="false">
      <c r="A79" s="2" t="n">
        <f aca="false">A57</f>
        <v>10</v>
      </c>
      <c r="B79" s="2" t="str">
        <f aca="false">B57</f>
        <v>C</v>
      </c>
      <c r="C79" s="2" t="str">
        <f aca="false">C57</f>
        <v>Assured</v>
      </c>
      <c r="D79" s="2"/>
      <c r="E79" s="2"/>
      <c r="F79" s="2"/>
      <c r="G79" s="2"/>
      <c r="H79" s="23" t="n">
        <f aca="false">H57*$D57*$C$13*INDEX(Assumptions!$B$44:$B$46,MATCH($C57,Assumptions!$A$44:$A$46,0))+IF(H$45&gt;=$G57,INDEX(Assumptions!$C$44:$C$46,MATCH($C57,Assumptions!$A$44:$A$46,0)),0)+IF($C57="Assured",H57*$D57*$C$13*$C$26*$C$27*$C$28,0)</f>
        <v>0</v>
      </c>
      <c r="I79" s="23" t="n">
        <f aca="false">I57*$D57*$C$13*INDEX(Assumptions!$B$44:$B$46,MATCH($C57,Assumptions!$A$44:$A$46,0))+IF(I$45&gt;=$G57,INDEX(Assumptions!$C$44:$C$46,MATCH($C57,Assumptions!$A$44:$A$46,0)),0)+IF($C57="Assured",I57*$D57*$C$13*$C$26*$C$27*$C$28,0)</f>
        <v>0</v>
      </c>
      <c r="J79" s="23" t="n">
        <f aca="false">J57*$D57*$C$13*INDEX(Assumptions!$B$44:$B$46,MATCH($C57,Assumptions!$A$44:$A$46,0))+IF(J$45&gt;=$G57,INDEX(Assumptions!$C$44:$C$46,MATCH($C57,Assumptions!$A$44:$A$46,0)),0)+IF($C57="Assured",J57*$D57*$C$13*$C$26*$C$27*$C$28,0)</f>
        <v>0</v>
      </c>
      <c r="K79" s="23" t="n">
        <f aca="false">K57*$D57*$C$13*INDEX(Assumptions!$B$44:$B$46,MATCH($C57,Assumptions!$A$44:$A$46,0))+IF(K$45&gt;=$G57,INDEX(Assumptions!$C$44:$C$46,MATCH($C57,Assumptions!$A$44:$A$46,0)),0)+IF($C57="Assured",K57*$D57*$C$13*$C$26*$C$27*$C$28,0)</f>
        <v>0</v>
      </c>
      <c r="L79" s="23" t="n">
        <f aca="false">L57*$D57*$C$13*INDEX(Assumptions!$B$44:$B$46,MATCH($C57,Assumptions!$A$44:$A$46,0))+IF(L$45&gt;=$G57,INDEX(Assumptions!$C$44:$C$46,MATCH($C57,Assumptions!$A$44:$A$46,0)),0)+IF($C57="Assured",L57*$D57*$C$13*$C$26*$C$27*$C$28,0)</f>
        <v>0</v>
      </c>
      <c r="M79" s="23" t="n">
        <f aca="false">M57*$D57*$C$13*INDEX(Assumptions!$B$44:$B$46,MATCH($C57,Assumptions!$A$44:$A$46,0))+IF(M$45&gt;=$G57,INDEX(Assumptions!$C$44:$C$46,MATCH($C57,Assumptions!$A$44:$A$46,0)),0)+IF($C57="Assured",M57*$D57*$C$13*$C$26*$C$27*$C$28,0)</f>
        <v>0</v>
      </c>
      <c r="N79" s="23" t="n">
        <f aca="false">N57*$D57*$C$13*INDEX(Assumptions!$B$44:$B$46,MATCH($C57,Assumptions!$A$44:$A$46,0))+IF(N$45&gt;=$G57,INDEX(Assumptions!$C$44:$C$46,MATCH($C57,Assumptions!$A$44:$A$46,0)),0)+IF($C57="Assured",N57*$D57*$C$13*$C$26*$C$27*$C$28,0)</f>
        <v>0</v>
      </c>
      <c r="O79" s="23" t="n">
        <f aca="false">O57*$D57*$C$13*INDEX(Assumptions!$B$44:$B$46,MATCH($C57,Assumptions!$A$44:$A$46,0))+IF(O$45&gt;=$G57,INDEX(Assumptions!$C$44:$C$46,MATCH($C57,Assumptions!$A$44:$A$46,0)),0)+IF($C57="Assured",O57*$D57*$C$13*$C$26*$C$27*$C$28,0)</f>
        <v>11010.519</v>
      </c>
      <c r="P79" s="23" t="n">
        <f aca="false">P57*$D57*$C$13*INDEX(Assumptions!$B$44:$B$46,MATCH($C57,Assumptions!$A$44:$A$46,0))+IF(P$45&gt;=$G57,INDEX(Assumptions!$C$44:$C$46,MATCH($C57,Assumptions!$A$44:$A$46,0)),0)+IF($C57="Assured",P57*$D57*$C$13*$C$26*$C$27*$C$28,0)</f>
        <v>22021.038</v>
      </c>
      <c r="Q79" s="23" t="n">
        <f aca="false">Q57*$D57*$C$13*INDEX(Assumptions!$B$44:$B$46,MATCH($C57,Assumptions!$A$44:$A$46,0))+IF(Q$45&gt;=$G57,INDEX(Assumptions!$C$44:$C$46,MATCH($C57,Assumptions!$A$44:$A$46,0)),0)+IF($C57="Assured",Q57*$D57*$C$13*$C$26*$C$27*$C$28,0)</f>
        <v>31196.4705</v>
      </c>
      <c r="R79" s="23" t="n">
        <f aca="false">R57*$D57*$C$13*INDEX(Assumptions!$B$44:$B$46,MATCH($C57,Assumptions!$A$44:$A$46,0))+IF(R$45&gt;=$G57,INDEX(Assumptions!$C$44:$C$46,MATCH($C57,Assumptions!$A$44:$A$46,0)),0)+IF($C57="Assured",R57*$D57*$C$13*$C$26*$C$27*$C$28,0)</f>
        <v>36701.73</v>
      </c>
      <c r="S79" s="23" t="n">
        <f aca="false">S57*$D57*$C$13*INDEX(Assumptions!$B$44:$B$46,MATCH($C57,Assumptions!$A$44:$A$46,0))+IF(S$45&gt;=$G57,INDEX(Assumptions!$C$44:$C$46,MATCH($C57,Assumptions!$A$44:$A$46,0)),0)+IF($C57="Assured",S57*$D57*$C$13*$C$26*$C$27*$C$28,0)</f>
        <v>36701.73</v>
      </c>
      <c r="T79" s="23" t="n">
        <f aca="false">T57*$D57*$C$13*INDEX(Assumptions!$B$44:$B$46,MATCH($C57,Assumptions!$A$44:$A$46,0))+IF(T$45&gt;=$G57,INDEX(Assumptions!$C$44:$C$46,MATCH($C57,Assumptions!$A$44:$A$46,0)),0)+IF($C57="Assured",T57*$D57*$C$13*$C$26*$C$27*$C$28,0)</f>
        <v>36701.73</v>
      </c>
      <c r="U79" s="23" t="n">
        <f aca="false">U57*$D57*$C$13*INDEX(Assumptions!$B$44:$B$46,MATCH($C57,Assumptions!$A$44:$A$46,0))+IF(U$45&gt;=$G57,INDEX(Assumptions!$C$44:$C$46,MATCH($C57,Assumptions!$A$44:$A$46,0)),0)+IF($C57="Assured",U57*$D57*$C$13*$C$26*$C$27*$C$28,0)</f>
        <v>36701.73</v>
      </c>
      <c r="V79" s="23" t="n">
        <f aca="false">V57*$D57*$C$13*INDEX(Assumptions!$B$44:$B$46,MATCH($C57,Assumptions!$A$44:$A$46,0))+IF(V$45&gt;=$G57,INDEX(Assumptions!$C$44:$C$46,MATCH($C57,Assumptions!$A$44:$A$46,0)),0)+IF($C57="Assured",V57*$D57*$C$13*$C$26*$C$27*$C$28,0)</f>
        <v>36701.73</v>
      </c>
      <c r="W79" s="23" t="n">
        <f aca="false">W57*$D57*$C$13*INDEX(Assumptions!$B$44:$B$46,MATCH($C57,Assumptions!$A$44:$A$46,0))+IF(W$45&gt;=$G57,INDEX(Assumptions!$C$44:$C$46,MATCH($C57,Assumptions!$A$44:$A$46,0)),0)+IF($C57="Assured",W57*$D57*$C$13*$C$26*$C$27*$C$28,0)</f>
        <v>36701.73</v>
      </c>
      <c r="X79" s="23" t="n">
        <f aca="false">X57*$D57*$C$13*INDEX(Assumptions!$B$44:$B$46,MATCH($C57,Assumptions!$A$44:$A$46,0))+IF(X$45&gt;=$G57,INDEX(Assumptions!$C$44:$C$46,MATCH($C57,Assumptions!$A$44:$A$46,0)),0)+IF($C57="Assured",X57*$D57*$C$13*$C$26*$C$27*$C$28,0)</f>
        <v>36701.73</v>
      </c>
      <c r="Y79" s="23" t="n">
        <f aca="false">Y57*$D57*$C$13*INDEX(Assumptions!$B$44:$B$46,MATCH($C57,Assumptions!$A$44:$A$46,0))+IF(Y$45&gt;=$G57,INDEX(Assumptions!$C$44:$C$46,MATCH($C57,Assumptions!$A$44:$A$46,0)),0)+IF($C57="Assured",Y57*$D57*$C$13*$C$26*$C$27*$C$28,0)</f>
        <v>36701.73</v>
      </c>
    </row>
    <row r="80" customFormat="false" ht="15" hidden="false" customHeight="false" outlineLevel="0" collapsed="false">
      <c r="A80" s="2" t="n">
        <f aca="false">A58</f>
        <v>11</v>
      </c>
      <c r="B80" s="2" t="str">
        <f aca="false">B58</f>
        <v>C</v>
      </c>
      <c r="C80" s="2" t="str">
        <f aca="false">C58</f>
        <v>Assured</v>
      </c>
      <c r="D80" s="2"/>
      <c r="E80" s="2"/>
      <c r="F80" s="2"/>
      <c r="G80" s="2"/>
      <c r="H80" s="23" t="n">
        <f aca="false">H58*$D58*$C$13*INDEX(Assumptions!$B$44:$B$46,MATCH($C58,Assumptions!$A$44:$A$46,0))+IF(H$45&gt;=$G58,INDEX(Assumptions!$C$44:$C$46,MATCH($C58,Assumptions!$A$44:$A$46,0)),0)+IF($C58="Assured",H58*$D58*$C$13*$C$26*$C$27*$C$28,0)</f>
        <v>0</v>
      </c>
      <c r="I80" s="23" t="n">
        <f aca="false">I58*$D58*$C$13*INDEX(Assumptions!$B$44:$B$46,MATCH($C58,Assumptions!$A$44:$A$46,0))+IF(I$45&gt;=$G58,INDEX(Assumptions!$C$44:$C$46,MATCH($C58,Assumptions!$A$44:$A$46,0)),0)+IF($C58="Assured",I58*$D58*$C$13*$C$26*$C$27*$C$28,0)</f>
        <v>0</v>
      </c>
      <c r="J80" s="23" t="n">
        <f aca="false">J58*$D58*$C$13*INDEX(Assumptions!$B$44:$B$46,MATCH($C58,Assumptions!$A$44:$A$46,0))+IF(J$45&gt;=$G58,INDEX(Assumptions!$C$44:$C$46,MATCH($C58,Assumptions!$A$44:$A$46,0)),0)+IF($C58="Assured",J58*$D58*$C$13*$C$26*$C$27*$C$28,0)</f>
        <v>0</v>
      </c>
      <c r="K80" s="23" t="n">
        <f aca="false">K58*$D58*$C$13*INDEX(Assumptions!$B$44:$B$46,MATCH($C58,Assumptions!$A$44:$A$46,0))+IF(K$45&gt;=$G58,INDEX(Assumptions!$C$44:$C$46,MATCH($C58,Assumptions!$A$44:$A$46,0)),0)+IF($C58="Assured",K58*$D58*$C$13*$C$26*$C$27*$C$28,0)</f>
        <v>0</v>
      </c>
      <c r="L80" s="23" t="n">
        <f aca="false">L58*$D58*$C$13*INDEX(Assumptions!$B$44:$B$46,MATCH($C58,Assumptions!$A$44:$A$46,0))+IF(L$45&gt;=$G58,INDEX(Assumptions!$C$44:$C$46,MATCH($C58,Assumptions!$A$44:$A$46,0)),0)+IF($C58="Assured",L58*$D58*$C$13*$C$26*$C$27*$C$28,0)</f>
        <v>0</v>
      </c>
      <c r="M80" s="23" t="n">
        <f aca="false">M58*$D58*$C$13*INDEX(Assumptions!$B$44:$B$46,MATCH($C58,Assumptions!$A$44:$A$46,0))+IF(M$45&gt;=$G58,INDEX(Assumptions!$C$44:$C$46,MATCH($C58,Assumptions!$A$44:$A$46,0)),0)+IF($C58="Assured",M58*$D58*$C$13*$C$26*$C$27*$C$28,0)</f>
        <v>0</v>
      </c>
      <c r="N80" s="23" t="n">
        <f aca="false">N58*$D58*$C$13*INDEX(Assumptions!$B$44:$B$46,MATCH($C58,Assumptions!$A$44:$A$46,0))+IF(N$45&gt;=$G58,INDEX(Assumptions!$C$44:$C$46,MATCH($C58,Assumptions!$A$44:$A$46,0)),0)+IF($C58="Assured",N58*$D58*$C$13*$C$26*$C$27*$C$28,0)</f>
        <v>0</v>
      </c>
      <c r="O80" s="23" t="n">
        <f aca="false">O58*$D58*$C$13*INDEX(Assumptions!$B$44:$B$46,MATCH($C58,Assumptions!$A$44:$A$46,0))+IF(O$45&gt;=$G58,INDEX(Assumptions!$C$44:$C$46,MATCH($C58,Assumptions!$A$44:$A$46,0)),0)+IF($C58="Assured",O58*$D58*$C$13*$C$26*$C$27*$C$28,0)</f>
        <v>0</v>
      </c>
      <c r="P80" s="23" t="n">
        <f aca="false">P58*$D58*$C$13*INDEX(Assumptions!$B$44:$B$46,MATCH($C58,Assumptions!$A$44:$A$46,0))+IF(P$45&gt;=$G58,INDEX(Assumptions!$C$44:$C$46,MATCH($C58,Assumptions!$A$44:$A$46,0)),0)+IF($C58="Assured",P58*$D58*$C$13*$C$26*$C$27*$C$28,0)</f>
        <v>11010.519</v>
      </c>
      <c r="Q80" s="23" t="n">
        <f aca="false">Q58*$D58*$C$13*INDEX(Assumptions!$B$44:$B$46,MATCH($C58,Assumptions!$A$44:$A$46,0))+IF(Q$45&gt;=$G58,INDEX(Assumptions!$C$44:$C$46,MATCH($C58,Assumptions!$A$44:$A$46,0)),0)+IF($C58="Assured",Q58*$D58*$C$13*$C$26*$C$27*$C$28,0)</f>
        <v>22021.038</v>
      </c>
      <c r="R80" s="23" t="n">
        <f aca="false">R58*$D58*$C$13*INDEX(Assumptions!$B$44:$B$46,MATCH($C58,Assumptions!$A$44:$A$46,0))+IF(R$45&gt;=$G58,INDEX(Assumptions!$C$44:$C$46,MATCH($C58,Assumptions!$A$44:$A$46,0)),0)+IF($C58="Assured",R58*$D58*$C$13*$C$26*$C$27*$C$28,0)</f>
        <v>31196.4705</v>
      </c>
      <c r="S80" s="23" t="n">
        <f aca="false">S58*$D58*$C$13*INDEX(Assumptions!$B$44:$B$46,MATCH($C58,Assumptions!$A$44:$A$46,0))+IF(S$45&gt;=$G58,INDEX(Assumptions!$C$44:$C$46,MATCH($C58,Assumptions!$A$44:$A$46,0)),0)+IF($C58="Assured",S58*$D58*$C$13*$C$26*$C$27*$C$28,0)</f>
        <v>36701.73</v>
      </c>
      <c r="T80" s="23" t="n">
        <f aca="false">T58*$D58*$C$13*INDEX(Assumptions!$B$44:$B$46,MATCH($C58,Assumptions!$A$44:$A$46,0))+IF(T$45&gt;=$G58,INDEX(Assumptions!$C$44:$C$46,MATCH($C58,Assumptions!$A$44:$A$46,0)),0)+IF($C58="Assured",T58*$D58*$C$13*$C$26*$C$27*$C$28,0)</f>
        <v>36701.73</v>
      </c>
      <c r="U80" s="23" t="n">
        <f aca="false">U58*$D58*$C$13*INDEX(Assumptions!$B$44:$B$46,MATCH($C58,Assumptions!$A$44:$A$46,0))+IF(U$45&gt;=$G58,INDEX(Assumptions!$C$44:$C$46,MATCH($C58,Assumptions!$A$44:$A$46,0)),0)+IF($C58="Assured",U58*$D58*$C$13*$C$26*$C$27*$C$28,0)</f>
        <v>36701.73</v>
      </c>
      <c r="V80" s="23" t="n">
        <f aca="false">V58*$D58*$C$13*INDEX(Assumptions!$B$44:$B$46,MATCH($C58,Assumptions!$A$44:$A$46,0))+IF(V$45&gt;=$G58,INDEX(Assumptions!$C$44:$C$46,MATCH($C58,Assumptions!$A$44:$A$46,0)),0)+IF($C58="Assured",V58*$D58*$C$13*$C$26*$C$27*$C$28,0)</f>
        <v>36701.73</v>
      </c>
      <c r="W80" s="23" t="n">
        <f aca="false">W58*$D58*$C$13*INDEX(Assumptions!$B$44:$B$46,MATCH($C58,Assumptions!$A$44:$A$46,0))+IF(W$45&gt;=$G58,INDEX(Assumptions!$C$44:$C$46,MATCH($C58,Assumptions!$A$44:$A$46,0)),0)+IF($C58="Assured",W58*$D58*$C$13*$C$26*$C$27*$C$28,0)</f>
        <v>36701.73</v>
      </c>
      <c r="X80" s="23" t="n">
        <f aca="false">X58*$D58*$C$13*INDEX(Assumptions!$B$44:$B$46,MATCH($C58,Assumptions!$A$44:$A$46,0))+IF(X$45&gt;=$G58,INDEX(Assumptions!$C$44:$C$46,MATCH($C58,Assumptions!$A$44:$A$46,0)),0)+IF($C58="Assured",X58*$D58*$C$13*$C$26*$C$27*$C$28,0)</f>
        <v>36701.73</v>
      </c>
      <c r="Y80" s="23" t="n">
        <f aca="false">Y58*$D58*$C$13*INDEX(Assumptions!$B$44:$B$46,MATCH($C58,Assumptions!$A$44:$A$46,0))+IF(Y$45&gt;=$G58,INDEX(Assumptions!$C$44:$C$46,MATCH($C58,Assumptions!$A$44:$A$46,0)),0)+IF($C58="Assured",Y58*$D58*$C$13*$C$26*$C$27*$C$28,0)</f>
        <v>36701.73</v>
      </c>
    </row>
    <row r="81" customFormat="false" ht="15" hidden="false" customHeight="false" outlineLevel="0" collapsed="false">
      <c r="A81" s="2" t="n">
        <f aca="false">A59</f>
        <v>12</v>
      </c>
      <c r="B81" s="2" t="str">
        <f aca="false">B59</f>
        <v>C</v>
      </c>
      <c r="C81" s="2" t="str">
        <f aca="false">C59</f>
        <v>Assured</v>
      </c>
      <c r="D81" s="2"/>
      <c r="E81" s="2"/>
      <c r="F81" s="2"/>
      <c r="G81" s="2"/>
      <c r="H81" s="23" t="n">
        <f aca="false">H59*$D59*$C$13*INDEX(Assumptions!$B$44:$B$46,MATCH($C59,Assumptions!$A$44:$A$46,0))+IF(H$45&gt;=$G59,INDEX(Assumptions!$C$44:$C$46,MATCH($C59,Assumptions!$A$44:$A$46,0)),0)+IF($C59="Assured",H59*$D59*$C$13*$C$26*$C$27*$C$28,0)</f>
        <v>0</v>
      </c>
      <c r="I81" s="23" t="n">
        <f aca="false">I59*$D59*$C$13*INDEX(Assumptions!$B$44:$B$46,MATCH($C59,Assumptions!$A$44:$A$46,0))+IF(I$45&gt;=$G59,INDEX(Assumptions!$C$44:$C$46,MATCH($C59,Assumptions!$A$44:$A$46,0)),0)+IF($C59="Assured",I59*$D59*$C$13*$C$26*$C$27*$C$28,0)</f>
        <v>0</v>
      </c>
      <c r="J81" s="23" t="n">
        <f aca="false">J59*$D59*$C$13*INDEX(Assumptions!$B$44:$B$46,MATCH($C59,Assumptions!$A$44:$A$46,0))+IF(J$45&gt;=$G59,INDEX(Assumptions!$C$44:$C$46,MATCH($C59,Assumptions!$A$44:$A$46,0)),0)+IF($C59="Assured",J59*$D59*$C$13*$C$26*$C$27*$C$28,0)</f>
        <v>0</v>
      </c>
      <c r="K81" s="23" t="n">
        <f aca="false">K59*$D59*$C$13*INDEX(Assumptions!$B$44:$B$46,MATCH($C59,Assumptions!$A$44:$A$46,0))+IF(K$45&gt;=$G59,INDEX(Assumptions!$C$44:$C$46,MATCH($C59,Assumptions!$A$44:$A$46,0)),0)+IF($C59="Assured",K59*$D59*$C$13*$C$26*$C$27*$C$28,0)</f>
        <v>0</v>
      </c>
      <c r="L81" s="23" t="n">
        <f aca="false">L59*$D59*$C$13*INDEX(Assumptions!$B$44:$B$46,MATCH($C59,Assumptions!$A$44:$A$46,0))+IF(L$45&gt;=$G59,INDEX(Assumptions!$C$44:$C$46,MATCH($C59,Assumptions!$A$44:$A$46,0)),0)+IF($C59="Assured",L59*$D59*$C$13*$C$26*$C$27*$C$28,0)</f>
        <v>0</v>
      </c>
      <c r="M81" s="23" t="n">
        <f aca="false">M59*$D59*$C$13*INDEX(Assumptions!$B$44:$B$46,MATCH($C59,Assumptions!$A$44:$A$46,0))+IF(M$45&gt;=$G59,INDEX(Assumptions!$C$44:$C$46,MATCH($C59,Assumptions!$A$44:$A$46,0)),0)+IF($C59="Assured",M59*$D59*$C$13*$C$26*$C$27*$C$28,0)</f>
        <v>0</v>
      </c>
      <c r="N81" s="23" t="n">
        <f aca="false">N59*$D59*$C$13*INDEX(Assumptions!$B$44:$B$46,MATCH($C59,Assumptions!$A$44:$A$46,0))+IF(N$45&gt;=$G59,INDEX(Assumptions!$C$44:$C$46,MATCH($C59,Assumptions!$A$44:$A$46,0)),0)+IF($C59="Assured",N59*$D59*$C$13*$C$26*$C$27*$C$28,0)</f>
        <v>0</v>
      </c>
      <c r="O81" s="23" t="n">
        <f aca="false">O59*$D59*$C$13*INDEX(Assumptions!$B$44:$B$46,MATCH($C59,Assumptions!$A$44:$A$46,0))+IF(O$45&gt;=$G59,INDEX(Assumptions!$C$44:$C$46,MATCH($C59,Assumptions!$A$44:$A$46,0)),0)+IF($C59="Assured",O59*$D59*$C$13*$C$26*$C$27*$C$28,0)</f>
        <v>0</v>
      </c>
      <c r="P81" s="23" t="n">
        <f aca="false">P59*$D59*$C$13*INDEX(Assumptions!$B$44:$B$46,MATCH($C59,Assumptions!$A$44:$A$46,0))+IF(P$45&gt;=$G59,INDEX(Assumptions!$C$44:$C$46,MATCH($C59,Assumptions!$A$44:$A$46,0)),0)+IF($C59="Assured",P59*$D59*$C$13*$C$26*$C$27*$C$28,0)</f>
        <v>11010.519</v>
      </c>
      <c r="Q81" s="23" t="n">
        <f aca="false">Q59*$D59*$C$13*INDEX(Assumptions!$B$44:$B$46,MATCH($C59,Assumptions!$A$44:$A$46,0))+IF(Q$45&gt;=$G59,INDEX(Assumptions!$C$44:$C$46,MATCH($C59,Assumptions!$A$44:$A$46,0)),0)+IF($C59="Assured",Q59*$D59*$C$13*$C$26*$C$27*$C$28,0)</f>
        <v>22021.038</v>
      </c>
      <c r="R81" s="23" t="n">
        <f aca="false">R59*$D59*$C$13*INDEX(Assumptions!$B$44:$B$46,MATCH($C59,Assumptions!$A$44:$A$46,0))+IF(R$45&gt;=$G59,INDEX(Assumptions!$C$44:$C$46,MATCH($C59,Assumptions!$A$44:$A$46,0)),0)+IF($C59="Assured",R59*$D59*$C$13*$C$26*$C$27*$C$28,0)</f>
        <v>31196.4705</v>
      </c>
      <c r="S81" s="23" t="n">
        <f aca="false">S59*$D59*$C$13*INDEX(Assumptions!$B$44:$B$46,MATCH($C59,Assumptions!$A$44:$A$46,0))+IF(S$45&gt;=$G59,INDEX(Assumptions!$C$44:$C$46,MATCH($C59,Assumptions!$A$44:$A$46,0)),0)+IF($C59="Assured",S59*$D59*$C$13*$C$26*$C$27*$C$28,0)</f>
        <v>36701.73</v>
      </c>
      <c r="T81" s="23" t="n">
        <f aca="false">T59*$D59*$C$13*INDEX(Assumptions!$B$44:$B$46,MATCH($C59,Assumptions!$A$44:$A$46,0))+IF(T$45&gt;=$G59,INDEX(Assumptions!$C$44:$C$46,MATCH($C59,Assumptions!$A$44:$A$46,0)),0)+IF($C59="Assured",T59*$D59*$C$13*$C$26*$C$27*$C$28,0)</f>
        <v>36701.73</v>
      </c>
      <c r="U81" s="23" t="n">
        <f aca="false">U59*$D59*$C$13*INDEX(Assumptions!$B$44:$B$46,MATCH($C59,Assumptions!$A$44:$A$46,0))+IF(U$45&gt;=$G59,INDEX(Assumptions!$C$44:$C$46,MATCH($C59,Assumptions!$A$44:$A$46,0)),0)+IF($C59="Assured",U59*$D59*$C$13*$C$26*$C$27*$C$28,0)</f>
        <v>36701.73</v>
      </c>
      <c r="V81" s="23" t="n">
        <f aca="false">V59*$D59*$C$13*INDEX(Assumptions!$B$44:$B$46,MATCH($C59,Assumptions!$A$44:$A$46,0))+IF(V$45&gt;=$G59,INDEX(Assumptions!$C$44:$C$46,MATCH($C59,Assumptions!$A$44:$A$46,0)),0)+IF($C59="Assured",V59*$D59*$C$13*$C$26*$C$27*$C$28,0)</f>
        <v>36701.73</v>
      </c>
      <c r="W81" s="23" t="n">
        <f aca="false">W59*$D59*$C$13*INDEX(Assumptions!$B$44:$B$46,MATCH($C59,Assumptions!$A$44:$A$46,0))+IF(W$45&gt;=$G59,INDEX(Assumptions!$C$44:$C$46,MATCH($C59,Assumptions!$A$44:$A$46,0)),0)+IF($C59="Assured",W59*$D59*$C$13*$C$26*$C$27*$C$28,0)</f>
        <v>36701.73</v>
      </c>
      <c r="X81" s="23" t="n">
        <f aca="false">X59*$D59*$C$13*INDEX(Assumptions!$B$44:$B$46,MATCH($C59,Assumptions!$A$44:$A$46,0))+IF(X$45&gt;=$G59,INDEX(Assumptions!$C$44:$C$46,MATCH($C59,Assumptions!$A$44:$A$46,0)),0)+IF($C59="Assured",X59*$D59*$C$13*$C$26*$C$27*$C$28,0)</f>
        <v>36701.73</v>
      </c>
      <c r="Y81" s="23" t="n">
        <f aca="false">Y59*$D59*$C$13*INDEX(Assumptions!$B$44:$B$46,MATCH($C59,Assumptions!$A$44:$A$46,0))+IF(Y$45&gt;=$G59,INDEX(Assumptions!$C$44:$C$46,MATCH($C59,Assumptions!$A$44:$A$46,0)),0)+IF($C59="Assured",Y59*$D59*$C$13*$C$26*$C$27*$C$28,0)</f>
        <v>36701.73</v>
      </c>
    </row>
    <row r="82" customFormat="false" ht="15" hidden="false" customHeight="false" outlineLevel="0" collapsed="false">
      <c r="A82" s="2" t="n">
        <f aca="false">A60</f>
        <v>13</v>
      </c>
      <c r="B82" s="2" t="str">
        <f aca="false">B60</f>
        <v>C</v>
      </c>
      <c r="C82" s="2" t="str">
        <f aca="false">C60</f>
        <v>Assured</v>
      </c>
      <c r="D82" s="2"/>
      <c r="E82" s="2"/>
      <c r="F82" s="2"/>
      <c r="G82" s="2"/>
      <c r="H82" s="23" t="n">
        <f aca="false">H60*$D60*$C$13*INDEX(Assumptions!$B$44:$B$46,MATCH($C60,Assumptions!$A$44:$A$46,0))+IF(H$45&gt;=$G60,INDEX(Assumptions!$C$44:$C$46,MATCH($C60,Assumptions!$A$44:$A$46,0)),0)+IF($C60="Assured",H60*$D60*$C$13*$C$26*$C$27*$C$28,0)</f>
        <v>0</v>
      </c>
      <c r="I82" s="23" t="n">
        <f aca="false">I60*$D60*$C$13*INDEX(Assumptions!$B$44:$B$46,MATCH($C60,Assumptions!$A$44:$A$46,0))+IF(I$45&gt;=$G60,INDEX(Assumptions!$C$44:$C$46,MATCH($C60,Assumptions!$A$44:$A$46,0)),0)+IF($C60="Assured",I60*$D60*$C$13*$C$26*$C$27*$C$28,0)</f>
        <v>0</v>
      </c>
      <c r="J82" s="23" t="n">
        <f aca="false">J60*$D60*$C$13*INDEX(Assumptions!$B$44:$B$46,MATCH($C60,Assumptions!$A$44:$A$46,0))+IF(J$45&gt;=$G60,INDEX(Assumptions!$C$44:$C$46,MATCH($C60,Assumptions!$A$44:$A$46,0)),0)+IF($C60="Assured",J60*$D60*$C$13*$C$26*$C$27*$C$28,0)</f>
        <v>0</v>
      </c>
      <c r="K82" s="23" t="n">
        <f aca="false">K60*$D60*$C$13*INDEX(Assumptions!$B$44:$B$46,MATCH($C60,Assumptions!$A$44:$A$46,0))+IF(K$45&gt;=$G60,INDEX(Assumptions!$C$44:$C$46,MATCH($C60,Assumptions!$A$44:$A$46,0)),0)+IF($C60="Assured",K60*$D60*$C$13*$C$26*$C$27*$C$28,0)</f>
        <v>0</v>
      </c>
      <c r="L82" s="23" t="n">
        <f aca="false">L60*$D60*$C$13*INDEX(Assumptions!$B$44:$B$46,MATCH($C60,Assumptions!$A$44:$A$46,0))+IF(L$45&gt;=$G60,INDEX(Assumptions!$C$44:$C$46,MATCH($C60,Assumptions!$A$44:$A$46,0)),0)+IF($C60="Assured",L60*$D60*$C$13*$C$26*$C$27*$C$28,0)</f>
        <v>0</v>
      </c>
      <c r="M82" s="23" t="n">
        <f aca="false">M60*$D60*$C$13*INDEX(Assumptions!$B$44:$B$46,MATCH($C60,Assumptions!$A$44:$A$46,0))+IF(M$45&gt;=$G60,INDEX(Assumptions!$C$44:$C$46,MATCH($C60,Assumptions!$A$44:$A$46,0)),0)+IF($C60="Assured",M60*$D60*$C$13*$C$26*$C$27*$C$28,0)</f>
        <v>0</v>
      </c>
      <c r="N82" s="23" t="n">
        <f aca="false">N60*$D60*$C$13*INDEX(Assumptions!$B$44:$B$46,MATCH($C60,Assumptions!$A$44:$A$46,0))+IF(N$45&gt;=$G60,INDEX(Assumptions!$C$44:$C$46,MATCH($C60,Assumptions!$A$44:$A$46,0)),0)+IF($C60="Assured",N60*$D60*$C$13*$C$26*$C$27*$C$28,0)</f>
        <v>0</v>
      </c>
      <c r="O82" s="23" t="n">
        <f aca="false">O60*$D60*$C$13*INDEX(Assumptions!$B$44:$B$46,MATCH($C60,Assumptions!$A$44:$A$46,0))+IF(O$45&gt;=$G60,INDEX(Assumptions!$C$44:$C$46,MATCH($C60,Assumptions!$A$44:$A$46,0)),0)+IF($C60="Assured",O60*$D60*$C$13*$C$26*$C$27*$C$28,0)</f>
        <v>0</v>
      </c>
      <c r="P82" s="23" t="n">
        <f aca="false">P60*$D60*$C$13*INDEX(Assumptions!$B$44:$B$46,MATCH($C60,Assumptions!$A$44:$A$46,0))+IF(P$45&gt;=$G60,INDEX(Assumptions!$C$44:$C$46,MATCH($C60,Assumptions!$A$44:$A$46,0)),0)+IF($C60="Assured",P60*$D60*$C$13*$C$26*$C$27*$C$28,0)</f>
        <v>0</v>
      </c>
      <c r="Q82" s="23" t="n">
        <f aca="false">Q60*$D60*$C$13*INDEX(Assumptions!$B$44:$B$46,MATCH($C60,Assumptions!$A$44:$A$46,0))+IF(Q$45&gt;=$G60,INDEX(Assumptions!$C$44:$C$46,MATCH($C60,Assumptions!$A$44:$A$46,0)),0)+IF($C60="Assured",Q60*$D60*$C$13*$C$26*$C$27*$C$28,0)</f>
        <v>11010.519</v>
      </c>
      <c r="R82" s="23" t="n">
        <f aca="false">R60*$D60*$C$13*INDEX(Assumptions!$B$44:$B$46,MATCH($C60,Assumptions!$A$44:$A$46,0))+IF(R$45&gt;=$G60,INDEX(Assumptions!$C$44:$C$46,MATCH($C60,Assumptions!$A$44:$A$46,0)),0)+IF($C60="Assured",R60*$D60*$C$13*$C$26*$C$27*$C$28,0)</f>
        <v>22021.038</v>
      </c>
      <c r="S82" s="23" t="n">
        <f aca="false">S60*$D60*$C$13*INDEX(Assumptions!$B$44:$B$46,MATCH($C60,Assumptions!$A$44:$A$46,0))+IF(S$45&gt;=$G60,INDEX(Assumptions!$C$44:$C$46,MATCH($C60,Assumptions!$A$44:$A$46,0)),0)+IF($C60="Assured",S60*$D60*$C$13*$C$26*$C$27*$C$28,0)</f>
        <v>31196.4705</v>
      </c>
      <c r="T82" s="23" t="n">
        <f aca="false">T60*$D60*$C$13*INDEX(Assumptions!$B$44:$B$46,MATCH($C60,Assumptions!$A$44:$A$46,0))+IF(T$45&gt;=$G60,INDEX(Assumptions!$C$44:$C$46,MATCH($C60,Assumptions!$A$44:$A$46,0)),0)+IF($C60="Assured",T60*$D60*$C$13*$C$26*$C$27*$C$28,0)</f>
        <v>36701.73</v>
      </c>
      <c r="U82" s="23" t="n">
        <f aca="false">U60*$D60*$C$13*INDEX(Assumptions!$B$44:$B$46,MATCH($C60,Assumptions!$A$44:$A$46,0))+IF(U$45&gt;=$G60,INDEX(Assumptions!$C$44:$C$46,MATCH($C60,Assumptions!$A$44:$A$46,0)),0)+IF($C60="Assured",U60*$D60*$C$13*$C$26*$C$27*$C$28,0)</f>
        <v>36701.73</v>
      </c>
      <c r="V82" s="23" t="n">
        <f aca="false">V60*$D60*$C$13*INDEX(Assumptions!$B$44:$B$46,MATCH($C60,Assumptions!$A$44:$A$46,0))+IF(V$45&gt;=$G60,INDEX(Assumptions!$C$44:$C$46,MATCH($C60,Assumptions!$A$44:$A$46,0)),0)+IF($C60="Assured",V60*$D60*$C$13*$C$26*$C$27*$C$28,0)</f>
        <v>36701.73</v>
      </c>
      <c r="W82" s="23" t="n">
        <f aca="false">W60*$D60*$C$13*INDEX(Assumptions!$B$44:$B$46,MATCH($C60,Assumptions!$A$44:$A$46,0))+IF(W$45&gt;=$G60,INDEX(Assumptions!$C$44:$C$46,MATCH($C60,Assumptions!$A$44:$A$46,0)),0)+IF($C60="Assured",W60*$D60*$C$13*$C$26*$C$27*$C$28,0)</f>
        <v>36701.73</v>
      </c>
      <c r="X82" s="23" t="n">
        <f aca="false">X60*$D60*$C$13*INDEX(Assumptions!$B$44:$B$46,MATCH($C60,Assumptions!$A$44:$A$46,0))+IF(X$45&gt;=$G60,INDEX(Assumptions!$C$44:$C$46,MATCH($C60,Assumptions!$A$44:$A$46,0)),0)+IF($C60="Assured",X60*$D60*$C$13*$C$26*$C$27*$C$28,0)</f>
        <v>36701.73</v>
      </c>
      <c r="Y82" s="23" t="n">
        <f aca="false">Y60*$D60*$C$13*INDEX(Assumptions!$B$44:$B$46,MATCH($C60,Assumptions!$A$44:$A$46,0))+IF(Y$45&gt;=$G60,INDEX(Assumptions!$C$44:$C$46,MATCH($C60,Assumptions!$A$44:$A$46,0)),0)+IF($C60="Assured",Y60*$D60*$C$13*$C$26*$C$27*$C$28,0)</f>
        <v>36701.73</v>
      </c>
    </row>
    <row r="83" customFormat="false" ht="15" hidden="false" customHeight="false" outlineLevel="0" collapsed="false">
      <c r="A83" s="2" t="n">
        <f aca="false">A61</f>
        <v>14</v>
      </c>
      <c r="B83" s="2" t="str">
        <f aca="false">B61</f>
        <v>B</v>
      </c>
      <c r="C83" s="2" t="str">
        <f aca="false">C61</f>
        <v>Connect</v>
      </c>
      <c r="D83" s="2"/>
      <c r="E83" s="2"/>
      <c r="F83" s="2"/>
      <c r="G83" s="2"/>
      <c r="H83" s="23" t="n">
        <f aca="false">H61*$D61*$C$13*INDEX(Assumptions!$B$44:$B$46,MATCH($C61,Assumptions!$A$44:$A$46,0))+IF(H$45&gt;=$G61,INDEX(Assumptions!$C$44:$C$46,MATCH($C61,Assumptions!$A$44:$A$46,0)),0)+IF($C61="Assured",H61*$D61*$C$13*$C$26*$C$27*$C$28,0)</f>
        <v>0</v>
      </c>
      <c r="I83" s="23" t="n">
        <f aca="false">I61*$D61*$C$13*INDEX(Assumptions!$B$44:$B$46,MATCH($C61,Assumptions!$A$44:$A$46,0))+IF(I$45&gt;=$G61,INDEX(Assumptions!$C$44:$C$46,MATCH($C61,Assumptions!$A$44:$A$46,0)),0)+IF($C61="Assured",I61*$D61*$C$13*$C$26*$C$27*$C$28,0)</f>
        <v>0</v>
      </c>
      <c r="J83" s="23" t="n">
        <f aca="false">J61*$D61*$C$13*INDEX(Assumptions!$B$44:$B$46,MATCH($C61,Assumptions!$A$44:$A$46,0))+IF(J$45&gt;=$G61,INDEX(Assumptions!$C$44:$C$46,MATCH($C61,Assumptions!$A$44:$A$46,0)),0)+IF($C61="Assured",J61*$D61*$C$13*$C$26*$C$27*$C$28,0)</f>
        <v>0</v>
      </c>
      <c r="K83" s="23" t="n">
        <f aca="false">K61*$D61*$C$13*INDEX(Assumptions!$B$44:$B$46,MATCH($C61,Assumptions!$A$44:$A$46,0))+IF(K$45&gt;=$G61,INDEX(Assumptions!$C$44:$C$46,MATCH($C61,Assumptions!$A$44:$A$46,0)),0)+IF($C61="Assured",K61*$D61*$C$13*$C$26*$C$27*$C$28,0)</f>
        <v>0</v>
      </c>
      <c r="L83" s="23" t="n">
        <f aca="false">L61*$D61*$C$13*INDEX(Assumptions!$B$44:$B$46,MATCH($C61,Assumptions!$A$44:$A$46,0))+IF(L$45&gt;=$G61,INDEX(Assumptions!$C$44:$C$46,MATCH($C61,Assumptions!$A$44:$A$46,0)),0)+IF($C61="Assured",L61*$D61*$C$13*$C$26*$C$27*$C$28,0)</f>
        <v>0</v>
      </c>
      <c r="M83" s="23" t="n">
        <f aca="false">M61*$D61*$C$13*INDEX(Assumptions!$B$44:$B$46,MATCH($C61,Assumptions!$A$44:$A$46,0))+IF(M$45&gt;=$G61,INDEX(Assumptions!$C$44:$C$46,MATCH($C61,Assumptions!$A$44:$A$46,0)),0)+IF($C61="Assured",M61*$D61*$C$13*$C$26*$C$27*$C$28,0)</f>
        <v>0</v>
      </c>
      <c r="N83" s="23" t="n">
        <f aca="false">N61*$D61*$C$13*INDEX(Assumptions!$B$44:$B$46,MATCH($C61,Assumptions!$A$44:$A$46,0))+IF(N$45&gt;=$G61,INDEX(Assumptions!$C$44:$C$46,MATCH($C61,Assumptions!$A$44:$A$46,0)),0)+IF($C61="Assured",N61*$D61*$C$13*$C$26*$C$27*$C$28,0)</f>
        <v>0</v>
      </c>
      <c r="O83" s="23" t="n">
        <f aca="false">O61*$D61*$C$13*INDEX(Assumptions!$B$44:$B$46,MATCH($C61,Assumptions!$A$44:$A$46,0))+IF(O$45&gt;=$G61,INDEX(Assumptions!$C$44:$C$46,MATCH($C61,Assumptions!$A$44:$A$46,0)),0)+IF($C61="Assured",O61*$D61*$C$13*$C$26*$C$27*$C$28,0)</f>
        <v>0</v>
      </c>
      <c r="P83" s="23" t="n">
        <f aca="false">P61*$D61*$C$13*INDEX(Assumptions!$B$44:$B$46,MATCH($C61,Assumptions!$A$44:$A$46,0))+IF(P$45&gt;=$G61,INDEX(Assumptions!$C$44:$C$46,MATCH($C61,Assumptions!$A$44:$A$46,0)),0)+IF($C61="Assured",P61*$D61*$C$13*$C$26*$C$27*$C$28,0)</f>
        <v>0</v>
      </c>
      <c r="Q83" s="23" t="n">
        <f aca="false">Q61*$D61*$C$13*INDEX(Assumptions!$B$44:$B$46,MATCH($C61,Assumptions!$A$44:$A$46,0))+IF(Q$45&gt;=$G61,INDEX(Assumptions!$C$44:$C$46,MATCH($C61,Assumptions!$A$44:$A$46,0)),0)+IF($C61="Assured",Q61*$D61*$C$13*$C$26*$C$27*$C$28,0)</f>
        <v>0</v>
      </c>
      <c r="R83" s="23" t="n">
        <f aca="false">R61*$D61*$C$13*INDEX(Assumptions!$B$44:$B$46,MATCH($C61,Assumptions!$A$44:$A$46,0))+IF(R$45&gt;=$G61,INDEX(Assumptions!$C$44:$C$46,MATCH($C61,Assumptions!$A$44:$A$46,0)),0)+IF($C61="Assured",R61*$D61*$C$13*$C$26*$C$27*$C$28,0)</f>
        <v>14600.91</v>
      </c>
      <c r="S83" s="23" t="n">
        <f aca="false">S61*$D61*$C$13*INDEX(Assumptions!$B$44:$B$46,MATCH($C61,Assumptions!$A$44:$A$46,0))+IF(S$45&gt;=$G61,INDEX(Assumptions!$C$44:$C$46,MATCH($C61,Assumptions!$A$44:$A$46,0)),0)+IF($C61="Assured",S61*$D61*$C$13*$C$26*$C$27*$C$28,0)</f>
        <v>17201.82</v>
      </c>
      <c r="T83" s="23" t="n">
        <f aca="false">T61*$D61*$C$13*INDEX(Assumptions!$B$44:$B$46,MATCH($C61,Assumptions!$A$44:$A$46,0))+IF(T$45&gt;=$G61,INDEX(Assumptions!$C$44:$C$46,MATCH($C61,Assumptions!$A$44:$A$46,0)),0)+IF($C61="Assured",T61*$D61*$C$13*$C$26*$C$27*$C$28,0)</f>
        <v>19369.245</v>
      </c>
      <c r="U83" s="23" t="n">
        <f aca="false">U61*$D61*$C$13*INDEX(Assumptions!$B$44:$B$46,MATCH($C61,Assumptions!$A$44:$A$46,0))+IF(U$45&gt;=$G61,INDEX(Assumptions!$C$44:$C$46,MATCH($C61,Assumptions!$A$44:$A$46,0)),0)+IF($C61="Assured",U61*$D61*$C$13*$C$26*$C$27*$C$28,0)</f>
        <v>20669.7</v>
      </c>
      <c r="V83" s="23" t="n">
        <f aca="false">V61*$D61*$C$13*INDEX(Assumptions!$B$44:$B$46,MATCH($C61,Assumptions!$A$44:$A$46,0))+IF(V$45&gt;=$G61,INDEX(Assumptions!$C$44:$C$46,MATCH($C61,Assumptions!$A$44:$A$46,0)),0)+IF($C61="Assured",V61*$D61*$C$13*$C$26*$C$27*$C$28,0)</f>
        <v>20669.7</v>
      </c>
      <c r="W83" s="23" t="n">
        <f aca="false">W61*$D61*$C$13*INDEX(Assumptions!$B$44:$B$46,MATCH($C61,Assumptions!$A$44:$A$46,0))+IF(W$45&gt;=$G61,INDEX(Assumptions!$C$44:$C$46,MATCH($C61,Assumptions!$A$44:$A$46,0)),0)+IF($C61="Assured",W61*$D61*$C$13*$C$26*$C$27*$C$28,0)</f>
        <v>20669.7</v>
      </c>
      <c r="X83" s="23" t="n">
        <f aca="false">X61*$D61*$C$13*INDEX(Assumptions!$B$44:$B$46,MATCH($C61,Assumptions!$A$44:$A$46,0))+IF(X$45&gt;=$G61,INDEX(Assumptions!$C$44:$C$46,MATCH($C61,Assumptions!$A$44:$A$46,0)),0)+IF($C61="Assured",X61*$D61*$C$13*$C$26*$C$27*$C$28,0)</f>
        <v>20669.7</v>
      </c>
      <c r="Y83" s="23" t="n">
        <f aca="false">Y61*$D61*$C$13*INDEX(Assumptions!$B$44:$B$46,MATCH($C61,Assumptions!$A$44:$A$46,0))+IF(Y$45&gt;=$G61,INDEX(Assumptions!$C$44:$C$46,MATCH($C61,Assumptions!$A$44:$A$46,0)),0)+IF($C61="Assured",Y61*$D61*$C$13*$C$26*$C$27*$C$28,0)</f>
        <v>20669.7</v>
      </c>
    </row>
    <row r="84" customFormat="false" ht="15" hidden="false" customHeight="false" outlineLevel="0" collapsed="false">
      <c r="A84" s="2" t="n">
        <f aca="false">A62</f>
        <v>15</v>
      </c>
      <c r="B84" s="2" t="str">
        <f aca="false">B62</f>
        <v>B</v>
      </c>
      <c r="C84" s="2" t="str">
        <f aca="false">C62</f>
        <v>Connect</v>
      </c>
      <c r="D84" s="2"/>
      <c r="E84" s="2"/>
      <c r="F84" s="2"/>
      <c r="G84" s="2"/>
      <c r="H84" s="23" t="n">
        <f aca="false">H62*$D62*$C$13*INDEX(Assumptions!$B$44:$B$46,MATCH($C62,Assumptions!$A$44:$A$46,0))+IF(H$45&gt;=$G62,INDEX(Assumptions!$C$44:$C$46,MATCH($C62,Assumptions!$A$44:$A$46,0)),0)+IF($C62="Assured",H62*$D62*$C$13*$C$26*$C$27*$C$28,0)</f>
        <v>0</v>
      </c>
      <c r="I84" s="23" t="n">
        <f aca="false">I62*$D62*$C$13*INDEX(Assumptions!$B$44:$B$46,MATCH($C62,Assumptions!$A$44:$A$46,0))+IF(I$45&gt;=$G62,INDEX(Assumptions!$C$44:$C$46,MATCH($C62,Assumptions!$A$44:$A$46,0)),0)+IF($C62="Assured",I62*$D62*$C$13*$C$26*$C$27*$C$28,0)</f>
        <v>0</v>
      </c>
      <c r="J84" s="23" t="n">
        <f aca="false">J62*$D62*$C$13*INDEX(Assumptions!$B$44:$B$46,MATCH($C62,Assumptions!$A$44:$A$46,0))+IF(J$45&gt;=$G62,INDEX(Assumptions!$C$44:$C$46,MATCH($C62,Assumptions!$A$44:$A$46,0)),0)+IF($C62="Assured",J62*$D62*$C$13*$C$26*$C$27*$C$28,0)</f>
        <v>0</v>
      </c>
      <c r="K84" s="23" t="n">
        <f aca="false">K62*$D62*$C$13*INDEX(Assumptions!$B$44:$B$46,MATCH($C62,Assumptions!$A$44:$A$46,0))+IF(K$45&gt;=$G62,INDEX(Assumptions!$C$44:$C$46,MATCH($C62,Assumptions!$A$44:$A$46,0)),0)+IF($C62="Assured",K62*$D62*$C$13*$C$26*$C$27*$C$28,0)</f>
        <v>0</v>
      </c>
      <c r="L84" s="23" t="n">
        <f aca="false">L62*$D62*$C$13*INDEX(Assumptions!$B$44:$B$46,MATCH($C62,Assumptions!$A$44:$A$46,0))+IF(L$45&gt;=$G62,INDEX(Assumptions!$C$44:$C$46,MATCH($C62,Assumptions!$A$44:$A$46,0)),0)+IF($C62="Assured",L62*$D62*$C$13*$C$26*$C$27*$C$28,0)</f>
        <v>0</v>
      </c>
      <c r="M84" s="23" t="n">
        <f aca="false">M62*$D62*$C$13*INDEX(Assumptions!$B$44:$B$46,MATCH($C62,Assumptions!$A$44:$A$46,0))+IF(M$45&gt;=$G62,INDEX(Assumptions!$C$44:$C$46,MATCH($C62,Assumptions!$A$44:$A$46,0)),0)+IF($C62="Assured",M62*$D62*$C$13*$C$26*$C$27*$C$28,0)</f>
        <v>0</v>
      </c>
      <c r="N84" s="23" t="n">
        <f aca="false">N62*$D62*$C$13*INDEX(Assumptions!$B$44:$B$46,MATCH($C62,Assumptions!$A$44:$A$46,0))+IF(N$45&gt;=$G62,INDEX(Assumptions!$C$44:$C$46,MATCH($C62,Assumptions!$A$44:$A$46,0)),0)+IF($C62="Assured",N62*$D62*$C$13*$C$26*$C$27*$C$28,0)</f>
        <v>0</v>
      </c>
      <c r="O84" s="23" t="n">
        <f aca="false">O62*$D62*$C$13*INDEX(Assumptions!$B$44:$B$46,MATCH($C62,Assumptions!$A$44:$A$46,0))+IF(O$45&gt;=$G62,INDEX(Assumptions!$C$44:$C$46,MATCH($C62,Assumptions!$A$44:$A$46,0)),0)+IF($C62="Assured",O62*$D62*$C$13*$C$26*$C$27*$C$28,0)</f>
        <v>0</v>
      </c>
      <c r="P84" s="23" t="n">
        <f aca="false">P62*$D62*$C$13*INDEX(Assumptions!$B$44:$B$46,MATCH($C62,Assumptions!$A$44:$A$46,0))+IF(P$45&gt;=$G62,INDEX(Assumptions!$C$44:$C$46,MATCH($C62,Assumptions!$A$44:$A$46,0)),0)+IF($C62="Assured",P62*$D62*$C$13*$C$26*$C$27*$C$28,0)</f>
        <v>0</v>
      </c>
      <c r="Q84" s="23" t="n">
        <f aca="false">Q62*$D62*$C$13*INDEX(Assumptions!$B$44:$B$46,MATCH($C62,Assumptions!$A$44:$A$46,0))+IF(Q$45&gt;=$G62,INDEX(Assumptions!$C$44:$C$46,MATCH($C62,Assumptions!$A$44:$A$46,0)),0)+IF($C62="Assured",Q62*$D62*$C$13*$C$26*$C$27*$C$28,0)</f>
        <v>0</v>
      </c>
      <c r="R84" s="23" t="n">
        <f aca="false">R62*$D62*$C$13*INDEX(Assumptions!$B$44:$B$46,MATCH($C62,Assumptions!$A$44:$A$46,0))+IF(R$45&gt;=$G62,INDEX(Assumptions!$C$44:$C$46,MATCH($C62,Assumptions!$A$44:$A$46,0)),0)+IF($C62="Assured",R62*$D62*$C$13*$C$26*$C$27*$C$28,0)</f>
        <v>0</v>
      </c>
      <c r="S84" s="23" t="n">
        <f aca="false">S62*$D62*$C$13*INDEX(Assumptions!$B$44:$B$46,MATCH($C62,Assumptions!$A$44:$A$46,0))+IF(S$45&gt;=$G62,INDEX(Assumptions!$C$44:$C$46,MATCH($C62,Assumptions!$A$44:$A$46,0)),0)+IF($C62="Assured",S62*$D62*$C$13*$C$26*$C$27*$C$28,0)</f>
        <v>14600.91</v>
      </c>
      <c r="T84" s="23" t="n">
        <f aca="false">T62*$D62*$C$13*INDEX(Assumptions!$B$44:$B$46,MATCH($C62,Assumptions!$A$44:$A$46,0))+IF(T$45&gt;=$G62,INDEX(Assumptions!$C$44:$C$46,MATCH($C62,Assumptions!$A$44:$A$46,0)),0)+IF($C62="Assured",T62*$D62*$C$13*$C$26*$C$27*$C$28,0)</f>
        <v>17201.82</v>
      </c>
      <c r="U84" s="23" t="n">
        <f aca="false">U62*$D62*$C$13*INDEX(Assumptions!$B$44:$B$46,MATCH($C62,Assumptions!$A$44:$A$46,0))+IF(U$45&gt;=$G62,INDEX(Assumptions!$C$44:$C$46,MATCH($C62,Assumptions!$A$44:$A$46,0)),0)+IF($C62="Assured",U62*$D62*$C$13*$C$26*$C$27*$C$28,0)</f>
        <v>19369.245</v>
      </c>
      <c r="V84" s="23" t="n">
        <f aca="false">V62*$D62*$C$13*INDEX(Assumptions!$B$44:$B$46,MATCH($C62,Assumptions!$A$44:$A$46,0))+IF(V$45&gt;=$G62,INDEX(Assumptions!$C$44:$C$46,MATCH($C62,Assumptions!$A$44:$A$46,0)),0)+IF($C62="Assured",V62*$D62*$C$13*$C$26*$C$27*$C$28,0)</f>
        <v>20669.7</v>
      </c>
      <c r="W84" s="23" t="n">
        <f aca="false">W62*$D62*$C$13*INDEX(Assumptions!$B$44:$B$46,MATCH($C62,Assumptions!$A$44:$A$46,0))+IF(W$45&gt;=$G62,INDEX(Assumptions!$C$44:$C$46,MATCH($C62,Assumptions!$A$44:$A$46,0)),0)+IF($C62="Assured",W62*$D62*$C$13*$C$26*$C$27*$C$28,0)</f>
        <v>20669.7</v>
      </c>
      <c r="X84" s="23" t="n">
        <f aca="false">X62*$D62*$C$13*INDEX(Assumptions!$B$44:$B$46,MATCH($C62,Assumptions!$A$44:$A$46,0))+IF(X$45&gt;=$G62,INDEX(Assumptions!$C$44:$C$46,MATCH($C62,Assumptions!$A$44:$A$46,0)),0)+IF($C62="Assured",X62*$D62*$C$13*$C$26*$C$27*$C$28,0)</f>
        <v>20669.7</v>
      </c>
      <c r="Y84" s="23" t="n">
        <f aca="false">Y62*$D62*$C$13*INDEX(Assumptions!$B$44:$B$46,MATCH($C62,Assumptions!$A$44:$A$46,0))+IF(Y$45&gt;=$G62,INDEX(Assumptions!$C$44:$C$46,MATCH($C62,Assumptions!$A$44:$A$46,0)),0)+IF($C62="Assured",Y62*$D62*$C$13*$C$26*$C$27*$C$28,0)</f>
        <v>20669.7</v>
      </c>
    </row>
    <row r="85" customFormat="false" ht="15" hidden="false" customHeight="false" outlineLevel="0" collapsed="false">
      <c r="A85" s="2" t="n">
        <f aca="false">A63</f>
        <v>16</v>
      </c>
      <c r="B85" s="2" t="str">
        <f aca="false">B63</f>
        <v>B</v>
      </c>
      <c r="C85" s="2" t="str">
        <f aca="false">C63</f>
        <v>Connect</v>
      </c>
      <c r="D85" s="2"/>
      <c r="E85" s="2"/>
      <c r="F85" s="2"/>
      <c r="G85" s="2"/>
      <c r="H85" s="23" t="n">
        <f aca="false">H63*$D63*$C$13*INDEX(Assumptions!$B$44:$B$46,MATCH($C63,Assumptions!$A$44:$A$46,0))+IF(H$45&gt;=$G63,INDEX(Assumptions!$C$44:$C$46,MATCH($C63,Assumptions!$A$44:$A$46,0)),0)+IF($C63="Assured",H63*$D63*$C$13*$C$26*$C$27*$C$28,0)</f>
        <v>0</v>
      </c>
      <c r="I85" s="23" t="n">
        <f aca="false">I63*$D63*$C$13*INDEX(Assumptions!$B$44:$B$46,MATCH($C63,Assumptions!$A$44:$A$46,0))+IF(I$45&gt;=$G63,INDEX(Assumptions!$C$44:$C$46,MATCH($C63,Assumptions!$A$44:$A$46,0)),0)+IF($C63="Assured",I63*$D63*$C$13*$C$26*$C$27*$C$28,0)</f>
        <v>0</v>
      </c>
      <c r="J85" s="23" t="n">
        <f aca="false">J63*$D63*$C$13*INDEX(Assumptions!$B$44:$B$46,MATCH($C63,Assumptions!$A$44:$A$46,0))+IF(J$45&gt;=$G63,INDEX(Assumptions!$C$44:$C$46,MATCH($C63,Assumptions!$A$44:$A$46,0)),0)+IF($C63="Assured",J63*$D63*$C$13*$C$26*$C$27*$C$28,0)</f>
        <v>0</v>
      </c>
      <c r="K85" s="23" t="n">
        <f aca="false">K63*$D63*$C$13*INDEX(Assumptions!$B$44:$B$46,MATCH($C63,Assumptions!$A$44:$A$46,0))+IF(K$45&gt;=$G63,INDEX(Assumptions!$C$44:$C$46,MATCH($C63,Assumptions!$A$44:$A$46,0)),0)+IF($C63="Assured",K63*$D63*$C$13*$C$26*$C$27*$C$28,0)</f>
        <v>0</v>
      </c>
      <c r="L85" s="23" t="n">
        <f aca="false">L63*$D63*$C$13*INDEX(Assumptions!$B$44:$B$46,MATCH($C63,Assumptions!$A$44:$A$46,0))+IF(L$45&gt;=$G63,INDEX(Assumptions!$C$44:$C$46,MATCH($C63,Assumptions!$A$44:$A$46,0)),0)+IF($C63="Assured",L63*$D63*$C$13*$C$26*$C$27*$C$28,0)</f>
        <v>0</v>
      </c>
      <c r="M85" s="23" t="n">
        <f aca="false">M63*$D63*$C$13*INDEX(Assumptions!$B$44:$B$46,MATCH($C63,Assumptions!$A$44:$A$46,0))+IF(M$45&gt;=$G63,INDEX(Assumptions!$C$44:$C$46,MATCH($C63,Assumptions!$A$44:$A$46,0)),0)+IF($C63="Assured",M63*$D63*$C$13*$C$26*$C$27*$C$28,0)</f>
        <v>0</v>
      </c>
      <c r="N85" s="23" t="n">
        <f aca="false">N63*$D63*$C$13*INDEX(Assumptions!$B$44:$B$46,MATCH($C63,Assumptions!$A$44:$A$46,0))+IF(N$45&gt;=$G63,INDEX(Assumptions!$C$44:$C$46,MATCH($C63,Assumptions!$A$44:$A$46,0)),0)+IF($C63="Assured",N63*$D63*$C$13*$C$26*$C$27*$C$28,0)</f>
        <v>0</v>
      </c>
      <c r="O85" s="23" t="n">
        <f aca="false">O63*$D63*$C$13*INDEX(Assumptions!$B$44:$B$46,MATCH($C63,Assumptions!$A$44:$A$46,0))+IF(O$45&gt;=$G63,INDEX(Assumptions!$C$44:$C$46,MATCH($C63,Assumptions!$A$44:$A$46,0)),0)+IF($C63="Assured",O63*$D63*$C$13*$C$26*$C$27*$C$28,0)</f>
        <v>0</v>
      </c>
      <c r="P85" s="23" t="n">
        <f aca="false">P63*$D63*$C$13*INDEX(Assumptions!$B$44:$B$46,MATCH($C63,Assumptions!$A$44:$A$46,0))+IF(P$45&gt;=$G63,INDEX(Assumptions!$C$44:$C$46,MATCH($C63,Assumptions!$A$44:$A$46,0)),0)+IF($C63="Assured",P63*$D63*$C$13*$C$26*$C$27*$C$28,0)</f>
        <v>0</v>
      </c>
      <c r="Q85" s="23" t="n">
        <f aca="false">Q63*$D63*$C$13*INDEX(Assumptions!$B$44:$B$46,MATCH($C63,Assumptions!$A$44:$A$46,0))+IF(Q$45&gt;=$G63,INDEX(Assumptions!$C$44:$C$46,MATCH($C63,Assumptions!$A$44:$A$46,0)),0)+IF($C63="Assured",Q63*$D63*$C$13*$C$26*$C$27*$C$28,0)</f>
        <v>0</v>
      </c>
      <c r="R85" s="23" t="n">
        <f aca="false">R63*$D63*$C$13*INDEX(Assumptions!$B$44:$B$46,MATCH($C63,Assumptions!$A$44:$A$46,0))+IF(R$45&gt;=$G63,INDEX(Assumptions!$C$44:$C$46,MATCH($C63,Assumptions!$A$44:$A$46,0)),0)+IF($C63="Assured",R63*$D63*$C$13*$C$26*$C$27*$C$28,0)</f>
        <v>0</v>
      </c>
      <c r="S85" s="23" t="n">
        <f aca="false">S63*$D63*$C$13*INDEX(Assumptions!$B$44:$B$46,MATCH($C63,Assumptions!$A$44:$A$46,0))+IF(S$45&gt;=$G63,INDEX(Assumptions!$C$44:$C$46,MATCH($C63,Assumptions!$A$44:$A$46,0)),0)+IF($C63="Assured",S63*$D63*$C$13*$C$26*$C$27*$C$28,0)</f>
        <v>0</v>
      </c>
      <c r="T85" s="23" t="n">
        <f aca="false">T63*$D63*$C$13*INDEX(Assumptions!$B$44:$B$46,MATCH($C63,Assumptions!$A$44:$A$46,0))+IF(T$45&gt;=$G63,INDEX(Assumptions!$C$44:$C$46,MATCH($C63,Assumptions!$A$44:$A$46,0)),0)+IF($C63="Assured",T63*$D63*$C$13*$C$26*$C$27*$C$28,0)</f>
        <v>14600.91</v>
      </c>
      <c r="U85" s="23" t="n">
        <f aca="false">U63*$D63*$C$13*INDEX(Assumptions!$B$44:$B$46,MATCH($C63,Assumptions!$A$44:$A$46,0))+IF(U$45&gt;=$G63,INDEX(Assumptions!$C$44:$C$46,MATCH($C63,Assumptions!$A$44:$A$46,0)),0)+IF($C63="Assured",U63*$D63*$C$13*$C$26*$C$27*$C$28,0)</f>
        <v>17201.82</v>
      </c>
      <c r="V85" s="23" t="n">
        <f aca="false">V63*$D63*$C$13*INDEX(Assumptions!$B$44:$B$46,MATCH($C63,Assumptions!$A$44:$A$46,0))+IF(V$45&gt;=$G63,INDEX(Assumptions!$C$44:$C$46,MATCH($C63,Assumptions!$A$44:$A$46,0)),0)+IF($C63="Assured",V63*$D63*$C$13*$C$26*$C$27*$C$28,0)</f>
        <v>19369.245</v>
      </c>
      <c r="W85" s="23" t="n">
        <f aca="false">W63*$D63*$C$13*INDEX(Assumptions!$B$44:$B$46,MATCH($C63,Assumptions!$A$44:$A$46,0))+IF(W$45&gt;=$G63,INDEX(Assumptions!$C$44:$C$46,MATCH($C63,Assumptions!$A$44:$A$46,0)),0)+IF($C63="Assured",W63*$D63*$C$13*$C$26*$C$27*$C$28,0)</f>
        <v>20669.7</v>
      </c>
      <c r="X85" s="23" t="n">
        <f aca="false">X63*$D63*$C$13*INDEX(Assumptions!$B$44:$B$46,MATCH($C63,Assumptions!$A$44:$A$46,0))+IF(X$45&gt;=$G63,INDEX(Assumptions!$C$44:$C$46,MATCH($C63,Assumptions!$A$44:$A$46,0)),0)+IF($C63="Assured",X63*$D63*$C$13*$C$26*$C$27*$C$28,0)</f>
        <v>20669.7</v>
      </c>
      <c r="Y85" s="23" t="n">
        <f aca="false">Y63*$D63*$C$13*INDEX(Assumptions!$B$44:$B$46,MATCH($C63,Assumptions!$A$44:$A$46,0))+IF(Y$45&gt;=$G63,INDEX(Assumptions!$C$44:$C$46,MATCH($C63,Assumptions!$A$44:$A$46,0)),0)+IF($C63="Assured",Y63*$D63*$C$13*$C$26*$C$27*$C$28,0)</f>
        <v>20669.7</v>
      </c>
    </row>
    <row r="86" customFormat="false" ht="15" hidden="false" customHeight="false" outlineLevel="0" collapsed="false">
      <c r="A86" s="2" t="n">
        <f aca="false">A64</f>
        <v>17</v>
      </c>
      <c r="B86" s="2" t="str">
        <f aca="false">B64</f>
        <v>B</v>
      </c>
      <c r="C86" s="2" t="str">
        <f aca="false">C64</f>
        <v>Verified</v>
      </c>
      <c r="D86" s="2"/>
      <c r="E86" s="2"/>
      <c r="F86" s="2"/>
      <c r="G86" s="2"/>
      <c r="H86" s="23" t="n">
        <f aca="false">H64*$D64*$C$13*INDEX(Assumptions!$B$44:$B$46,MATCH($C64,Assumptions!$A$44:$A$46,0))+IF(H$45&gt;=$G64,INDEX(Assumptions!$C$44:$C$46,MATCH($C64,Assumptions!$A$44:$A$46,0)),0)+IF($C64="Assured",H64*$D64*$C$13*$C$26*$C$27*$C$28,0)</f>
        <v>0</v>
      </c>
      <c r="I86" s="23" t="n">
        <f aca="false">I64*$D64*$C$13*INDEX(Assumptions!$B$44:$B$46,MATCH($C64,Assumptions!$A$44:$A$46,0))+IF(I$45&gt;=$G64,INDEX(Assumptions!$C$44:$C$46,MATCH($C64,Assumptions!$A$44:$A$46,0)),0)+IF($C64="Assured",I64*$D64*$C$13*$C$26*$C$27*$C$28,0)</f>
        <v>0</v>
      </c>
      <c r="J86" s="23" t="n">
        <f aca="false">J64*$D64*$C$13*INDEX(Assumptions!$B$44:$B$46,MATCH($C64,Assumptions!$A$44:$A$46,0))+IF(J$45&gt;=$G64,INDEX(Assumptions!$C$44:$C$46,MATCH($C64,Assumptions!$A$44:$A$46,0)),0)+IF($C64="Assured",J64*$D64*$C$13*$C$26*$C$27*$C$28,0)</f>
        <v>0</v>
      </c>
      <c r="K86" s="23" t="n">
        <f aca="false">K64*$D64*$C$13*INDEX(Assumptions!$B$44:$B$46,MATCH($C64,Assumptions!$A$44:$A$46,0))+IF(K$45&gt;=$G64,INDEX(Assumptions!$C$44:$C$46,MATCH($C64,Assumptions!$A$44:$A$46,0)),0)+IF($C64="Assured",K64*$D64*$C$13*$C$26*$C$27*$C$28,0)</f>
        <v>0</v>
      </c>
      <c r="L86" s="23" t="n">
        <f aca="false">L64*$D64*$C$13*INDEX(Assumptions!$B$44:$B$46,MATCH($C64,Assumptions!$A$44:$A$46,0))+IF(L$45&gt;=$G64,INDEX(Assumptions!$C$44:$C$46,MATCH($C64,Assumptions!$A$44:$A$46,0)),0)+IF($C64="Assured",L64*$D64*$C$13*$C$26*$C$27*$C$28,0)</f>
        <v>0</v>
      </c>
      <c r="M86" s="23" t="n">
        <f aca="false">M64*$D64*$C$13*INDEX(Assumptions!$B$44:$B$46,MATCH($C64,Assumptions!$A$44:$A$46,0))+IF(M$45&gt;=$G64,INDEX(Assumptions!$C$44:$C$46,MATCH($C64,Assumptions!$A$44:$A$46,0)),0)+IF($C64="Assured",M64*$D64*$C$13*$C$26*$C$27*$C$28,0)</f>
        <v>0</v>
      </c>
      <c r="N86" s="23" t="n">
        <f aca="false">N64*$D64*$C$13*INDEX(Assumptions!$B$44:$B$46,MATCH($C64,Assumptions!$A$44:$A$46,0))+IF(N$45&gt;=$G64,INDEX(Assumptions!$C$44:$C$46,MATCH($C64,Assumptions!$A$44:$A$46,0)),0)+IF($C64="Assured",N64*$D64*$C$13*$C$26*$C$27*$C$28,0)</f>
        <v>0</v>
      </c>
      <c r="O86" s="23" t="n">
        <f aca="false">O64*$D64*$C$13*INDEX(Assumptions!$B$44:$B$46,MATCH($C64,Assumptions!$A$44:$A$46,0))+IF(O$45&gt;=$G64,INDEX(Assumptions!$C$44:$C$46,MATCH($C64,Assumptions!$A$44:$A$46,0)),0)+IF($C64="Assured",O64*$D64*$C$13*$C$26*$C$27*$C$28,0)</f>
        <v>0</v>
      </c>
      <c r="P86" s="23" t="n">
        <f aca="false">P64*$D64*$C$13*INDEX(Assumptions!$B$44:$B$46,MATCH($C64,Assumptions!$A$44:$A$46,0))+IF(P$45&gt;=$G64,INDEX(Assumptions!$C$44:$C$46,MATCH($C64,Assumptions!$A$44:$A$46,0)),0)+IF($C64="Assured",P64*$D64*$C$13*$C$26*$C$27*$C$28,0)</f>
        <v>0</v>
      </c>
      <c r="Q86" s="23" t="n">
        <f aca="false">Q64*$D64*$C$13*INDEX(Assumptions!$B$44:$B$46,MATCH($C64,Assumptions!$A$44:$A$46,0))+IF(Q$45&gt;=$G64,INDEX(Assumptions!$C$44:$C$46,MATCH($C64,Assumptions!$A$44:$A$46,0)),0)+IF($C64="Assured",Q64*$D64*$C$13*$C$26*$C$27*$C$28,0)</f>
        <v>0</v>
      </c>
      <c r="R86" s="23" t="n">
        <f aca="false">R64*$D64*$C$13*INDEX(Assumptions!$B$44:$B$46,MATCH($C64,Assumptions!$A$44:$A$46,0))+IF(R$45&gt;=$G64,INDEX(Assumptions!$C$44:$C$46,MATCH($C64,Assumptions!$A$44:$A$46,0)),0)+IF($C64="Assured",R64*$D64*$C$13*$C$26*$C$27*$C$28,0)</f>
        <v>0</v>
      </c>
      <c r="S86" s="23" t="n">
        <f aca="false">S64*$D64*$C$13*INDEX(Assumptions!$B$44:$B$46,MATCH($C64,Assumptions!$A$44:$A$46,0))+IF(S$45&gt;=$G64,INDEX(Assumptions!$C$44:$C$46,MATCH($C64,Assumptions!$A$44:$A$46,0)),0)+IF($C64="Assured",S64*$D64*$C$13*$C$26*$C$27*$C$28,0)</f>
        <v>0</v>
      </c>
      <c r="T86" s="23" t="n">
        <f aca="false">T64*$D64*$C$13*INDEX(Assumptions!$B$44:$B$46,MATCH($C64,Assumptions!$A$44:$A$46,0))+IF(T$45&gt;=$G64,INDEX(Assumptions!$C$44:$C$46,MATCH($C64,Assumptions!$A$44:$A$46,0)),0)+IF($C64="Assured",T64*$D64*$C$13*$C$26*$C$27*$C$28,0)</f>
        <v>0</v>
      </c>
      <c r="U86" s="23" t="n">
        <f aca="false">U64*$D64*$C$13*INDEX(Assumptions!$B$44:$B$46,MATCH($C64,Assumptions!$A$44:$A$46,0))+IF(U$45&gt;=$G64,INDEX(Assumptions!$C$44:$C$46,MATCH($C64,Assumptions!$A$44:$A$46,0)),0)+IF($C64="Assured",U64*$D64*$C$13*$C$26*$C$27*$C$28,0)</f>
        <v>0</v>
      </c>
      <c r="V86" s="23" t="n">
        <f aca="false">V64*$D64*$C$13*INDEX(Assumptions!$B$44:$B$46,MATCH($C64,Assumptions!$A$44:$A$46,0))+IF(V$45&gt;=$G64,INDEX(Assumptions!$C$44:$C$46,MATCH($C64,Assumptions!$A$44:$A$46,0)),0)+IF($C64="Assured",V64*$D64*$C$13*$C$26*$C$27*$C$28,0)</f>
        <v>0</v>
      </c>
      <c r="W86" s="23" t="n">
        <f aca="false">W64*$D64*$C$13*INDEX(Assumptions!$B$44:$B$46,MATCH($C64,Assumptions!$A$44:$A$46,0))+IF(W$45&gt;=$G64,INDEX(Assumptions!$C$44:$C$46,MATCH($C64,Assumptions!$A$44:$A$46,0)),0)+IF($C64="Assured",W64*$D64*$C$13*$C$26*$C$27*$C$28,0)</f>
        <v>0</v>
      </c>
      <c r="X86" s="23" t="n">
        <f aca="false">X64*$D64*$C$13*INDEX(Assumptions!$B$44:$B$46,MATCH($C64,Assumptions!$A$44:$A$46,0))+IF(X$45&gt;=$G64,INDEX(Assumptions!$C$44:$C$46,MATCH($C64,Assumptions!$A$44:$A$46,0)),0)+IF($C64="Assured",X64*$D64*$C$13*$C$26*$C$27*$C$28,0)</f>
        <v>0</v>
      </c>
      <c r="Y86" s="23" t="n">
        <f aca="false">Y64*$D64*$C$13*INDEX(Assumptions!$B$44:$B$46,MATCH($C64,Assumptions!$A$44:$A$46,0))+IF(Y$45&gt;=$G64,INDEX(Assumptions!$C$44:$C$46,MATCH($C64,Assumptions!$A$44:$A$46,0)),0)+IF($C64="Assured",Y64*$D64*$C$13*$C$26*$C$27*$C$28,0)</f>
        <v>0</v>
      </c>
    </row>
    <row r="87" customFormat="false" ht="15" hidden="false" customHeight="false" outlineLevel="0" collapsed="false">
      <c r="A87" s="2" t="n">
        <f aca="false">A65</f>
        <v>18</v>
      </c>
      <c r="B87" s="2" t="str">
        <f aca="false">B65</f>
        <v>B</v>
      </c>
      <c r="C87" s="2" t="str">
        <f aca="false">C65</f>
        <v>Verified</v>
      </c>
      <c r="D87" s="2"/>
      <c r="E87" s="2"/>
      <c r="F87" s="2"/>
      <c r="G87" s="2"/>
      <c r="H87" s="23" t="n">
        <f aca="false">H65*$D65*$C$13*INDEX(Assumptions!$B$44:$B$46,MATCH($C65,Assumptions!$A$44:$A$46,0))+IF(H$45&gt;=$G65,INDEX(Assumptions!$C$44:$C$46,MATCH($C65,Assumptions!$A$44:$A$46,0)),0)+IF($C65="Assured",H65*$D65*$C$13*$C$26*$C$27*$C$28,0)</f>
        <v>0</v>
      </c>
      <c r="I87" s="23" t="n">
        <f aca="false">I65*$D65*$C$13*INDEX(Assumptions!$B$44:$B$46,MATCH($C65,Assumptions!$A$44:$A$46,0))+IF(I$45&gt;=$G65,INDEX(Assumptions!$C$44:$C$46,MATCH($C65,Assumptions!$A$44:$A$46,0)),0)+IF($C65="Assured",I65*$D65*$C$13*$C$26*$C$27*$C$28,0)</f>
        <v>0</v>
      </c>
      <c r="J87" s="23" t="n">
        <f aca="false">J65*$D65*$C$13*INDEX(Assumptions!$B$44:$B$46,MATCH($C65,Assumptions!$A$44:$A$46,0))+IF(J$45&gt;=$G65,INDEX(Assumptions!$C$44:$C$46,MATCH($C65,Assumptions!$A$44:$A$46,0)),0)+IF($C65="Assured",J65*$D65*$C$13*$C$26*$C$27*$C$28,0)</f>
        <v>0</v>
      </c>
      <c r="K87" s="23" t="n">
        <f aca="false">K65*$D65*$C$13*INDEX(Assumptions!$B$44:$B$46,MATCH($C65,Assumptions!$A$44:$A$46,0))+IF(K$45&gt;=$G65,INDEX(Assumptions!$C$44:$C$46,MATCH($C65,Assumptions!$A$44:$A$46,0)),0)+IF($C65="Assured",K65*$D65*$C$13*$C$26*$C$27*$C$28,0)</f>
        <v>0</v>
      </c>
      <c r="L87" s="23" t="n">
        <f aca="false">L65*$D65*$C$13*INDEX(Assumptions!$B$44:$B$46,MATCH($C65,Assumptions!$A$44:$A$46,0))+IF(L$45&gt;=$G65,INDEX(Assumptions!$C$44:$C$46,MATCH($C65,Assumptions!$A$44:$A$46,0)),0)+IF($C65="Assured",L65*$D65*$C$13*$C$26*$C$27*$C$28,0)</f>
        <v>0</v>
      </c>
      <c r="M87" s="23" t="n">
        <f aca="false">M65*$D65*$C$13*INDEX(Assumptions!$B$44:$B$46,MATCH($C65,Assumptions!$A$44:$A$46,0))+IF(M$45&gt;=$G65,INDEX(Assumptions!$C$44:$C$46,MATCH($C65,Assumptions!$A$44:$A$46,0)),0)+IF($C65="Assured",M65*$D65*$C$13*$C$26*$C$27*$C$28,0)</f>
        <v>0</v>
      </c>
      <c r="N87" s="23" t="n">
        <f aca="false">N65*$D65*$C$13*INDEX(Assumptions!$B$44:$B$46,MATCH($C65,Assumptions!$A$44:$A$46,0))+IF(N$45&gt;=$G65,INDEX(Assumptions!$C$44:$C$46,MATCH($C65,Assumptions!$A$44:$A$46,0)),0)+IF($C65="Assured",N65*$D65*$C$13*$C$26*$C$27*$C$28,0)</f>
        <v>0</v>
      </c>
      <c r="O87" s="23" t="n">
        <f aca="false">O65*$D65*$C$13*INDEX(Assumptions!$B$44:$B$46,MATCH($C65,Assumptions!$A$44:$A$46,0))+IF(O$45&gt;=$G65,INDEX(Assumptions!$C$44:$C$46,MATCH($C65,Assumptions!$A$44:$A$46,0)),0)+IF($C65="Assured",O65*$D65*$C$13*$C$26*$C$27*$C$28,0)</f>
        <v>0</v>
      </c>
      <c r="P87" s="23" t="n">
        <f aca="false">P65*$D65*$C$13*INDEX(Assumptions!$B$44:$B$46,MATCH($C65,Assumptions!$A$44:$A$46,0))+IF(P$45&gt;=$G65,INDEX(Assumptions!$C$44:$C$46,MATCH($C65,Assumptions!$A$44:$A$46,0)),0)+IF($C65="Assured",P65*$D65*$C$13*$C$26*$C$27*$C$28,0)</f>
        <v>0</v>
      </c>
      <c r="Q87" s="23" t="n">
        <f aca="false">Q65*$D65*$C$13*INDEX(Assumptions!$B$44:$B$46,MATCH($C65,Assumptions!$A$44:$A$46,0))+IF(Q$45&gt;=$G65,INDEX(Assumptions!$C$44:$C$46,MATCH($C65,Assumptions!$A$44:$A$46,0)),0)+IF($C65="Assured",Q65*$D65*$C$13*$C$26*$C$27*$C$28,0)</f>
        <v>0</v>
      </c>
      <c r="R87" s="23" t="n">
        <f aca="false">R65*$D65*$C$13*INDEX(Assumptions!$B$44:$B$46,MATCH($C65,Assumptions!$A$44:$A$46,0))+IF(R$45&gt;=$G65,INDEX(Assumptions!$C$44:$C$46,MATCH($C65,Assumptions!$A$44:$A$46,0)),0)+IF($C65="Assured",R65*$D65*$C$13*$C$26*$C$27*$C$28,0)</f>
        <v>0</v>
      </c>
      <c r="S87" s="23" t="n">
        <f aca="false">S65*$D65*$C$13*INDEX(Assumptions!$B$44:$B$46,MATCH($C65,Assumptions!$A$44:$A$46,0))+IF(S$45&gt;=$G65,INDEX(Assumptions!$C$44:$C$46,MATCH($C65,Assumptions!$A$44:$A$46,0)),0)+IF($C65="Assured",S65*$D65*$C$13*$C$26*$C$27*$C$28,0)</f>
        <v>0</v>
      </c>
      <c r="T87" s="23" t="n">
        <f aca="false">T65*$D65*$C$13*INDEX(Assumptions!$B$44:$B$46,MATCH($C65,Assumptions!$A$44:$A$46,0))+IF(T$45&gt;=$G65,INDEX(Assumptions!$C$44:$C$46,MATCH($C65,Assumptions!$A$44:$A$46,0)),0)+IF($C65="Assured",T65*$D65*$C$13*$C$26*$C$27*$C$28,0)</f>
        <v>0</v>
      </c>
      <c r="U87" s="23" t="n">
        <f aca="false">U65*$D65*$C$13*INDEX(Assumptions!$B$44:$B$46,MATCH($C65,Assumptions!$A$44:$A$46,0))+IF(U$45&gt;=$G65,INDEX(Assumptions!$C$44:$C$46,MATCH($C65,Assumptions!$A$44:$A$46,0)),0)+IF($C65="Assured",U65*$D65*$C$13*$C$26*$C$27*$C$28,0)</f>
        <v>0</v>
      </c>
      <c r="V87" s="23" t="n">
        <f aca="false">V65*$D65*$C$13*INDEX(Assumptions!$B$44:$B$46,MATCH($C65,Assumptions!$A$44:$A$46,0))+IF(V$45&gt;=$G65,INDEX(Assumptions!$C$44:$C$46,MATCH($C65,Assumptions!$A$44:$A$46,0)),0)+IF($C65="Assured",V65*$D65*$C$13*$C$26*$C$27*$C$28,0)</f>
        <v>0</v>
      </c>
      <c r="W87" s="23" t="n">
        <f aca="false">W65*$D65*$C$13*INDEX(Assumptions!$B$44:$B$46,MATCH($C65,Assumptions!$A$44:$A$46,0))+IF(W$45&gt;=$G65,INDEX(Assumptions!$C$44:$C$46,MATCH($C65,Assumptions!$A$44:$A$46,0)),0)+IF($C65="Assured",W65*$D65*$C$13*$C$26*$C$27*$C$28,0)</f>
        <v>0</v>
      </c>
      <c r="X87" s="23" t="n">
        <f aca="false">X65*$D65*$C$13*INDEX(Assumptions!$B$44:$B$46,MATCH($C65,Assumptions!$A$44:$A$46,0))+IF(X$45&gt;=$G65,INDEX(Assumptions!$C$44:$C$46,MATCH($C65,Assumptions!$A$44:$A$46,0)),0)+IF($C65="Assured",X65*$D65*$C$13*$C$26*$C$27*$C$28,0)</f>
        <v>0</v>
      </c>
      <c r="Y87" s="23" t="n">
        <f aca="false">Y65*$D65*$C$13*INDEX(Assumptions!$B$44:$B$46,MATCH($C65,Assumptions!$A$44:$A$46,0))+IF(Y$45&gt;=$G65,INDEX(Assumptions!$C$44:$C$46,MATCH($C65,Assumptions!$A$44:$A$46,0)),0)+IF($C65="Assured",Y65*$D65*$C$13*$C$26*$C$27*$C$28,0)</f>
        <v>0</v>
      </c>
    </row>
    <row r="88" customFormat="false" ht="15" hidden="false" customHeight="false" outlineLevel="0" collapsed="false">
      <c r="A88" s="2" t="n">
        <f aca="false">A66</f>
        <v>19</v>
      </c>
      <c r="B88" s="2" t="str">
        <f aca="false">B66</f>
        <v>B</v>
      </c>
      <c r="C88" s="2" t="str">
        <f aca="false">C66</f>
        <v>Verified</v>
      </c>
      <c r="D88" s="2"/>
      <c r="E88" s="2"/>
      <c r="F88" s="2"/>
      <c r="G88" s="2"/>
      <c r="H88" s="23" t="n">
        <f aca="false">H66*$D66*$C$13*INDEX(Assumptions!$B$44:$B$46,MATCH($C66,Assumptions!$A$44:$A$46,0))+IF(H$45&gt;=$G66,INDEX(Assumptions!$C$44:$C$46,MATCH($C66,Assumptions!$A$44:$A$46,0)),0)+IF($C66="Assured",H66*$D66*$C$13*$C$26*$C$27*$C$28,0)</f>
        <v>0</v>
      </c>
      <c r="I88" s="23" t="n">
        <f aca="false">I66*$D66*$C$13*INDEX(Assumptions!$B$44:$B$46,MATCH($C66,Assumptions!$A$44:$A$46,0))+IF(I$45&gt;=$G66,INDEX(Assumptions!$C$44:$C$46,MATCH($C66,Assumptions!$A$44:$A$46,0)),0)+IF($C66="Assured",I66*$D66*$C$13*$C$26*$C$27*$C$28,0)</f>
        <v>0</v>
      </c>
      <c r="J88" s="23" t="n">
        <f aca="false">J66*$D66*$C$13*INDEX(Assumptions!$B$44:$B$46,MATCH($C66,Assumptions!$A$44:$A$46,0))+IF(J$45&gt;=$G66,INDEX(Assumptions!$C$44:$C$46,MATCH($C66,Assumptions!$A$44:$A$46,0)),0)+IF($C66="Assured",J66*$D66*$C$13*$C$26*$C$27*$C$28,0)</f>
        <v>0</v>
      </c>
      <c r="K88" s="23" t="n">
        <f aca="false">K66*$D66*$C$13*INDEX(Assumptions!$B$44:$B$46,MATCH($C66,Assumptions!$A$44:$A$46,0))+IF(K$45&gt;=$G66,INDEX(Assumptions!$C$44:$C$46,MATCH($C66,Assumptions!$A$44:$A$46,0)),0)+IF($C66="Assured",K66*$D66*$C$13*$C$26*$C$27*$C$28,0)</f>
        <v>0</v>
      </c>
      <c r="L88" s="23" t="n">
        <f aca="false">L66*$D66*$C$13*INDEX(Assumptions!$B$44:$B$46,MATCH($C66,Assumptions!$A$44:$A$46,0))+IF(L$45&gt;=$G66,INDEX(Assumptions!$C$44:$C$46,MATCH($C66,Assumptions!$A$44:$A$46,0)),0)+IF($C66="Assured",L66*$D66*$C$13*$C$26*$C$27*$C$28,0)</f>
        <v>0</v>
      </c>
      <c r="M88" s="23" t="n">
        <f aca="false">M66*$D66*$C$13*INDEX(Assumptions!$B$44:$B$46,MATCH($C66,Assumptions!$A$44:$A$46,0))+IF(M$45&gt;=$G66,INDEX(Assumptions!$C$44:$C$46,MATCH($C66,Assumptions!$A$44:$A$46,0)),0)+IF($C66="Assured",M66*$D66*$C$13*$C$26*$C$27*$C$28,0)</f>
        <v>0</v>
      </c>
      <c r="N88" s="23" t="n">
        <f aca="false">N66*$D66*$C$13*INDEX(Assumptions!$B$44:$B$46,MATCH($C66,Assumptions!$A$44:$A$46,0))+IF(N$45&gt;=$G66,INDEX(Assumptions!$C$44:$C$46,MATCH($C66,Assumptions!$A$44:$A$46,0)),0)+IF($C66="Assured",N66*$D66*$C$13*$C$26*$C$27*$C$28,0)</f>
        <v>0</v>
      </c>
      <c r="O88" s="23" t="n">
        <f aca="false">O66*$D66*$C$13*INDEX(Assumptions!$B$44:$B$46,MATCH($C66,Assumptions!$A$44:$A$46,0))+IF(O$45&gt;=$G66,INDEX(Assumptions!$C$44:$C$46,MATCH($C66,Assumptions!$A$44:$A$46,0)),0)+IF($C66="Assured",O66*$D66*$C$13*$C$26*$C$27*$C$28,0)</f>
        <v>0</v>
      </c>
      <c r="P88" s="23" t="n">
        <f aca="false">P66*$D66*$C$13*INDEX(Assumptions!$B$44:$B$46,MATCH($C66,Assumptions!$A$44:$A$46,0))+IF(P$45&gt;=$G66,INDEX(Assumptions!$C$44:$C$46,MATCH($C66,Assumptions!$A$44:$A$46,0)),0)+IF($C66="Assured",P66*$D66*$C$13*$C$26*$C$27*$C$28,0)</f>
        <v>0</v>
      </c>
      <c r="Q88" s="23" t="n">
        <f aca="false">Q66*$D66*$C$13*INDEX(Assumptions!$B$44:$B$46,MATCH($C66,Assumptions!$A$44:$A$46,0))+IF(Q$45&gt;=$G66,INDEX(Assumptions!$C$44:$C$46,MATCH($C66,Assumptions!$A$44:$A$46,0)),0)+IF($C66="Assured",Q66*$D66*$C$13*$C$26*$C$27*$C$28,0)</f>
        <v>0</v>
      </c>
      <c r="R88" s="23" t="n">
        <f aca="false">R66*$D66*$C$13*INDEX(Assumptions!$B$44:$B$46,MATCH($C66,Assumptions!$A$44:$A$46,0))+IF(R$45&gt;=$G66,INDEX(Assumptions!$C$44:$C$46,MATCH($C66,Assumptions!$A$44:$A$46,0)),0)+IF($C66="Assured",R66*$D66*$C$13*$C$26*$C$27*$C$28,0)</f>
        <v>0</v>
      </c>
      <c r="S88" s="23" t="n">
        <f aca="false">S66*$D66*$C$13*INDEX(Assumptions!$B$44:$B$46,MATCH($C66,Assumptions!$A$44:$A$46,0))+IF(S$45&gt;=$G66,INDEX(Assumptions!$C$44:$C$46,MATCH($C66,Assumptions!$A$44:$A$46,0)),0)+IF($C66="Assured",S66*$D66*$C$13*$C$26*$C$27*$C$28,0)</f>
        <v>0</v>
      </c>
      <c r="T88" s="23" t="n">
        <f aca="false">T66*$D66*$C$13*INDEX(Assumptions!$B$44:$B$46,MATCH($C66,Assumptions!$A$44:$A$46,0))+IF(T$45&gt;=$G66,INDEX(Assumptions!$C$44:$C$46,MATCH($C66,Assumptions!$A$44:$A$46,0)),0)+IF($C66="Assured",T66*$D66*$C$13*$C$26*$C$27*$C$28,0)</f>
        <v>0</v>
      </c>
      <c r="U88" s="23" t="n">
        <f aca="false">U66*$D66*$C$13*INDEX(Assumptions!$B$44:$B$46,MATCH($C66,Assumptions!$A$44:$A$46,0))+IF(U$45&gt;=$G66,INDEX(Assumptions!$C$44:$C$46,MATCH($C66,Assumptions!$A$44:$A$46,0)),0)+IF($C66="Assured",U66*$D66*$C$13*$C$26*$C$27*$C$28,0)</f>
        <v>0</v>
      </c>
      <c r="V88" s="23" t="n">
        <f aca="false">V66*$D66*$C$13*INDEX(Assumptions!$B$44:$B$46,MATCH($C66,Assumptions!$A$44:$A$46,0))+IF(V$45&gt;=$G66,INDEX(Assumptions!$C$44:$C$46,MATCH($C66,Assumptions!$A$44:$A$46,0)),0)+IF($C66="Assured",V66*$D66*$C$13*$C$26*$C$27*$C$28,0)</f>
        <v>0</v>
      </c>
      <c r="W88" s="23" t="n">
        <f aca="false">W66*$D66*$C$13*INDEX(Assumptions!$B$44:$B$46,MATCH($C66,Assumptions!$A$44:$A$46,0))+IF(W$45&gt;=$G66,INDEX(Assumptions!$C$44:$C$46,MATCH($C66,Assumptions!$A$44:$A$46,0)),0)+IF($C66="Assured",W66*$D66*$C$13*$C$26*$C$27*$C$28,0)</f>
        <v>0</v>
      </c>
      <c r="X88" s="23" t="n">
        <f aca="false">X66*$D66*$C$13*INDEX(Assumptions!$B$44:$B$46,MATCH($C66,Assumptions!$A$44:$A$46,0))+IF(X$45&gt;=$G66,INDEX(Assumptions!$C$44:$C$46,MATCH($C66,Assumptions!$A$44:$A$46,0)),0)+IF($C66="Assured",X66*$D66*$C$13*$C$26*$C$27*$C$28,0)</f>
        <v>0</v>
      </c>
      <c r="Y88" s="23" t="n">
        <f aca="false">Y66*$D66*$C$13*INDEX(Assumptions!$B$44:$B$46,MATCH($C66,Assumptions!$A$44:$A$46,0))+IF(Y$45&gt;=$G66,INDEX(Assumptions!$C$44:$C$46,MATCH($C66,Assumptions!$A$44:$A$46,0)),0)+IF($C66="Assured",Y66*$D66*$C$13*$C$26*$C$27*$C$28,0)</f>
        <v>0</v>
      </c>
    </row>
    <row r="89" customFormat="false" ht="15" hidden="false" customHeight="false" outlineLevel="0" collapsed="false">
      <c r="A89" s="2" t="n">
        <f aca="false">A67</f>
        <v>20</v>
      </c>
      <c r="B89" s="2" t="str">
        <f aca="false">B67</f>
        <v>B</v>
      </c>
      <c r="C89" s="2" t="str">
        <f aca="false">C67</f>
        <v>Verified</v>
      </c>
      <c r="D89" s="2"/>
      <c r="E89" s="2"/>
      <c r="F89" s="2"/>
      <c r="G89" s="2"/>
      <c r="H89" s="23" t="n">
        <f aca="false">H67*$D67*$C$13*INDEX(Assumptions!$B$44:$B$46,MATCH($C67,Assumptions!$A$44:$A$46,0))+IF(H$45&gt;=$G67,INDEX(Assumptions!$C$44:$C$46,MATCH($C67,Assumptions!$A$44:$A$46,0)),0)+IF($C67="Assured",H67*$D67*$C$13*$C$26*$C$27*$C$28,0)</f>
        <v>0</v>
      </c>
      <c r="I89" s="23" t="n">
        <f aca="false">I67*$D67*$C$13*INDEX(Assumptions!$B$44:$B$46,MATCH($C67,Assumptions!$A$44:$A$46,0))+IF(I$45&gt;=$G67,INDEX(Assumptions!$C$44:$C$46,MATCH($C67,Assumptions!$A$44:$A$46,0)),0)+IF($C67="Assured",I67*$D67*$C$13*$C$26*$C$27*$C$28,0)</f>
        <v>0</v>
      </c>
      <c r="J89" s="23" t="n">
        <f aca="false">J67*$D67*$C$13*INDEX(Assumptions!$B$44:$B$46,MATCH($C67,Assumptions!$A$44:$A$46,0))+IF(J$45&gt;=$G67,INDEX(Assumptions!$C$44:$C$46,MATCH($C67,Assumptions!$A$44:$A$46,0)),0)+IF($C67="Assured",J67*$D67*$C$13*$C$26*$C$27*$C$28,0)</f>
        <v>0</v>
      </c>
      <c r="K89" s="23" t="n">
        <f aca="false">K67*$D67*$C$13*INDEX(Assumptions!$B$44:$B$46,MATCH($C67,Assumptions!$A$44:$A$46,0))+IF(K$45&gt;=$G67,INDEX(Assumptions!$C$44:$C$46,MATCH($C67,Assumptions!$A$44:$A$46,0)),0)+IF($C67="Assured",K67*$D67*$C$13*$C$26*$C$27*$C$28,0)</f>
        <v>0</v>
      </c>
      <c r="L89" s="23" t="n">
        <f aca="false">L67*$D67*$C$13*INDEX(Assumptions!$B$44:$B$46,MATCH($C67,Assumptions!$A$44:$A$46,0))+IF(L$45&gt;=$G67,INDEX(Assumptions!$C$44:$C$46,MATCH($C67,Assumptions!$A$44:$A$46,0)),0)+IF($C67="Assured",L67*$D67*$C$13*$C$26*$C$27*$C$28,0)</f>
        <v>0</v>
      </c>
      <c r="M89" s="23" t="n">
        <f aca="false">M67*$D67*$C$13*INDEX(Assumptions!$B$44:$B$46,MATCH($C67,Assumptions!$A$44:$A$46,0))+IF(M$45&gt;=$G67,INDEX(Assumptions!$C$44:$C$46,MATCH($C67,Assumptions!$A$44:$A$46,0)),0)+IF($C67="Assured",M67*$D67*$C$13*$C$26*$C$27*$C$28,0)</f>
        <v>0</v>
      </c>
      <c r="N89" s="23" t="n">
        <f aca="false">N67*$D67*$C$13*INDEX(Assumptions!$B$44:$B$46,MATCH($C67,Assumptions!$A$44:$A$46,0))+IF(N$45&gt;=$G67,INDEX(Assumptions!$C$44:$C$46,MATCH($C67,Assumptions!$A$44:$A$46,0)),0)+IF($C67="Assured",N67*$D67*$C$13*$C$26*$C$27*$C$28,0)</f>
        <v>0</v>
      </c>
      <c r="O89" s="23" t="n">
        <f aca="false">O67*$D67*$C$13*INDEX(Assumptions!$B$44:$B$46,MATCH($C67,Assumptions!$A$44:$A$46,0))+IF(O$45&gt;=$G67,INDEX(Assumptions!$C$44:$C$46,MATCH($C67,Assumptions!$A$44:$A$46,0)),0)+IF($C67="Assured",O67*$D67*$C$13*$C$26*$C$27*$C$28,0)</f>
        <v>0</v>
      </c>
      <c r="P89" s="23" t="n">
        <f aca="false">P67*$D67*$C$13*INDEX(Assumptions!$B$44:$B$46,MATCH($C67,Assumptions!$A$44:$A$46,0))+IF(P$45&gt;=$G67,INDEX(Assumptions!$C$44:$C$46,MATCH($C67,Assumptions!$A$44:$A$46,0)),0)+IF($C67="Assured",P67*$D67*$C$13*$C$26*$C$27*$C$28,0)</f>
        <v>0</v>
      </c>
      <c r="Q89" s="23" t="n">
        <f aca="false">Q67*$D67*$C$13*INDEX(Assumptions!$B$44:$B$46,MATCH($C67,Assumptions!$A$44:$A$46,0))+IF(Q$45&gt;=$G67,INDEX(Assumptions!$C$44:$C$46,MATCH($C67,Assumptions!$A$44:$A$46,0)),0)+IF($C67="Assured",Q67*$D67*$C$13*$C$26*$C$27*$C$28,0)</f>
        <v>0</v>
      </c>
      <c r="R89" s="23" t="n">
        <f aca="false">R67*$D67*$C$13*INDEX(Assumptions!$B$44:$B$46,MATCH($C67,Assumptions!$A$44:$A$46,0))+IF(R$45&gt;=$G67,INDEX(Assumptions!$C$44:$C$46,MATCH($C67,Assumptions!$A$44:$A$46,0)),0)+IF($C67="Assured",R67*$D67*$C$13*$C$26*$C$27*$C$28,0)</f>
        <v>0</v>
      </c>
      <c r="S89" s="23" t="n">
        <f aca="false">S67*$D67*$C$13*INDEX(Assumptions!$B$44:$B$46,MATCH($C67,Assumptions!$A$44:$A$46,0))+IF(S$45&gt;=$G67,INDEX(Assumptions!$C$44:$C$46,MATCH($C67,Assumptions!$A$44:$A$46,0)),0)+IF($C67="Assured",S67*$D67*$C$13*$C$26*$C$27*$C$28,0)</f>
        <v>0</v>
      </c>
      <c r="T89" s="23" t="n">
        <f aca="false">T67*$D67*$C$13*INDEX(Assumptions!$B$44:$B$46,MATCH($C67,Assumptions!$A$44:$A$46,0))+IF(T$45&gt;=$G67,INDEX(Assumptions!$C$44:$C$46,MATCH($C67,Assumptions!$A$44:$A$46,0)),0)+IF($C67="Assured",T67*$D67*$C$13*$C$26*$C$27*$C$28,0)</f>
        <v>0</v>
      </c>
      <c r="U89" s="23" t="n">
        <f aca="false">U67*$D67*$C$13*INDEX(Assumptions!$B$44:$B$46,MATCH($C67,Assumptions!$A$44:$A$46,0))+IF(U$45&gt;=$G67,INDEX(Assumptions!$C$44:$C$46,MATCH($C67,Assumptions!$A$44:$A$46,0)),0)+IF($C67="Assured",U67*$D67*$C$13*$C$26*$C$27*$C$28,0)</f>
        <v>0</v>
      </c>
      <c r="V89" s="23" t="n">
        <f aca="false">V67*$D67*$C$13*INDEX(Assumptions!$B$44:$B$46,MATCH($C67,Assumptions!$A$44:$A$46,0))+IF(V$45&gt;=$G67,INDEX(Assumptions!$C$44:$C$46,MATCH($C67,Assumptions!$A$44:$A$46,0)),0)+IF($C67="Assured",V67*$D67*$C$13*$C$26*$C$27*$C$28,0)</f>
        <v>0</v>
      </c>
      <c r="W89" s="23" t="n">
        <f aca="false">W67*$D67*$C$13*INDEX(Assumptions!$B$44:$B$46,MATCH($C67,Assumptions!$A$44:$A$46,0))+IF(W$45&gt;=$G67,INDEX(Assumptions!$C$44:$C$46,MATCH($C67,Assumptions!$A$44:$A$46,0)),0)+IF($C67="Assured",W67*$D67*$C$13*$C$26*$C$27*$C$28,0)</f>
        <v>0</v>
      </c>
      <c r="X89" s="23" t="n">
        <f aca="false">X67*$D67*$C$13*INDEX(Assumptions!$B$44:$B$46,MATCH($C67,Assumptions!$A$44:$A$46,0))+IF(X$45&gt;=$G67,INDEX(Assumptions!$C$44:$C$46,MATCH($C67,Assumptions!$A$44:$A$46,0)),0)+IF($C67="Assured",X67*$D67*$C$13*$C$26*$C$27*$C$28,0)</f>
        <v>0</v>
      </c>
      <c r="Y89" s="23" t="n">
        <f aca="false">Y67*$D67*$C$13*INDEX(Assumptions!$B$44:$B$46,MATCH($C67,Assumptions!$A$44:$A$46,0))+IF(Y$45&gt;=$G67,INDEX(Assumptions!$C$44:$C$46,MATCH($C67,Assumptions!$A$44:$A$46,0)),0)+IF($C67="Assured",Y67*$D67*$C$13*$C$26*$C$27*$C$28,0)</f>
        <v>0</v>
      </c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" hidden="false" customHeight="false" outlineLevel="0" collapsed="false">
      <c r="A91" s="37" t="s">
        <v>200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customFormat="false" ht="15" hidden="false" customHeight="false" outlineLevel="0" collapsed="false">
      <c r="A92" s="2" t="n">
        <f aca="false">A48</f>
        <v>1</v>
      </c>
      <c r="B92" s="2" t="str">
        <f aca="false">B48</f>
        <v>Pilot</v>
      </c>
      <c r="C92" s="2" t="str">
        <f aca="false">C48</f>
        <v>Assured</v>
      </c>
      <c r="D92" s="2"/>
      <c r="E92" s="2"/>
      <c r="F92" s="2"/>
      <c r="G92" s="2"/>
      <c r="H92" s="23" t="n">
        <f aca="false">H48*IF(AND($C48="Assured",H$45&gt;=$C$25),$C$24,INDEX(Assumptions!$D$44:$D$46,MATCH($C48,Assumptions!$A$44:$A$46,0)))</f>
        <v>22443.75</v>
      </c>
      <c r="I92" s="23" t="n">
        <f aca="false">I48*IF(AND($C48="Assured",I$45&gt;=$C$25),$C$24,INDEX(Assumptions!$D$44:$D$46,MATCH($C48,Assumptions!$A$44:$A$46,0)))</f>
        <v>23512.5</v>
      </c>
      <c r="J92" s="23" t="n">
        <f aca="false">J48*IF(AND($C48="Assured",J$45&gt;=$C$25),$C$24,INDEX(Assumptions!$D$44:$D$46,MATCH($C48,Assumptions!$A$44:$A$46,0)))</f>
        <v>24581.25</v>
      </c>
      <c r="K92" s="23" t="n">
        <f aca="false">K48*IF(AND($C48="Assured",K$45&gt;=$C$25),$C$24,INDEX(Assumptions!$D$44:$D$46,MATCH($C48,Assumptions!$A$44:$A$46,0)))</f>
        <v>25650</v>
      </c>
      <c r="L92" s="23" t="n">
        <f aca="false">L48*IF(AND($C48="Assured",L$45&gt;=$C$25),$C$24,INDEX(Assumptions!$D$44:$D$46,MATCH($C48,Assumptions!$A$44:$A$46,0)))</f>
        <v>25650</v>
      </c>
      <c r="M92" s="23" t="n">
        <f aca="false">M48*IF(AND($C48="Assured",M$45&gt;=$C$25),$C$24,INDEX(Assumptions!$D$44:$D$46,MATCH($C48,Assumptions!$A$44:$A$46,0)))</f>
        <v>25650</v>
      </c>
      <c r="N92" s="23" t="n">
        <f aca="false">N48*IF(AND($C48="Assured",N$45&gt;=$C$25),$C$24,INDEX(Assumptions!$D$44:$D$46,MATCH($C48,Assumptions!$A$44:$A$46,0)))</f>
        <v>25650</v>
      </c>
      <c r="O92" s="23" t="n">
        <f aca="false">O48*IF(AND($C48="Assured",O$45&gt;=$C$25),$C$24,INDEX(Assumptions!$D$44:$D$46,MATCH($C48,Assumptions!$A$44:$A$46,0)))</f>
        <v>25650</v>
      </c>
      <c r="P92" s="23" t="n">
        <f aca="false">P48*IF(AND($C48="Assured",P$45&gt;=$C$25),$C$24,INDEX(Assumptions!$D$44:$D$46,MATCH($C48,Assumptions!$A$44:$A$46,0)))</f>
        <v>25650</v>
      </c>
      <c r="Q92" s="23" t="n">
        <f aca="false">Q48*IF(AND($C48="Assured",Q$45&gt;=$C$25),$C$24,INDEX(Assumptions!$D$44:$D$46,MATCH($C48,Assumptions!$A$44:$A$46,0)))</f>
        <v>22800</v>
      </c>
      <c r="R92" s="23" t="n">
        <f aca="false">R48*IF(AND($C48="Assured",R$45&gt;=$C$25),$C$24,INDEX(Assumptions!$D$44:$D$46,MATCH($C48,Assumptions!$A$44:$A$46,0)))</f>
        <v>22800</v>
      </c>
      <c r="S92" s="23" t="n">
        <f aca="false">S48*IF(AND($C48="Assured",S$45&gt;=$C$25),$C$24,INDEX(Assumptions!$D$44:$D$46,MATCH($C48,Assumptions!$A$44:$A$46,0)))</f>
        <v>22800</v>
      </c>
      <c r="T92" s="23" t="n">
        <f aca="false">T48*IF(AND($C48="Assured",T$45&gt;=$C$25),$C$24,INDEX(Assumptions!$D$44:$D$46,MATCH($C48,Assumptions!$A$44:$A$46,0)))</f>
        <v>22800</v>
      </c>
      <c r="U92" s="23" t="n">
        <f aca="false">U48*IF(AND($C48="Assured",U$45&gt;=$C$25),$C$24,INDEX(Assumptions!$D$44:$D$46,MATCH($C48,Assumptions!$A$44:$A$46,0)))</f>
        <v>22800</v>
      </c>
      <c r="V92" s="23" t="n">
        <f aca="false">V48*IF(AND($C48="Assured",V$45&gt;=$C$25),$C$24,INDEX(Assumptions!$D$44:$D$46,MATCH($C48,Assumptions!$A$44:$A$46,0)))</f>
        <v>22800</v>
      </c>
      <c r="W92" s="23" t="n">
        <f aca="false">W48*IF(AND($C48="Assured",W$45&gt;=$C$25),$C$24,INDEX(Assumptions!$D$44:$D$46,MATCH($C48,Assumptions!$A$44:$A$46,0)))</f>
        <v>22800</v>
      </c>
      <c r="X92" s="23" t="n">
        <f aca="false">X48*IF(AND($C48="Assured",X$45&gt;=$C$25),$C$24,INDEX(Assumptions!$D$44:$D$46,MATCH($C48,Assumptions!$A$44:$A$46,0)))</f>
        <v>22800</v>
      </c>
      <c r="Y92" s="23" t="n">
        <f aca="false">Y48*IF(AND($C48="Assured",Y$45&gt;=$C$25),$C$24,INDEX(Assumptions!$D$44:$D$46,MATCH($C48,Assumptions!$A$44:$A$46,0)))</f>
        <v>22800</v>
      </c>
    </row>
    <row r="93" customFormat="false" ht="15" hidden="false" customHeight="false" outlineLevel="0" collapsed="false">
      <c r="A93" s="2" t="n">
        <f aca="false">A49</f>
        <v>2</v>
      </c>
      <c r="B93" s="2" t="str">
        <f aca="false">B49</f>
        <v>Pilot</v>
      </c>
      <c r="C93" s="2" t="str">
        <f aca="false">C49</f>
        <v>Assured</v>
      </c>
      <c r="D93" s="2"/>
      <c r="E93" s="2"/>
      <c r="F93" s="2"/>
      <c r="G93" s="2"/>
      <c r="H93" s="23" t="n">
        <f aca="false">H49*IF(AND($C49="Assured",H$45&gt;=$C$25),$C$24,INDEX(Assumptions!$D$44:$D$46,MATCH($C49,Assumptions!$A$44:$A$46,0)))</f>
        <v>22443.75</v>
      </c>
      <c r="I93" s="23" t="n">
        <f aca="false">I49*IF(AND($C49="Assured",I$45&gt;=$C$25),$C$24,INDEX(Assumptions!$D$44:$D$46,MATCH($C49,Assumptions!$A$44:$A$46,0)))</f>
        <v>23512.5</v>
      </c>
      <c r="J93" s="23" t="n">
        <f aca="false">J49*IF(AND($C49="Assured",J$45&gt;=$C$25),$C$24,INDEX(Assumptions!$D$44:$D$46,MATCH($C49,Assumptions!$A$44:$A$46,0)))</f>
        <v>24581.25</v>
      </c>
      <c r="K93" s="23" t="n">
        <f aca="false">K49*IF(AND($C49="Assured",K$45&gt;=$C$25),$C$24,INDEX(Assumptions!$D$44:$D$46,MATCH($C49,Assumptions!$A$44:$A$46,0)))</f>
        <v>25650</v>
      </c>
      <c r="L93" s="23" t="n">
        <f aca="false">L49*IF(AND($C49="Assured",L$45&gt;=$C$25),$C$24,INDEX(Assumptions!$D$44:$D$46,MATCH($C49,Assumptions!$A$44:$A$46,0)))</f>
        <v>25650</v>
      </c>
      <c r="M93" s="23" t="n">
        <f aca="false">M49*IF(AND($C49="Assured",M$45&gt;=$C$25),$C$24,INDEX(Assumptions!$D$44:$D$46,MATCH($C49,Assumptions!$A$44:$A$46,0)))</f>
        <v>25650</v>
      </c>
      <c r="N93" s="23" t="n">
        <f aca="false">N49*IF(AND($C49="Assured",N$45&gt;=$C$25),$C$24,INDEX(Assumptions!$D$44:$D$46,MATCH($C49,Assumptions!$A$44:$A$46,0)))</f>
        <v>25650</v>
      </c>
      <c r="O93" s="23" t="n">
        <f aca="false">O49*IF(AND($C49="Assured",O$45&gt;=$C$25),$C$24,INDEX(Assumptions!$D$44:$D$46,MATCH($C49,Assumptions!$A$44:$A$46,0)))</f>
        <v>25650</v>
      </c>
      <c r="P93" s="23" t="n">
        <f aca="false">P49*IF(AND($C49="Assured",P$45&gt;=$C$25),$C$24,INDEX(Assumptions!$D$44:$D$46,MATCH($C49,Assumptions!$A$44:$A$46,0)))</f>
        <v>25650</v>
      </c>
      <c r="Q93" s="23" t="n">
        <f aca="false">Q49*IF(AND($C49="Assured",Q$45&gt;=$C$25),$C$24,INDEX(Assumptions!$D$44:$D$46,MATCH($C49,Assumptions!$A$44:$A$46,0)))</f>
        <v>22800</v>
      </c>
      <c r="R93" s="23" t="n">
        <f aca="false">R49*IF(AND($C49="Assured",R$45&gt;=$C$25),$C$24,INDEX(Assumptions!$D$44:$D$46,MATCH($C49,Assumptions!$A$44:$A$46,0)))</f>
        <v>22800</v>
      </c>
      <c r="S93" s="23" t="n">
        <f aca="false">S49*IF(AND($C49="Assured",S$45&gt;=$C$25),$C$24,INDEX(Assumptions!$D$44:$D$46,MATCH($C49,Assumptions!$A$44:$A$46,0)))</f>
        <v>22800</v>
      </c>
      <c r="T93" s="23" t="n">
        <f aca="false">T49*IF(AND($C49="Assured",T$45&gt;=$C$25),$C$24,INDEX(Assumptions!$D$44:$D$46,MATCH($C49,Assumptions!$A$44:$A$46,0)))</f>
        <v>22800</v>
      </c>
      <c r="U93" s="23" t="n">
        <f aca="false">U49*IF(AND($C49="Assured",U$45&gt;=$C$25),$C$24,INDEX(Assumptions!$D$44:$D$46,MATCH($C49,Assumptions!$A$44:$A$46,0)))</f>
        <v>22800</v>
      </c>
      <c r="V93" s="23" t="n">
        <f aca="false">V49*IF(AND($C49="Assured",V$45&gt;=$C$25),$C$24,INDEX(Assumptions!$D$44:$D$46,MATCH($C49,Assumptions!$A$44:$A$46,0)))</f>
        <v>22800</v>
      </c>
      <c r="W93" s="23" t="n">
        <f aca="false">W49*IF(AND($C49="Assured",W$45&gt;=$C$25),$C$24,INDEX(Assumptions!$D$44:$D$46,MATCH($C49,Assumptions!$A$44:$A$46,0)))</f>
        <v>22800</v>
      </c>
      <c r="X93" s="23" t="n">
        <f aca="false">X49*IF(AND($C49="Assured",X$45&gt;=$C$25),$C$24,INDEX(Assumptions!$D$44:$D$46,MATCH($C49,Assumptions!$A$44:$A$46,0)))</f>
        <v>22800</v>
      </c>
      <c r="Y93" s="23" t="n">
        <f aca="false">Y49*IF(AND($C49="Assured",Y$45&gt;=$C$25),$C$24,INDEX(Assumptions!$D$44:$D$46,MATCH($C49,Assumptions!$A$44:$A$46,0)))</f>
        <v>22800</v>
      </c>
    </row>
    <row r="94" customFormat="false" ht="15" hidden="false" customHeight="false" outlineLevel="0" collapsed="false">
      <c r="A94" s="2" t="n">
        <f aca="false">A50</f>
        <v>3</v>
      </c>
      <c r="B94" s="2" t="str">
        <f aca="false">B50</f>
        <v>Pilot</v>
      </c>
      <c r="C94" s="2" t="str">
        <f aca="false">C50</f>
        <v>Assured</v>
      </c>
      <c r="D94" s="2"/>
      <c r="E94" s="2"/>
      <c r="F94" s="2"/>
      <c r="G94" s="2"/>
      <c r="H94" s="23" t="n">
        <f aca="false">H50*IF(AND($C50="Assured",H$45&gt;=$C$25),$C$24,INDEX(Assumptions!$D$44:$D$46,MATCH($C50,Assumptions!$A$44:$A$46,0)))</f>
        <v>22443.75</v>
      </c>
      <c r="I94" s="23" t="n">
        <f aca="false">I50*IF(AND($C50="Assured",I$45&gt;=$C$25),$C$24,INDEX(Assumptions!$D$44:$D$46,MATCH($C50,Assumptions!$A$44:$A$46,0)))</f>
        <v>23512.5</v>
      </c>
      <c r="J94" s="23" t="n">
        <f aca="false">J50*IF(AND($C50="Assured",J$45&gt;=$C$25),$C$24,INDEX(Assumptions!$D$44:$D$46,MATCH($C50,Assumptions!$A$44:$A$46,0)))</f>
        <v>24581.25</v>
      </c>
      <c r="K94" s="23" t="n">
        <f aca="false">K50*IF(AND($C50="Assured",K$45&gt;=$C$25),$C$24,INDEX(Assumptions!$D$44:$D$46,MATCH($C50,Assumptions!$A$44:$A$46,0)))</f>
        <v>25650</v>
      </c>
      <c r="L94" s="23" t="n">
        <f aca="false">L50*IF(AND($C50="Assured",L$45&gt;=$C$25),$C$24,INDEX(Assumptions!$D$44:$D$46,MATCH($C50,Assumptions!$A$44:$A$46,0)))</f>
        <v>25650</v>
      </c>
      <c r="M94" s="23" t="n">
        <f aca="false">M50*IF(AND($C50="Assured",M$45&gt;=$C$25),$C$24,INDEX(Assumptions!$D$44:$D$46,MATCH($C50,Assumptions!$A$44:$A$46,0)))</f>
        <v>25650</v>
      </c>
      <c r="N94" s="23" t="n">
        <f aca="false">N50*IF(AND($C50="Assured",N$45&gt;=$C$25),$C$24,INDEX(Assumptions!$D$44:$D$46,MATCH($C50,Assumptions!$A$44:$A$46,0)))</f>
        <v>25650</v>
      </c>
      <c r="O94" s="23" t="n">
        <f aca="false">O50*IF(AND($C50="Assured",O$45&gt;=$C$25),$C$24,INDEX(Assumptions!$D$44:$D$46,MATCH($C50,Assumptions!$A$44:$A$46,0)))</f>
        <v>25650</v>
      </c>
      <c r="P94" s="23" t="n">
        <f aca="false">P50*IF(AND($C50="Assured",P$45&gt;=$C$25),$C$24,INDEX(Assumptions!$D$44:$D$46,MATCH($C50,Assumptions!$A$44:$A$46,0)))</f>
        <v>25650</v>
      </c>
      <c r="Q94" s="23" t="n">
        <f aca="false">Q50*IF(AND($C50="Assured",Q$45&gt;=$C$25),$C$24,INDEX(Assumptions!$D$44:$D$46,MATCH($C50,Assumptions!$A$44:$A$46,0)))</f>
        <v>22800</v>
      </c>
      <c r="R94" s="23" t="n">
        <f aca="false">R50*IF(AND($C50="Assured",R$45&gt;=$C$25),$C$24,INDEX(Assumptions!$D$44:$D$46,MATCH($C50,Assumptions!$A$44:$A$46,0)))</f>
        <v>22800</v>
      </c>
      <c r="S94" s="23" t="n">
        <f aca="false">S50*IF(AND($C50="Assured",S$45&gt;=$C$25),$C$24,INDEX(Assumptions!$D$44:$D$46,MATCH($C50,Assumptions!$A$44:$A$46,0)))</f>
        <v>22800</v>
      </c>
      <c r="T94" s="23" t="n">
        <f aca="false">T50*IF(AND($C50="Assured",T$45&gt;=$C$25),$C$24,INDEX(Assumptions!$D$44:$D$46,MATCH($C50,Assumptions!$A$44:$A$46,0)))</f>
        <v>22800</v>
      </c>
      <c r="U94" s="23" t="n">
        <f aca="false">U50*IF(AND($C50="Assured",U$45&gt;=$C$25),$C$24,INDEX(Assumptions!$D$44:$D$46,MATCH($C50,Assumptions!$A$44:$A$46,0)))</f>
        <v>22800</v>
      </c>
      <c r="V94" s="23" t="n">
        <f aca="false">V50*IF(AND($C50="Assured",V$45&gt;=$C$25),$C$24,INDEX(Assumptions!$D$44:$D$46,MATCH($C50,Assumptions!$A$44:$A$46,0)))</f>
        <v>22800</v>
      </c>
      <c r="W94" s="23" t="n">
        <f aca="false">W50*IF(AND($C50="Assured",W$45&gt;=$C$25),$C$24,INDEX(Assumptions!$D$44:$D$46,MATCH($C50,Assumptions!$A$44:$A$46,0)))</f>
        <v>22800</v>
      </c>
      <c r="X94" s="23" t="n">
        <f aca="false">X50*IF(AND($C50="Assured",X$45&gt;=$C$25),$C$24,INDEX(Assumptions!$D$44:$D$46,MATCH($C50,Assumptions!$A$44:$A$46,0)))</f>
        <v>22800</v>
      </c>
      <c r="Y94" s="23" t="n">
        <f aca="false">Y50*IF(AND($C50="Assured",Y$45&gt;=$C$25),$C$24,INDEX(Assumptions!$D$44:$D$46,MATCH($C50,Assumptions!$A$44:$A$46,0)))</f>
        <v>22800</v>
      </c>
    </row>
    <row r="95" customFormat="false" ht="15" hidden="false" customHeight="false" outlineLevel="0" collapsed="false">
      <c r="A95" s="2" t="n">
        <f aca="false">A51</f>
        <v>4</v>
      </c>
      <c r="B95" s="2" t="str">
        <f aca="false">B51</f>
        <v>Pilot</v>
      </c>
      <c r="C95" s="2" t="str">
        <f aca="false">C51</f>
        <v>Assured</v>
      </c>
      <c r="D95" s="2"/>
      <c r="E95" s="2"/>
      <c r="F95" s="2"/>
      <c r="G95" s="2"/>
      <c r="H95" s="23" t="n">
        <f aca="false">H51*IF(AND($C51="Assured",H$45&gt;=$C$25),$C$24,INDEX(Assumptions!$D$44:$D$46,MATCH($C51,Assumptions!$A$44:$A$46,0)))</f>
        <v>22443.75</v>
      </c>
      <c r="I95" s="23" t="n">
        <f aca="false">I51*IF(AND($C51="Assured",I$45&gt;=$C$25),$C$24,INDEX(Assumptions!$D$44:$D$46,MATCH($C51,Assumptions!$A$44:$A$46,0)))</f>
        <v>23512.5</v>
      </c>
      <c r="J95" s="23" t="n">
        <f aca="false">J51*IF(AND($C51="Assured",J$45&gt;=$C$25),$C$24,INDEX(Assumptions!$D$44:$D$46,MATCH($C51,Assumptions!$A$44:$A$46,0)))</f>
        <v>24581.25</v>
      </c>
      <c r="K95" s="23" t="n">
        <f aca="false">K51*IF(AND($C51="Assured",K$45&gt;=$C$25),$C$24,INDEX(Assumptions!$D$44:$D$46,MATCH($C51,Assumptions!$A$44:$A$46,0)))</f>
        <v>25650</v>
      </c>
      <c r="L95" s="23" t="n">
        <f aca="false">L51*IF(AND($C51="Assured",L$45&gt;=$C$25),$C$24,INDEX(Assumptions!$D$44:$D$46,MATCH($C51,Assumptions!$A$44:$A$46,0)))</f>
        <v>25650</v>
      </c>
      <c r="M95" s="23" t="n">
        <f aca="false">M51*IF(AND($C51="Assured",M$45&gt;=$C$25),$C$24,INDEX(Assumptions!$D$44:$D$46,MATCH($C51,Assumptions!$A$44:$A$46,0)))</f>
        <v>25650</v>
      </c>
      <c r="N95" s="23" t="n">
        <f aca="false">N51*IF(AND($C51="Assured",N$45&gt;=$C$25),$C$24,INDEX(Assumptions!$D$44:$D$46,MATCH($C51,Assumptions!$A$44:$A$46,0)))</f>
        <v>25650</v>
      </c>
      <c r="O95" s="23" t="n">
        <f aca="false">O51*IF(AND($C51="Assured",O$45&gt;=$C$25),$C$24,INDEX(Assumptions!$D$44:$D$46,MATCH($C51,Assumptions!$A$44:$A$46,0)))</f>
        <v>25650</v>
      </c>
      <c r="P95" s="23" t="n">
        <f aca="false">P51*IF(AND($C51="Assured",P$45&gt;=$C$25),$C$24,INDEX(Assumptions!$D$44:$D$46,MATCH($C51,Assumptions!$A$44:$A$46,0)))</f>
        <v>25650</v>
      </c>
      <c r="Q95" s="23" t="n">
        <f aca="false">Q51*IF(AND($C51="Assured",Q$45&gt;=$C$25),$C$24,INDEX(Assumptions!$D$44:$D$46,MATCH($C51,Assumptions!$A$44:$A$46,0)))</f>
        <v>22800</v>
      </c>
      <c r="R95" s="23" t="n">
        <f aca="false">R51*IF(AND($C51="Assured",R$45&gt;=$C$25),$C$24,INDEX(Assumptions!$D$44:$D$46,MATCH($C51,Assumptions!$A$44:$A$46,0)))</f>
        <v>22800</v>
      </c>
      <c r="S95" s="23" t="n">
        <f aca="false">S51*IF(AND($C51="Assured",S$45&gt;=$C$25),$C$24,INDEX(Assumptions!$D$44:$D$46,MATCH($C51,Assumptions!$A$44:$A$46,0)))</f>
        <v>22800</v>
      </c>
      <c r="T95" s="23" t="n">
        <f aca="false">T51*IF(AND($C51="Assured",T$45&gt;=$C$25),$C$24,INDEX(Assumptions!$D$44:$D$46,MATCH($C51,Assumptions!$A$44:$A$46,0)))</f>
        <v>22800</v>
      </c>
      <c r="U95" s="23" t="n">
        <f aca="false">U51*IF(AND($C51="Assured",U$45&gt;=$C$25),$C$24,INDEX(Assumptions!$D$44:$D$46,MATCH($C51,Assumptions!$A$44:$A$46,0)))</f>
        <v>22800</v>
      </c>
      <c r="V95" s="23" t="n">
        <f aca="false">V51*IF(AND($C51="Assured",V$45&gt;=$C$25),$C$24,INDEX(Assumptions!$D$44:$D$46,MATCH($C51,Assumptions!$A$44:$A$46,0)))</f>
        <v>22800</v>
      </c>
      <c r="W95" s="23" t="n">
        <f aca="false">W51*IF(AND($C51="Assured",W$45&gt;=$C$25),$C$24,INDEX(Assumptions!$D$44:$D$46,MATCH($C51,Assumptions!$A$44:$A$46,0)))</f>
        <v>22800</v>
      </c>
      <c r="X95" s="23" t="n">
        <f aca="false">X51*IF(AND($C51="Assured",X$45&gt;=$C$25),$C$24,INDEX(Assumptions!$D$44:$D$46,MATCH($C51,Assumptions!$A$44:$A$46,0)))</f>
        <v>22800</v>
      </c>
      <c r="Y95" s="23" t="n">
        <f aca="false">Y51*IF(AND($C51="Assured",Y$45&gt;=$C$25),$C$24,INDEX(Assumptions!$D$44:$D$46,MATCH($C51,Assumptions!$A$44:$A$46,0)))</f>
        <v>22800</v>
      </c>
    </row>
    <row r="96" customFormat="false" ht="15" hidden="false" customHeight="false" outlineLevel="0" collapsed="false">
      <c r="A96" s="2" t="n">
        <f aca="false">A52</f>
        <v>5</v>
      </c>
      <c r="B96" s="2" t="str">
        <f aca="false">B52</f>
        <v>A</v>
      </c>
      <c r="C96" s="2" t="str">
        <f aca="false">C52</f>
        <v>Assured</v>
      </c>
      <c r="D96" s="2"/>
      <c r="E96" s="2"/>
      <c r="F96" s="2"/>
      <c r="G96" s="2"/>
      <c r="H96" s="23" t="n">
        <f aca="false">H52*IF(AND($C52="Assured",H$45&gt;=$C$25),$C$24,INDEX(Assumptions!$D$44:$D$46,MATCH($C52,Assumptions!$A$44:$A$46,0)))</f>
        <v>0</v>
      </c>
      <c r="I96" s="23" t="n">
        <f aca="false">I52*IF(AND($C52="Assured",I$45&gt;=$C$25),$C$24,INDEX(Assumptions!$D$44:$D$46,MATCH($C52,Assumptions!$A$44:$A$46,0)))</f>
        <v>0</v>
      </c>
      <c r="J96" s="23" t="n">
        <f aca="false">J52*IF(AND($C52="Assured",J$45&gt;=$C$25),$C$24,INDEX(Assumptions!$D$44:$D$46,MATCH($C52,Assumptions!$A$44:$A$46,0)))</f>
        <v>0</v>
      </c>
      <c r="K96" s="23" t="n">
        <f aca="false">K52*IF(AND($C52="Assured",K$45&gt;=$C$25),$C$24,INDEX(Assumptions!$D$44:$D$46,MATCH($C52,Assumptions!$A$44:$A$46,0)))</f>
        <v>0</v>
      </c>
      <c r="L96" s="23" t="n">
        <f aca="false">L52*IF(AND($C52="Assured",L$45&gt;=$C$25),$C$24,INDEX(Assumptions!$D$44:$D$46,MATCH($C52,Assumptions!$A$44:$A$46,0)))</f>
        <v>6002.1</v>
      </c>
      <c r="M96" s="23" t="n">
        <f aca="false">M52*IF(AND($C52="Assured",M$45&gt;=$C$25),$C$24,INDEX(Assumptions!$D$44:$D$46,MATCH($C52,Assumptions!$A$44:$A$46,0)))</f>
        <v>12004.2</v>
      </c>
      <c r="N96" s="23" t="n">
        <f aca="false">N52*IF(AND($C52="Assured",N$45&gt;=$C$25),$C$24,INDEX(Assumptions!$D$44:$D$46,MATCH($C52,Assumptions!$A$44:$A$46,0)))</f>
        <v>17005.95</v>
      </c>
      <c r="O96" s="23" t="n">
        <f aca="false">O52*IF(AND($C52="Assured",O$45&gt;=$C$25),$C$24,INDEX(Assumptions!$D$44:$D$46,MATCH($C52,Assumptions!$A$44:$A$46,0)))</f>
        <v>20007</v>
      </c>
      <c r="P96" s="23" t="n">
        <f aca="false">P52*IF(AND($C52="Assured",P$45&gt;=$C$25),$C$24,INDEX(Assumptions!$D$44:$D$46,MATCH($C52,Assumptions!$A$44:$A$46,0)))</f>
        <v>20007</v>
      </c>
      <c r="Q96" s="23" t="n">
        <f aca="false">Q52*IF(AND($C52="Assured",Q$45&gt;=$C$25),$C$24,INDEX(Assumptions!$D$44:$D$46,MATCH($C52,Assumptions!$A$44:$A$46,0)))</f>
        <v>17784</v>
      </c>
      <c r="R96" s="23" t="n">
        <f aca="false">R52*IF(AND($C52="Assured",R$45&gt;=$C$25),$C$24,INDEX(Assumptions!$D$44:$D$46,MATCH($C52,Assumptions!$A$44:$A$46,0)))</f>
        <v>17784</v>
      </c>
      <c r="S96" s="23" t="n">
        <f aca="false">S52*IF(AND($C52="Assured",S$45&gt;=$C$25),$C$24,INDEX(Assumptions!$D$44:$D$46,MATCH($C52,Assumptions!$A$44:$A$46,0)))</f>
        <v>17784</v>
      </c>
      <c r="T96" s="23" t="n">
        <f aca="false">T52*IF(AND($C52="Assured",T$45&gt;=$C$25),$C$24,INDEX(Assumptions!$D$44:$D$46,MATCH($C52,Assumptions!$A$44:$A$46,0)))</f>
        <v>17784</v>
      </c>
      <c r="U96" s="23" t="n">
        <f aca="false">U52*IF(AND($C52="Assured",U$45&gt;=$C$25),$C$24,INDEX(Assumptions!$D$44:$D$46,MATCH($C52,Assumptions!$A$44:$A$46,0)))</f>
        <v>17784</v>
      </c>
      <c r="V96" s="23" t="n">
        <f aca="false">V52*IF(AND($C52="Assured",V$45&gt;=$C$25),$C$24,INDEX(Assumptions!$D$44:$D$46,MATCH($C52,Assumptions!$A$44:$A$46,0)))</f>
        <v>17784</v>
      </c>
      <c r="W96" s="23" t="n">
        <f aca="false">W52*IF(AND($C52="Assured",W$45&gt;=$C$25),$C$24,INDEX(Assumptions!$D$44:$D$46,MATCH($C52,Assumptions!$A$44:$A$46,0)))</f>
        <v>17784</v>
      </c>
      <c r="X96" s="23" t="n">
        <f aca="false">X52*IF(AND($C52="Assured",X$45&gt;=$C$25),$C$24,INDEX(Assumptions!$D$44:$D$46,MATCH($C52,Assumptions!$A$44:$A$46,0)))</f>
        <v>17784</v>
      </c>
      <c r="Y96" s="23" t="n">
        <f aca="false">Y52*IF(AND($C52="Assured",Y$45&gt;=$C$25),$C$24,INDEX(Assumptions!$D$44:$D$46,MATCH($C52,Assumptions!$A$44:$A$46,0)))</f>
        <v>17784</v>
      </c>
    </row>
    <row r="97" customFormat="false" ht="15" hidden="false" customHeight="false" outlineLevel="0" collapsed="false">
      <c r="A97" s="2" t="n">
        <f aca="false">A53</f>
        <v>6</v>
      </c>
      <c r="B97" s="2" t="str">
        <f aca="false">B53</f>
        <v>A</v>
      </c>
      <c r="C97" s="2" t="str">
        <f aca="false">C53</f>
        <v>Assured</v>
      </c>
      <c r="D97" s="2"/>
      <c r="E97" s="2"/>
      <c r="F97" s="2"/>
      <c r="G97" s="2"/>
      <c r="H97" s="23" t="n">
        <f aca="false">H53*IF(AND($C53="Assured",H$45&gt;=$C$25),$C$24,INDEX(Assumptions!$D$44:$D$46,MATCH($C53,Assumptions!$A$44:$A$46,0)))</f>
        <v>0</v>
      </c>
      <c r="I97" s="23" t="n">
        <f aca="false">I53*IF(AND($C53="Assured",I$45&gt;=$C$25),$C$24,INDEX(Assumptions!$D$44:$D$46,MATCH($C53,Assumptions!$A$44:$A$46,0)))</f>
        <v>0</v>
      </c>
      <c r="J97" s="23" t="n">
        <f aca="false">J53*IF(AND($C53="Assured",J$45&gt;=$C$25),$C$24,INDEX(Assumptions!$D$44:$D$46,MATCH($C53,Assumptions!$A$44:$A$46,0)))</f>
        <v>0</v>
      </c>
      <c r="K97" s="23" t="n">
        <f aca="false">K53*IF(AND($C53="Assured",K$45&gt;=$C$25),$C$24,INDEX(Assumptions!$D$44:$D$46,MATCH($C53,Assumptions!$A$44:$A$46,0)))</f>
        <v>0</v>
      </c>
      <c r="L97" s="23" t="n">
        <f aca="false">L53*IF(AND($C53="Assured",L$45&gt;=$C$25),$C$24,INDEX(Assumptions!$D$44:$D$46,MATCH($C53,Assumptions!$A$44:$A$46,0)))</f>
        <v>6002.1</v>
      </c>
      <c r="M97" s="23" t="n">
        <f aca="false">M53*IF(AND($C53="Assured",M$45&gt;=$C$25),$C$24,INDEX(Assumptions!$D$44:$D$46,MATCH($C53,Assumptions!$A$44:$A$46,0)))</f>
        <v>12004.2</v>
      </c>
      <c r="N97" s="23" t="n">
        <f aca="false">N53*IF(AND($C53="Assured",N$45&gt;=$C$25),$C$24,INDEX(Assumptions!$D$44:$D$46,MATCH($C53,Assumptions!$A$44:$A$46,0)))</f>
        <v>17005.95</v>
      </c>
      <c r="O97" s="23" t="n">
        <f aca="false">O53*IF(AND($C53="Assured",O$45&gt;=$C$25),$C$24,INDEX(Assumptions!$D$44:$D$46,MATCH($C53,Assumptions!$A$44:$A$46,0)))</f>
        <v>20007</v>
      </c>
      <c r="P97" s="23" t="n">
        <f aca="false">P53*IF(AND($C53="Assured",P$45&gt;=$C$25),$C$24,INDEX(Assumptions!$D$44:$D$46,MATCH($C53,Assumptions!$A$44:$A$46,0)))</f>
        <v>20007</v>
      </c>
      <c r="Q97" s="23" t="n">
        <f aca="false">Q53*IF(AND($C53="Assured",Q$45&gt;=$C$25),$C$24,INDEX(Assumptions!$D$44:$D$46,MATCH($C53,Assumptions!$A$44:$A$46,0)))</f>
        <v>17784</v>
      </c>
      <c r="R97" s="23" t="n">
        <f aca="false">R53*IF(AND($C53="Assured",R$45&gt;=$C$25),$C$24,INDEX(Assumptions!$D$44:$D$46,MATCH($C53,Assumptions!$A$44:$A$46,0)))</f>
        <v>17784</v>
      </c>
      <c r="S97" s="23" t="n">
        <f aca="false">S53*IF(AND($C53="Assured",S$45&gt;=$C$25),$C$24,INDEX(Assumptions!$D$44:$D$46,MATCH($C53,Assumptions!$A$44:$A$46,0)))</f>
        <v>17784</v>
      </c>
      <c r="T97" s="23" t="n">
        <f aca="false">T53*IF(AND($C53="Assured",T$45&gt;=$C$25),$C$24,INDEX(Assumptions!$D$44:$D$46,MATCH($C53,Assumptions!$A$44:$A$46,0)))</f>
        <v>17784</v>
      </c>
      <c r="U97" s="23" t="n">
        <f aca="false">U53*IF(AND($C53="Assured",U$45&gt;=$C$25),$C$24,INDEX(Assumptions!$D$44:$D$46,MATCH($C53,Assumptions!$A$44:$A$46,0)))</f>
        <v>17784</v>
      </c>
      <c r="V97" s="23" t="n">
        <f aca="false">V53*IF(AND($C53="Assured",V$45&gt;=$C$25),$C$24,INDEX(Assumptions!$D$44:$D$46,MATCH($C53,Assumptions!$A$44:$A$46,0)))</f>
        <v>17784</v>
      </c>
      <c r="W97" s="23" t="n">
        <f aca="false">W53*IF(AND($C53="Assured",W$45&gt;=$C$25),$C$24,INDEX(Assumptions!$D$44:$D$46,MATCH($C53,Assumptions!$A$44:$A$46,0)))</f>
        <v>17784</v>
      </c>
      <c r="X97" s="23" t="n">
        <f aca="false">X53*IF(AND($C53="Assured",X$45&gt;=$C$25),$C$24,INDEX(Assumptions!$D$44:$D$46,MATCH($C53,Assumptions!$A$44:$A$46,0)))</f>
        <v>17784</v>
      </c>
      <c r="Y97" s="23" t="n">
        <f aca="false">Y53*IF(AND($C53="Assured",Y$45&gt;=$C$25),$C$24,INDEX(Assumptions!$D$44:$D$46,MATCH($C53,Assumptions!$A$44:$A$46,0)))</f>
        <v>17784</v>
      </c>
    </row>
    <row r="98" customFormat="false" ht="15" hidden="false" customHeight="false" outlineLevel="0" collapsed="false">
      <c r="A98" s="2" t="n">
        <f aca="false">A54</f>
        <v>7</v>
      </c>
      <c r="B98" s="2" t="str">
        <f aca="false">B54</f>
        <v>A</v>
      </c>
      <c r="C98" s="2" t="str">
        <f aca="false">C54</f>
        <v>Assured</v>
      </c>
      <c r="D98" s="2"/>
      <c r="E98" s="2"/>
      <c r="F98" s="2"/>
      <c r="G98" s="2"/>
      <c r="H98" s="23" t="n">
        <f aca="false">H54*IF(AND($C54="Assured",H$45&gt;=$C$25),$C$24,INDEX(Assumptions!$D$44:$D$46,MATCH($C54,Assumptions!$A$44:$A$46,0)))</f>
        <v>0</v>
      </c>
      <c r="I98" s="23" t="n">
        <f aca="false">I54*IF(AND($C54="Assured",I$45&gt;=$C$25),$C$24,INDEX(Assumptions!$D$44:$D$46,MATCH($C54,Assumptions!$A$44:$A$46,0)))</f>
        <v>0</v>
      </c>
      <c r="J98" s="23" t="n">
        <f aca="false">J54*IF(AND($C54="Assured",J$45&gt;=$C$25),$C$24,INDEX(Assumptions!$D$44:$D$46,MATCH($C54,Assumptions!$A$44:$A$46,0)))</f>
        <v>0</v>
      </c>
      <c r="K98" s="23" t="n">
        <f aca="false">K54*IF(AND($C54="Assured",K$45&gt;=$C$25),$C$24,INDEX(Assumptions!$D$44:$D$46,MATCH($C54,Assumptions!$A$44:$A$46,0)))</f>
        <v>0</v>
      </c>
      <c r="L98" s="23" t="n">
        <f aca="false">L54*IF(AND($C54="Assured",L$45&gt;=$C$25),$C$24,INDEX(Assumptions!$D$44:$D$46,MATCH($C54,Assumptions!$A$44:$A$46,0)))</f>
        <v>0</v>
      </c>
      <c r="M98" s="23" t="n">
        <f aca="false">M54*IF(AND($C54="Assured",M$45&gt;=$C$25),$C$24,INDEX(Assumptions!$D$44:$D$46,MATCH($C54,Assumptions!$A$44:$A$46,0)))</f>
        <v>6002.1</v>
      </c>
      <c r="N98" s="23" t="n">
        <f aca="false">N54*IF(AND($C54="Assured",N$45&gt;=$C$25),$C$24,INDEX(Assumptions!$D$44:$D$46,MATCH($C54,Assumptions!$A$44:$A$46,0)))</f>
        <v>12004.2</v>
      </c>
      <c r="O98" s="23" t="n">
        <f aca="false">O54*IF(AND($C54="Assured",O$45&gt;=$C$25),$C$24,INDEX(Assumptions!$D$44:$D$46,MATCH($C54,Assumptions!$A$44:$A$46,0)))</f>
        <v>17005.95</v>
      </c>
      <c r="P98" s="23" t="n">
        <f aca="false">P54*IF(AND($C54="Assured",P$45&gt;=$C$25),$C$24,INDEX(Assumptions!$D$44:$D$46,MATCH($C54,Assumptions!$A$44:$A$46,0)))</f>
        <v>20007</v>
      </c>
      <c r="Q98" s="23" t="n">
        <f aca="false">Q54*IF(AND($C54="Assured",Q$45&gt;=$C$25),$C$24,INDEX(Assumptions!$D$44:$D$46,MATCH($C54,Assumptions!$A$44:$A$46,0)))</f>
        <v>17784</v>
      </c>
      <c r="R98" s="23" t="n">
        <f aca="false">R54*IF(AND($C54="Assured",R$45&gt;=$C$25),$C$24,INDEX(Assumptions!$D$44:$D$46,MATCH($C54,Assumptions!$A$44:$A$46,0)))</f>
        <v>17784</v>
      </c>
      <c r="S98" s="23" t="n">
        <f aca="false">S54*IF(AND($C54="Assured",S$45&gt;=$C$25),$C$24,INDEX(Assumptions!$D$44:$D$46,MATCH($C54,Assumptions!$A$44:$A$46,0)))</f>
        <v>17784</v>
      </c>
      <c r="T98" s="23" t="n">
        <f aca="false">T54*IF(AND($C54="Assured",T$45&gt;=$C$25),$C$24,INDEX(Assumptions!$D$44:$D$46,MATCH($C54,Assumptions!$A$44:$A$46,0)))</f>
        <v>17784</v>
      </c>
      <c r="U98" s="23" t="n">
        <f aca="false">U54*IF(AND($C54="Assured",U$45&gt;=$C$25),$C$24,INDEX(Assumptions!$D$44:$D$46,MATCH($C54,Assumptions!$A$44:$A$46,0)))</f>
        <v>17784</v>
      </c>
      <c r="V98" s="23" t="n">
        <f aca="false">V54*IF(AND($C54="Assured",V$45&gt;=$C$25),$C$24,INDEX(Assumptions!$D$44:$D$46,MATCH($C54,Assumptions!$A$44:$A$46,0)))</f>
        <v>17784</v>
      </c>
      <c r="W98" s="23" t="n">
        <f aca="false">W54*IF(AND($C54="Assured",W$45&gt;=$C$25),$C$24,INDEX(Assumptions!$D$44:$D$46,MATCH($C54,Assumptions!$A$44:$A$46,0)))</f>
        <v>17784</v>
      </c>
      <c r="X98" s="23" t="n">
        <f aca="false">X54*IF(AND($C54="Assured",X$45&gt;=$C$25),$C$24,INDEX(Assumptions!$D$44:$D$46,MATCH($C54,Assumptions!$A$44:$A$46,0)))</f>
        <v>17784</v>
      </c>
      <c r="Y98" s="23" t="n">
        <f aca="false">Y54*IF(AND($C54="Assured",Y$45&gt;=$C$25),$C$24,INDEX(Assumptions!$D$44:$D$46,MATCH($C54,Assumptions!$A$44:$A$46,0)))</f>
        <v>17784</v>
      </c>
    </row>
    <row r="99" customFormat="false" ht="15" hidden="false" customHeight="false" outlineLevel="0" collapsed="false">
      <c r="A99" s="2" t="n">
        <f aca="false">A55</f>
        <v>8</v>
      </c>
      <c r="B99" s="2" t="str">
        <f aca="false">B55</f>
        <v>A</v>
      </c>
      <c r="C99" s="2" t="str">
        <f aca="false">C55</f>
        <v>Assured</v>
      </c>
      <c r="D99" s="2"/>
      <c r="E99" s="2"/>
      <c r="F99" s="2"/>
      <c r="G99" s="2"/>
      <c r="H99" s="23" t="n">
        <f aca="false">H55*IF(AND($C55="Assured",H$45&gt;=$C$25),$C$24,INDEX(Assumptions!$D$44:$D$46,MATCH($C55,Assumptions!$A$44:$A$46,0)))</f>
        <v>0</v>
      </c>
      <c r="I99" s="23" t="n">
        <f aca="false">I55*IF(AND($C55="Assured",I$45&gt;=$C$25),$C$24,INDEX(Assumptions!$D$44:$D$46,MATCH($C55,Assumptions!$A$44:$A$46,0)))</f>
        <v>0</v>
      </c>
      <c r="J99" s="23" t="n">
        <f aca="false">J55*IF(AND($C55="Assured",J$45&gt;=$C$25),$C$24,INDEX(Assumptions!$D$44:$D$46,MATCH($C55,Assumptions!$A$44:$A$46,0)))</f>
        <v>0</v>
      </c>
      <c r="K99" s="23" t="n">
        <f aca="false">K55*IF(AND($C55="Assured",K$45&gt;=$C$25),$C$24,INDEX(Assumptions!$D$44:$D$46,MATCH($C55,Assumptions!$A$44:$A$46,0)))</f>
        <v>0</v>
      </c>
      <c r="L99" s="23" t="n">
        <f aca="false">L55*IF(AND($C55="Assured",L$45&gt;=$C$25),$C$24,INDEX(Assumptions!$D$44:$D$46,MATCH($C55,Assumptions!$A$44:$A$46,0)))</f>
        <v>0</v>
      </c>
      <c r="M99" s="23" t="n">
        <f aca="false">M55*IF(AND($C55="Assured",M$45&gt;=$C$25),$C$24,INDEX(Assumptions!$D$44:$D$46,MATCH($C55,Assumptions!$A$44:$A$46,0)))</f>
        <v>6002.1</v>
      </c>
      <c r="N99" s="23" t="n">
        <f aca="false">N55*IF(AND($C55="Assured",N$45&gt;=$C$25),$C$24,INDEX(Assumptions!$D$44:$D$46,MATCH($C55,Assumptions!$A$44:$A$46,0)))</f>
        <v>12004.2</v>
      </c>
      <c r="O99" s="23" t="n">
        <f aca="false">O55*IF(AND($C55="Assured",O$45&gt;=$C$25),$C$24,INDEX(Assumptions!$D$44:$D$46,MATCH($C55,Assumptions!$A$44:$A$46,0)))</f>
        <v>17005.95</v>
      </c>
      <c r="P99" s="23" t="n">
        <f aca="false">P55*IF(AND($C55="Assured",P$45&gt;=$C$25),$C$24,INDEX(Assumptions!$D$44:$D$46,MATCH($C55,Assumptions!$A$44:$A$46,0)))</f>
        <v>20007</v>
      </c>
      <c r="Q99" s="23" t="n">
        <f aca="false">Q55*IF(AND($C55="Assured",Q$45&gt;=$C$25),$C$24,INDEX(Assumptions!$D$44:$D$46,MATCH($C55,Assumptions!$A$44:$A$46,0)))</f>
        <v>17784</v>
      </c>
      <c r="R99" s="23" t="n">
        <f aca="false">R55*IF(AND($C55="Assured",R$45&gt;=$C$25),$C$24,INDEX(Assumptions!$D$44:$D$46,MATCH($C55,Assumptions!$A$44:$A$46,0)))</f>
        <v>17784</v>
      </c>
      <c r="S99" s="23" t="n">
        <f aca="false">S55*IF(AND($C55="Assured",S$45&gt;=$C$25),$C$24,INDEX(Assumptions!$D$44:$D$46,MATCH($C55,Assumptions!$A$44:$A$46,0)))</f>
        <v>17784</v>
      </c>
      <c r="T99" s="23" t="n">
        <f aca="false">T55*IF(AND($C55="Assured",T$45&gt;=$C$25),$C$24,INDEX(Assumptions!$D$44:$D$46,MATCH($C55,Assumptions!$A$44:$A$46,0)))</f>
        <v>17784</v>
      </c>
      <c r="U99" s="23" t="n">
        <f aca="false">U55*IF(AND($C55="Assured",U$45&gt;=$C$25),$C$24,INDEX(Assumptions!$D$44:$D$46,MATCH($C55,Assumptions!$A$44:$A$46,0)))</f>
        <v>17784</v>
      </c>
      <c r="V99" s="23" t="n">
        <f aca="false">V55*IF(AND($C55="Assured",V$45&gt;=$C$25),$C$24,INDEX(Assumptions!$D$44:$D$46,MATCH($C55,Assumptions!$A$44:$A$46,0)))</f>
        <v>17784</v>
      </c>
      <c r="W99" s="23" t="n">
        <f aca="false">W55*IF(AND($C55="Assured",W$45&gt;=$C$25),$C$24,INDEX(Assumptions!$D$44:$D$46,MATCH($C55,Assumptions!$A$44:$A$46,0)))</f>
        <v>17784</v>
      </c>
      <c r="X99" s="23" t="n">
        <f aca="false">X55*IF(AND($C55="Assured",X$45&gt;=$C$25),$C$24,INDEX(Assumptions!$D$44:$D$46,MATCH($C55,Assumptions!$A$44:$A$46,0)))</f>
        <v>17784</v>
      </c>
      <c r="Y99" s="23" t="n">
        <f aca="false">Y55*IF(AND($C55="Assured",Y$45&gt;=$C$25),$C$24,INDEX(Assumptions!$D$44:$D$46,MATCH($C55,Assumptions!$A$44:$A$46,0)))</f>
        <v>17784</v>
      </c>
    </row>
    <row r="100" customFormat="false" ht="15" hidden="false" customHeight="false" outlineLevel="0" collapsed="false">
      <c r="A100" s="2" t="n">
        <f aca="false">A56</f>
        <v>9</v>
      </c>
      <c r="B100" s="2" t="str">
        <f aca="false">B56</f>
        <v>A</v>
      </c>
      <c r="C100" s="2" t="str">
        <f aca="false">C56</f>
        <v>Assured</v>
      </c>
      <c r="D100" s="2"/>
      <c r="E100" s="2"/>
      <c r="F100" s="2"/>
      <c r="G100" s="2"/>
      <c r="H100" s="23" t="n">
        <f aca="false">H56*IF(AND($C56="Assured",H$45&gt;=$C$25),$C$24,INDEX(Assumptions!$D$44:$D$46,MATCH($C56,Assumptions!$A$44:$A$46,0)))</f>
        <v>0</v>
      </c>
      <c r="I100" s="23" t="n">
        <f aca="false">I56*IF(AND($C56="Assured",I$45&gt;=$C$25),$C$24,INDEX(Assumptions!$D$44:$D$46,MATCH($C56,Assumptions!$A$44:$A$46,0)))</f>
        <v>0</v>
      </c>
      <c r="J100" s="23" t="n">
        <f aca="false">J56*IF(AND($C56="Assured",J$45&gt;=$C$25),$C$24,INDEX(Assumptions!$D$44:$D$46,MATCH($C56,Assumptions!$A$44:$A$46,0)))</f>
        <v>0</v>
      </c>
      <c r="K100" s="23" t="n">
        <f aca="false">K56*IF(AND($C56="Assured",K$45&gt;=$C$25),$C$24,INDEX(Assumptions!$D$44:$D$46,MATCH($C56,Assumptions!$A$44:$A$46,0)))</f>
        <v>0</v>
      </c>
      <c r="L100" s="23" t="n">
        <f aca="false">L56*IF(AND($C56="Assured",L$45&gt;=$C$25),$C$24,INDEX(Assumptions!$D$44:$D$46,MATCH($C56,Assumptions!$A$44:$A$46,0)))</f>
        <v>0</v>
      </c>
      <c r="M100" s="23" t="n">
        <f aca="false">M56*IF(AND($C56="Assured",M$45&gt;=$C$25),$C$24,INDEX(Assumptions!$D$44:$D$46,MATCH($C56,Assumptions!$A$44:$A$46,0)))</f>
        <v>0</v>
      </c>
      <c r="N100" s="23" t="n">
        <f aca="false">N56*IF(AND($C56="Assured",N$45&gt;=$C$25),$C$24,INDEX(Assumptions!$D$44:$D$46,MATCH($C56,Assumptions!$A$44:$A$46,0)))</f>
        <v>6002.1</v>
      </c>
      <c r="O100" s="23" t="n">
        <f aca="false">O56*IF(AND($C56="Assured",O$45&gt;=$C$25),$C$24,INDEX(Assumptions!$D$44:$D$46,MATCH($C56,Assumptions!$A$44:$A$46,0)))</f>
        <v>12004.2</v>
      </c>
      <c r="P100" s="23" t="n">
        <f aca="false">P56*IF(AND($C56="Assured",P$45&gt;=$C$25),$C$24,INDEX(Assumptions!$D$44:$D$46,MATCH($C56,Assumptions!$A$44:$A$46,0)))</f>
        <v>17005.95</v>
      </c>
      <c r="Q100" s="23" t="n">
        <f aca="false">Q56*IF(AND($C56="Assured",Q$45&gt;=$C$25),$C$24,INDEX(Assumptions!$D$44:$D$46,MATCH($C56,Assumptions!$A$44:$A$46,0)))</f>
        <v>17784</v>
      </c>
      <c r="R100" s="23" t="n">
        <f aca="false">R56*IF(AND($C56="Assured",R$45&gt;=$C$25),$C$24,INDEX(Assumptions!$D$44:$D$46,MATCH($C56,Assumptions!$A$44:$A$46,0)))</f>
        <v>17784</v>
      </c>
      <c r="S100" s="23" t="n">
        <f aca="false">S56*IF(AND($C56="Assured",S$45&gt;=$C$25),$C$24,INDEX(Assumptions!$D$44:$D$46,MATCH($C56,Assumptions!$A$44:$A$46,0)))</f>
        <v>17784</v>
      </c>
      <c r="T100" s="23" t="n">
        <f aca="false">T56*IF(AND($C56="Assured",T$45&gt;=$C$25),$C$24,INDEX(Assumptions!$D$44:$D$46,MATCH($C56,Assumptions!$A$44:$A$46,0)))</f>
        <v>17784</v>
      </c>
      <c r="U100" s="23" t="n">
        <f aca="false">U56*IF(AND($C56="Assured",U$45&gt;=$C$25),$C$24,INDEX(Assumptions!$D$44:$D$46,MATCH($C56,Assumptions!$A$44:$A$46,0)))</f>
        <v>17784</v>
      </c>
      <c r="V100" s="23" t="n">
        <f aca="false">V56*IF(AND($C56="Assured",V$45&gt;=$C$25),$C$24,INDEX(Assumptions!$D$44:$D$46,MATCH($C56,Assumptions!$A$44:$A$46,0)))</f>
        <v>17784</v>
      </c>
      <c r="W100" s="23" t="n">
        <f aca="false">W56*IF(AND($C56="Assured",W$45&gt;=$C$25),$C$24,INDEX(Assumptions!$D$44:$D$46,MATCH($C56,Assumptions!$A$44:$A$46,0)))</f>
        <v>17784</v>
      </c>
      <c r="X100" s="23" t="n">
        <f aca="false">X56*IF(AND($C56="Assured",X$45&gt;=$C$25),$C$24,INDEX(Assumptions!$D$44:$D$46,MATCH($C56,Assumptions!$A$44:$A$46,0)))</f>
        <v>17784</v>
      </c>
      <c r="Y100" s="23" t="n">
        <f aca="false">Y56*IF(AND($C56="Assured",Y$45&gt;=$C$25),$C$24,INDEX(Assumptions!$D$44:$D$46,MATCH($C56,Assumptions!$A$44:$A$46,0)))</f>
        <v>17784</v>
      </c>
    </row>
    <row r="101" customFormat="false" ht="15" hidden="false" customHeight="false" outlineLevel="0" collapsed="false">
      <c r="A101" s="2" t="n">
        <f aca="false">A57</f>
        <v>10</v>
      </c>
      <c r="B101" s="2" t="str">
        <f aca="false">B57</f>
        <v>C</v>
      </c>
      <c r="C101" s="2" t="str">
        <f aca="false">C57</f>
        <v>Assured</v>
      </c>
      <c r="D101" s="2"/>
      <c r="E101" s="2"/>
      <c r="F101" s="2"/>
      <c r="G101" s="2"/>
      <c r="H101" s="23" t="n">
        <f aca="false">H57*IF(AND($C57="Assured",H$45&gt;=$C$25),$C$24,INDEX(Assumptions!$D$44:$D$46,MATCH($C57,Assumptions!$A$44:$A$46,0)))</f>
        <v>0</v>
      </c>
      <c r="I101" s="23" t="n">
        <f aca="false">I57*IF(AND($C57="Assured",I$45&gt;=$C$25),$C$24,INDEX(Assumptions!$D$44:$D$46,MATCH($C57,Assumptions!$A$44:$A$46,0)))</f>
        <v>0</v>
      </c>
      <c r="J101" s="23" t="n">
        <f aca="false">J57*IF(AND($C57="Assured",J$45&gt;=$C$25),$C$24,INDEX(Assumptions!$D$44:$D$46,MATCH($C57,Assumptions!$A$44:$A$46,0)))</f>
        <v>0</v>
      </c>
      <c r="K101" s="23" t="n">
        <f aca="false">K57*IF(AND($C57="Assured",K$45&gt;=$C$25),$C$24,INDEX(Assumptions!$D$44:$D$46,MATCH($C57,Assumptions!$A$44:$A$46,0)))</f>
        <v>0</v>
      </c>
      <c r="L101" s="23" t="n">
        <f aca="false">L57*IF(AND($C57="Assured",L$45&gt;=$C$25),$C$24,INDEX(Assumptions!$D$44:$D$46,MATCH($C57,Assumptions!$A$44:$A$46,0)))</f>
        <v>0</v>
      </c>
      <c r="M101" s="23" t="n">
        <f aca="false">M57*IF(AND($C57="Assured",M$45&gt;=$C$25),$C$24,INDEX(Assumptions!$D$44:$D$46,MATCH($C57,Assumptions!$A$44:$A$46,0)))</f>
        <v>0</v>
      </c>
      <c r="N101" s="23" t="n">
        <f aca="false">N57*IF(AND($C57="Assured",N$45&gt;=$C$25),$C$24,INDEX(Assumptions!$D$44:$D$46,MATCH($C57,Assumptions!$A$44:$A$46,0)))</f>
        <v>0</v>
      </c>
      <c r="O101" s="23" t="n">
        <f aca="false">O57*IF(AND($C57="Assured",O$45&gt;=$C$25),$C$24,INDEX(Assumptions!$D$44:$D$46,MATCH($C57,Assumptions!$A$44:$A$46,0)))</f>
        <v>6502.275</v>
      </c>
      <c r="P101" s="23" t="n">
        <f aca="false">P57*IF(AND($C57="Assured",P$45&gt;=$C$25),$C$24,INDEX(Assumptions!$D$44:$D$46,MATCH($C57,Assumptions!$A$44:$A$46,0)))</f>
        <v>13004.55</v>
      </c>
      <c r="Q101" s="23" t="n">
        <f aca="false">Q57*IF(AND($C57="Assured",Q$45&gt;=$C$25),$C$24,INDEX(Assumptions!$D$44:$D$46,MATCH($C57,Assumptions!$A$44:$A$46,0)))</f>
        <v>16376.1</v>
      </c>
      <c r="R101" s="23" t="n">
        <f aca="false">R57*IF(AND($C57="Assured",R$45&gt;=$C$25),$C$24,INDEX(Assumptions!$D$44:$D$46,MATCH($C57,Assumptions!$A$44:$A$46,0)))</f>
        <v>19266</v>
      </c>
      <c r="S101" s="23" t="n">
        <f aca="false">S57*IF(AND($C57="Assured",S$45&gt;=$C$25),$C$24,INDEX(Assumptions!$D$44:$D$46,MATCH($C57,Assumptions!$A$44:$A$46,0)))</f>
        <v>19266</v>
      </c>
      <c r="T101" s="23" t="n">
        <f aca="false">T57*IF(AND($C57="Assured",T$45&gt;=$C$25),$C$24,INDEX(Assumptions!$D$44:$D$46,MATCH($C57,Assumptions!$A$44:$A$46,0)))</f>
        <v>19266</v>
      </c>
      <c r="U101" s="23" t="n">
        <f aca="false">U57*IF(AND($C57="Assured",U$45&gt;=$C$25),$C$24,INDEX(Assumptions!$D$44:$D$46,MATCH($C57,Assumptions!$A$44:$A$46,0)))</f>
        <v>19266</v>
      </c>
      <c r="V101" s="23" t="n">
        <f aca="false">V57*IF(AND($C57="Assured",V$45&gt;=$C$25),$C$24,INDEX(Assumptions!$D$44:$D$46,MATCH($C57,Assumptions!$A$44:$A$46,0)))</f>
        <v>19266</v>
      </c>
      <c r="W101" s="23" t="n">
        <f aca="false">W57*IF(AND($C57="Assured",W$45&gt;=$C$25),$C$24,INDEX(Assumptions!$D$44:$D$46,MATCH($C57,Assumptions!$A$44:$A$46,0)))</f>
        <v>19266</v>
      </c>
      <c r="X101" s="23" t="n">
        <f aca="false">X57*IF(AND($C57="Assured",X$45&gt;=$C$25),$C$24,INDEX(Assumptions!$D$44:$D$46,MATCH($C57,Assumptions!$A$44:$A$46,0)))</f>
        <v>19266</v>
      </c>
      <c r="Y101" s="23" t="n">
        <f aca="false">Y57*IF(AND($C57="Assured",Y$45&gt;=$C$25),$C$24,INDEX(Assumptions!$D$44:$D$46,MATCH($C57,Assumptions!$A$44:$A$46,0)))</f>
        <v>19266</v>
      </c>
    </row>
    <row r="102" customFormat="false" ht="15" hidden="false" customHeight="false" outlineLevel="0" collapsed="false">
      <c r="A102" s="2" t="n">
        <f aca="false">A58</f>
        <v>11</v>
      </c>
      <c r="B102" s="2" t="str">
        <f aca="false">B58</f>
        <v>C</v>
      </c>
      <c r="C102" s="2" t="str">
        <f aca="false">C58</f>
        <v>Assured</v>
      </c>
      <c r="D102" s="2"/>
      <c r="E102" s="2"/>
      <c r="F102" s="2"/>
      <c r="G102" s="2"/>
      <c r="H102" s="23" t="n">
        <f aca="false">H58*IF(AND($C58="Assured",H$45&gt;=$C$25),$C$24,INDEX(Assumptions!$D$44:$D$46,MATCH($C58,Assumptions!$A$44:$A$46,0)))</f>
        <v>0</v>
      </c>
      <c r="I102" s="23" t="n">
        <f aca="false">I58*IF(AND($C58="Assured",I$45&gt;=$C$25),$C$24,INDEX(Assumptions!$D$44:$D$46,MATCH($C58,Assumptions!$A$44:$A$46,0)))</f>
        <v>0</v>
      </c>
      <c r="J102" s="23" t="n">
        <f aca="false">J58*IF(AND($C58="Assured",J$45&gt;=$C$25),$C$24,INDEX(Assumptions!$D$44:$D$46,MATCH($C58,Assumptions!$A$44:$A$46,0)))</f>
        <v>0</v>
      </c>
      <c r="K102" s="23" t="n">
        <f aca="false">K58*IF(AND($C58="Assured",K$45&gt;=$C$25),$C$24,INDEX(Assumptions!$D$44:$D$46,MATCH($C58,Assumptions!$A$44:$A$46,0)))</f>
        <v>0</v>
      </c>
      <c r="L102" s="23" t="n">
        <f aca="false">L58*IF(AND($C58="Assured",L$45&gt;=$C$25),$C$24,INDEX(Assumptions!$D$44:$D$46,MATCH($C58,Assumptions!$A$44:$A$46,0)))</f>
        <v>0</v>
      </c>
      <c r="M102" s="23" t="n">
        <f aca="false">M58*IF(AND($C58="Assured",M$45&gt;=$C$25),$C$24,INDEX(Assumptions!$D$44:$D$46,MATCH($C58,Assumptions!$A$44:$A$46,0)))</f>
        <v>0</v>
      </c>
      <c r="N102" s="23" t="n">
        <f aca="false">N58*IF(AND($C58="Assured",N$45&gt;=$C$25),$C$24,INDEX(Assumptions!$D$44:$D$46,MATCH($C58,Assumptions!$A$44:$A$46,0)))</f>
        <v>0</v>
      </c>
      <c r="O102" s="23" t="n">
        <f aca="false">O58*IF(AND($C58="Assured",O$45&gt;=$C$25),$C$24,INDEX(Assumptions!$D$44:$D$46,MATCH($C58,Assumptions!$A$44:$A$46,0)))</f>
        <v>0</v>
      </c>
      <c r="P102" s="23" t="n">
        <f aca="false">P58*IF(AND($C58="Assured",P$45&gt;=$C$25),$C$24,INDEX(Assumptions!$D$44:$D$46,MATCH($C58,Assumptions!$A$44:$A$46,0)))</f>
        <v>6502.275</v>
      </c>
      <c r="Q102" s="23" t="n">
        <f aca="false">Q58*IF(AND($C58="Assured",Q$45&gt;=$C$25),$C$24,INDEX(Assumptions!$D$44:$D$46,MATCH($C58,Assumptions!$A$44:$A$46,0)))</f>
        <v>11559.6</v>
      </c>
      <c r="R102" s="23" t="n">
        <f aca="false">R58*IF(AND($C58="Assured",R$45&gt;=$C$25),$C$24,INDEX(Assumptions!$D$44:$D$46,MATCH($C58,Assumptions!$A$44:$A$46,0)))</f>
        <v>16376.1</v>
      </c>
      <c r="S102" s="23" t="n">
        <f aca="false">S58*IF(AND($C58="Assured",S$45&gt;=$C$25),$C$24,INDEX(Assumptions!$D$44:$D$46,MATCH($C58,Assumptions!$A$44:$A$46,0)))</f>
        <v>19266</v>
      </c>
      <c r="T102" s="23" t="n">
        <f aca="false">T58*IF(AND($C58="Assured",T$45&gt;=$C$25),$C$24,INDEX(Assumptions!$D$44:$D$46,MATCH($C58,Assumptions!$A$44:$A$46,0)))</f>
        <v>19266</v>
      </c>
      <c r="U102" s="23" t="n">
        <f aca="false">U58*IF(AND($C58="Assured",U$45&gt;=$C$25),$C$24,INDEX(Assumptions!$D$44:$D$46,MATCH($C58,Assumptions!$A$44:$A$46,0)))</f>
        <v>19266</v>
      </c>
      <c r="V102" s="23" t="n">
        <f aca="false">V58*IF(AND($C58="Assured",V$45&gt;=$C$25),$C$24,INDEX(Assumptions!$D$44:$D$46,MATCH($C58,Assumptions!$A$44:$A$46,0)))</f>
        <v>19266</v>
      </c>
      <c r="W102" s="23" t="n">
        <f aca="false">W58*IF(AND($C58="Assured",W$45&gt;=$C$25),$C$24,INDEX(Assumptions!$D$44:$D$46,MATCH($C58,Assumptions!$A$44:$A$46,0)))</f>
        <v>19266</v>
      </c>
      <c r="X102" s="23" t="n">
        <f aca="false">X58*IF(AND($C58="Assured",X$45&gt;=$C$25),$C$24,INDEX(Assumptions!$D$44:$D$46,MATCH($C58,Assumptions!$A$44:$A$46,0)))</f>
        <v>19266</v>
      </c>
      <c r="Y102" s="23" t="n">
        <f aca="false">Y58*IF(AND($C58="Assured",Y$45&gt;=$C$25),$C$24,INDEX(Assumptions!$D$44:$D$46,MATCH($C58,Assumptions!$A$44:$A$46,0)))</f>
        <v>19266</v>
      </c>
    </row>
    <row r="103" customFormat="false" ht="15" hidden="false" customHeight="false" outlineLevel="0" collapsed="false">
      <c r="A103" s="2" t="n">
        <f aca="false">A59</f>
        <v>12</v>
      </c>
      <c r="B103" s="2" t="str">
        <f aca="false">B59</f>
        <v>C</v>
      </c>
      <c r="C103" s="2" t="str">
        <f aca="false">C59</f>
        <v>Assured</v>
      </c>
      <c r="D103" s="2"/>
      <c r="E103" s="2"/>
      <c r="F103" s="2"/>
      <c r="G103" s="2"/>
      <c r="H103" s="23" t="n">
        <f aca="false">H59*IF(AND($C59="Assured",H$45&gt;=$C$25),$C$24,INDEX(Assumptions!$D$44:$D$46,MATCH($C59,Assumptions!$A$44:$A$46,0)))</f>
        <v>0</v>
      </c>
      <c r="I103" s="23" t="n">
        <f aca="false">I59*IF(AND($C59="Assured",I$45&gt;=$C$25),$C$24,INDEX(Assumptions!$D$44:$D$46,MATCH($C59,Assumptions!$A$44:$A$46,0)))</f>
        <v>0</v>
      </c>
      <c r="J103" s="23" t="n">
        <f aca="false">J59*IF(AND($C59="Assured",J$45&gt;=$C$25),$C$24,INDEX(Assumptions!$D$44:$D$46,MATCH($C59,Assumptions!$A$44:$A$46,0)))</f>
        <v>0</v>
      </c>
      <c r="K103" s="23" t="n">
        <f aca="false">K59*IF(AND($C59="Assured",K$45&gt;=$C$25),$C$24,INDEX(Assumptions!$D$44:$D$46,MATCH($C59,Assumptions!$A$44:$A$46,0)))</f>
        <v>0</v>
      </c>
      <c r="L103" s="23" t="n">
        <f aca="false">L59*IF(AND($C59="Assured",L$45&gt;=$C$25),$C$24,INDEX(Assumptions!$D$44:$D$46,MATCH($C59,Assumptions!$A$44:$A$46,0)))</f>
        <v>0</v>
      </c>
      <c r="M103" s="23" t="n">
        <f aca="false">M59*IF(AND($C59="Assured",M$45&gt;=$C$25),$C$24,INDEX(Assumptions!$D$44:$D$46,MATCH($C59,Assumptions!$A$44:$A$46,0)))</f>
        <v>0</v>
      </c>
      <c r="N103" s="23" t="n">
        <f aca="false">N59*IF(AND($C59="Assured",N$45&gt;=$C$25),$C$24,INDEX(Assumptions!$D$44:$D$46,MATCH($C59,Assumptions!$A$44:$A$46,0)))</f>
        <v>0</v>
      </c>
      <c r="O103" s="23" t="n">
        <f aca="false">O59*IF(AND($C59="Assured",O$45&gt;=$C$25),$C$24,INDEX(Assumptions!$D$44:$D$46,MATCH($C59,Assumptions!$A$44:$A$46,0)))</f>
        <v>0</v>
      </c>
      <c r="P103" s="23" t="n">
        <f aca="false">P59*IF(AND($C59="Assured",P$45&gt;=$C$25),$C$24,INDEX(Assumptions!$D$44:$D$46,MATCH($C59,Assumptions!$A$44:$A$46,0)))</f>
        <v>6502.275</v>
      </c>
      <c r="Q103" s="23" t="n">
        <f aca="false">Q59*IF(AND($C59="Assured",Q$45&gt;=$C$25),$C$24,INDEX(Assumptions!$D$44:$D$46,MATCH($C59,Assumptions!$A$44:$A$46,0)))</f>
        <v>11559.6</v>
      </c>
      <c r="R103" s="23" t="n">
        <f aca="false">R59*IF(AND($C59="Assured",R$45&gt;=$C$25),$C$24,INDEX(Assumptions!$D$44:$D$46,MATCH($C59,Assumptions!$A$44:$A$46,0)))</f>
        <v>16376.1</v>
      </c>
      <c r="S103" s="23" t="n">
        <f aca="false">S59*IF(AND($C59="Assured",S$45&gt;=$C$25),$C$24,INDEX(Assumptions!$D$44:$D$46,MATCH($C59,Assumptions!$A$44:$A$46,0)))</f>
        <v>19266</v>
      </c>
      <c r="T103" s="23" t="n">
        <f aca="false">T59*IF(AND($C59="Assured",T$45&gt;=$C$25),$C$24,INDEX(Assumptions!$D$44:$D$46,MATCH($C59,Assumptions!$A$44:$A$46,0)))</f>
        <v>19266</v>
      </c>
      <c r="U103" s="23" t="n">
        <f aca="false">U59*IF(AND($C59="Assured",U$45&gt;=$C$25),$C$24,INDEX(Assumptions!$D$44:$D$46,MATCH($C59,Assumptions!$A$44:$A$46,0)))</f>
        <v>19266</v>
      </c>
      <c r="V103" s="23" t="n">
        <f aca="false">V59*IF(AND($C59="Assured",V$45&gt;=$C$25),$C$24,INDEX(Assumptions!$D$44:$D$46,MATCH($C59,Assumptions!$A$44:$A$46,0)))</f>
        <v>19266</v>
      </c>
      <c r="W103" s="23" t="n">
        <f aca="false">W59*IF(AND($C59="Assured",W$45&gt;=$C$25),$C$24,INDEX(Assumptions!$D$44:$D$46,MATCH($C59,Assumptions!$A$44:$A$46,0)))</f>
        <v>19266</v>
      </c>
      <c r="X103" s="23" t="n">
        <f aca="false">X59*IF(AND($C59="Assured",X$45&gt;=$C$25),$C$24,INDEX(Assumptions!$D$44:$D$46,MATCH($C59,Assumptions!$A$44:$A$46,0)))</f>
        <v>19266</v>
      </c>
      <c r="Y103" s="23" t="n">
        <f aca="false">Y59*IF(AND($C59="Assured",Y$45&gt;=$C$25),$C$24,INDEX(Assumptions!$D$44:$D$46,MATCH($C59,Assumptions!$A$44:$A$46,0)))</f>
        <v>19266</v>
      </c>
    </row>
    <row r="104" customFormat="false" ht="15" hidden="false" customHeight="false" outlineLevel="0" collapsed="false">
      <c r="A104" s="2" t="n">
        <f aca="false">A60</f>
        <v>13</v>
      </c>
      <c r="B104" s="2" t="str">
        <f aca="false">B60</f>
        <v>C</v>
      </c>
      <c r="C104" s="2" t="str">
        <f aca="false">C60</f>
        <v>Assured</v>
      </c>
      <c r="D104" s="2"/>
      <c r="E104" s="2"/>
      <c r="F104" s="2"/>
      <c r="G104" s="2"/>
      <c r="H104" s="23" t="n">
        <f aca="false">H60*IF(AND($C60="Assured",H$45&gt;=$C$25),$C$24,INDEX(Assumptions!$D$44:$D$46,MATCH($C60,Assumptions!$A$44:$A$46,0)))</f>
        <v>0</v>
      </c>
      <c r="I104" s="23" t="n">
        <f aca="false">I60*IF(AND($C60="Assured",I$45&gt;=$C$25),$C$24,INDEX(Assumptions!$D$44:$D$46,MATCH($C60,Assumptions!$A$44:$A$46,0)))</f>
        <v>0</v>
      </c>
      <c r="J104" s="23" t="n">
        <f aca="false">J60*IF(AND($C60="Assured",J$45&gt;=$C$25),$C$24,INDEX(Assumptions!$D$44:$D$46,MATCH($C60,Assumptions!$A$44:$A$46,0)))</f>
        <v>0</v>
      </c>
      <c r="K104" s="23" t="n">
        <f aca="false">K60*IF(AND($C60="Assured",K$45&gt;=$C$25),$C$24,INDEX(Assumptions!$D$44:$D$46,MATCH($C60,Assumptions!$A$44:$A$46,0)))</f>
        <v>0</v>
      </c>
      <c r="L104" s="23" t="n">
        <f aca="false">L60*IF(AND($C60="Assured",L$45&gt;=$C$25),$C$24,INDEX(Assumptions!$D$44:$D$46,MATCH($C60,Assumptions!$A$44:$A$46,0)))</f>
        <v>0</v>
      </c>
      <c r="M104" s="23" t="n">
        <f aca="false">M60*IF(AND($C60="Assured",M$45&gt;=$C$25),$C$24,INDEX(Assumptions!$D$44:$D$46,MATCH($C60,Assumptions!$A$44:$A$46,0)))</f>
        <v>0</v>
      </c>
      <c r="N104" s="23" t="n">
        <f aca="false">N60*IF(AND($C60="Assured",N$45&gt;=$C$25),$C$24,INDEX(Assumptions!$D$44:$D$46,MATCH($C60,Assumptions!$A$44:$A$46,0)))</f>
        <v>0</v>
      </c>
      <c r="O104" s="23" t="n">
        <f aca="false">O60*IF(AND($C60="Assured",O$45&gt;=$C$25),$C$24,INDEX(Assumptions!$D$44:$D$46,MATCH($C60,Assumptions!$A$44:$A$46,0)))</f>
        <v>0</v>
      </c>
      <c r="P104" s="23" t="n">
        <f aca="false">P60*IF(AND($C60="Assured",P$45&gt;=$C$25),$C$24,INDEX(Assumptions!$D$44:$D$46,MATCH($C60,Assumptions!$A$44:$A$46,0)))</f>
        <v>0</v>
      </c>
      <c r="Q104" s="23" t="n">
        <f aca="false">Q60*IF(AND($C60="Assured",Q$45&gt;=$C$25),$C$24,INDEX(Assumptions!$D$44:$D$46,MATCH($C60,Assumptions!$A$44:$A$46,0)))</f>
        <v>5779.8</v>
      </c>
      <c r="R104" s="23" t="n">
        <f aca="false">R60*IF(AND($C60="Assured",R$45&gt;=$C$25),$C$24,INDEX(Assumptions!$D$44:$D$46,MATCH($C60,Assumptions!$A$44:$A$46,0)))</f>
        <v>11559.6</v>
      </c>
      <c r="S104" s="23" t="n">
        <f aca="false">S60*IF(AND($C60="Assured",S$45&gt;=$C$25),$C$24,INDEX(Assumptions!$D$44:$D$46,MATCH($C60,Assumptions!$A$44:$A$46,0)))</f>
        <v>16376.1</v>
      </c>
      <c r="T104" s="23" t="n">
        <f aca="false">T60*IF(AND($C60="Assured",T$45&gt;=$C$25),$C$24,INDEX(Assumptions!$D$44:$D$46,MATCH($C60,Assumptions!$A$44:$A$46,0)))</f>
        <v>19266</v>
      </c>
      <c r="U104" s="23" t="n">
        <f aca="false">U60*IF(AND($C60="Assured",U$45&gt;=$C$25),$C$24,INDEX(Assumptions!$D$44:$D$46,MATCH($C60,Assumptions!$A$44:$A$46,0)))</f>
        <v>19266</v>
      </c>
      <c r="V104" s="23" t="n">
        <f aca="false">V60*IF(AND($C60="Assured",V$45&gt;=$C$25),$C$24,INDEX(Assumptions!$D$44:$D$46,MATCH($C60,Assumptions!$A$44:$A$46,0)))</f>
        <v>19266</v>
      </c>
      <c r="W104" s="23" t="n">
        <f aca="false">W60*IF(AND($C60="Assured",W$45&gt;=$C$25),$C$24,INDEX(Assumptions!$D$44:$D$46,MATCH($C60,Assumptions!$A$44:$A$46,0)))</f>
        <v>19266</v>
      </c>
      <c r="X104" s="23" t="n">
        <f aca="false">X60*IF(AND($C60="Assured",X$45&gt;=$C$25),$C$24,INDEX(Assumptions!$D$44:$D$46,MATCH($C60,Assumptions!$A$44:$A$46,0)))</f>
        <v>19266</v>
      </c>
      <c r="Y104" s="23" t="n">
        <f aca="false">Y60*IF(AND($C60="Assured",Y$45&gt;=$C$25),$C$24,INDEX(Assumptions!$D$44:$D$46,MATCH($C60,Assumptions!$A$44:$A$46,0)))</f>
        <v>19266</v>
      </c>
    </row>
    <row r="105" customFormat="false" ht="15" hidden="false" customHeight="false" outlineLevel="0" collapsed="false">
      <c r="A105" s="2" t="n">
        <f aca="false">A61</f>
        <v>14</v>
      </c>
      <c r="B105" s="2" t="str">
        <f aca="false">B61</f>
        <v>B</v>
      </c>
      <c r="C105" s="2" t="str">
        <f aca="false">C61</f>
        <v>Connect</v>
      </c>
      <c r="D105" s="2"/>
      <c r="E105" s="2"/>
      <c r="F105" s="2"/>
      <c r="G105" s="2"/>
      <c r="H105" s="23" t="n">
        <f aca="false">H61*IF(AND($C61="Assured",H$45&gt;=$C$25),$C$24,INDEX(Assumptions!$D$44:$D$46,MATCH($C61,Assumptions!$A$44:$A$46,0)))</f>
        <v>0</v>
      </c>
      <c r="I105" s="23" t="n">
        <f aca="false">I61*IF(AND($C61="Assured",I$45&gt;=$C$25),$C$24,INDEX(Assumptions!$D$44:$D$46,MATCH($C61,Assumptions!$A$44:$A$46,0)))</f>
        <v>0</v>
      </c>
      <c r="J105" s="23" t="n">
        <f aca="false">J61*IF(AND($C61="Assured",J$45&gt;=$C$25),$C$24,INDEX(Assumptions!$D$44:$D$46,MATCH($C61,Assumptions!$A$44:$A$46,0)))</f>
        <v>0</v>
      </c>
      <c r="K105" s="23" t="n">
        <f aca="false">K61*IF(AND($C61="Assured",K$45&gt;=$C$25),$C$24,INDEX(Assumptions!$D$44:$D$46,MATCH($C61,Assumptions!$A$44:$A$46,0)))</f>
        <v>0</v>
      </c>
      <c r="L105" s="23" t="n">
        <f aca="false">L61*IF(AND($C61="Assured",L$45&gt;=$C$25),$C$24,INDEX(Assumptions!$D$44:$D$46,MATCH($C61,Assumptions!$A$44:$A$46,0)))</f>
        <v>0</v>
      </c>
      <c r="M105" s="23" t="n">
        <f aca="false">M61*IF(AND($C61="Assured",M$45&gt;=$C$25),$C$24,INDEX(Assumptions!$D$44:$D$46,MATCH($C61,Assumptions!$A$44:$A$46,0)))</f>
        <v>0</v>
      </c>
      <c r="N105" s="23" t="n">
        <f aca="false">N61*IF(AND($C61="Assured",N$45&gt;=$C$25),$C$24,INDEX(Assumptions!$D$44:$D$46,MATCH($C61,Assumptions!$A$44:$A$46,0)))</f>
        <v>0</v>
      </c>
      <c r="O105" s="23" t="n">
        <f aca="false">O61*IF(AND($C61="Assured",O$45&gt;=$C$25),$C$24,INDEX(Assumptions!$D$44:$D$46,MATCH($C61,Assumptions!$A$44:$A$46,0)))</f>
        <v>0</v>
      </c>
      <c r="P105" s="23" t="n">
        <f aca="false">P61*IF(AND($C61="Assured",P$45&gt;=$C$25),$C$24,INDEX(Assumptions!$D$44:$D$46,MATCH($C61,Assumptions!$A$44:$A$46,0)))</f>
        <v>0</v>
      </c>
      <c r="Q105" s="23" t="n">
        <f aca="false">Q61*IF(AND($C61="Assured",Q$45&gt;=$C$25),$C$24,INDEX(Assumptions!$D$44:$D$46,MATCH($C61,Assumptions!$A$44:$A$46,0)))</f>
        <v>0</v>
      </c>
      <c r="R105" s="23" t="n">
        <f aca="false">R61*IF(AND($C61="Assured",R$45&gt;=$C$25),$C$24,INDEX(Assumptions!$D$44:$D$46,MATCH($C61,Assumptions!$A$44:$A$46,0)))</f>
        <v>2223</v>
      </c>
      <c r="S105" s="23" t="n">
        <f aca="false">S61*IF(AND($C61="Assured",S$45&gt;=$C$25),$C$24,INDEX(Assumptions!$D$44:$D$46,MATCH($C61,Assumptions!$A$44:$A$46,0)))</f>
        <v>4446</v>
      </c>
      <c r="T105" s="23" t="n">
        <f aca="false">T61*IF(AND($C61="Assured",T$45&gt;=$C$25),$C$24,INDEX(Assumptions!$D$44:$D$46,MATCH($C61,Assumptions!$A$44:$A$46,0)))</f>
        <v>6298.5</v>
      </c>
      <c r="U105" s="23" t="n">
        <f aca="false">U61*IF(AND($C61="Assured",U$45&gt;=$C$25),$C$24,INDEX(Assumptions!$D$44:$D$46,MATCH($C61,Assumptions!$A$44:$A$46,0)))</f>
        <v>7410</v>
      </c>
      <c r="V105" s="23" t="n">
        <f aca="false">V61*IF(AND($C61="Assured",V$45&gt;=$C$25),$C$24,INDEX(Assumptions!$D$44:$D$46,MATCH($C61,Assumptions!$A$44:$A$46,0)))</f>
        <v>7410</v>
      </c>
      <c r="W105" s="23" t="n">
        <f aca="false">W61*IF(AND($C61="Assured",W$45&gt;=$C$25),$C$24,INDEX(Assumptions!$D$44:$D$46,MATCH($C61,Assumptions!$A$44:$A$46,0)))</f>
        <v>7410</v>
      </c>
      <c r="X105" s="23" t="n">
        <f aca="false">X61*IF(AND($C61="Assured",X$45&gt;=$C$25),$C$24,INDEX(Assumptions!$D$44:$D$46,MATCH($C61,Assumptions!$A$44:$A$46,0)))</f>
        <v>7410</v>
      </c>
      <c r="Y105" s="23" t="n">
        <f aca="false">Y61*IF(AND($C61="Assured",Y$45&gt;=$C$25),$C$24,INDEX(Assumptions!$D$44:$D$46,MATCH($C61,Assumptions!$A$44:$A$46,0)))</f>
        <v>7410</v>
      </c>
    </row>
    <row r="106" customFormat="false" ht="15" hidden="false" customHeight="false" outlineLevel="0" collapsed="false">
      <c r="A106" s="2" t="n">
        <f aca="false">A62</f>
        <v>15</v>
      </c>
      <c r="B106" s="2" t="str">
        <f aca="false">B62</f>
        <v>B</v>
      </c>
      <c r="C106" s="2" t="str">
        <f aca="false">C62</f>
        <v>Connect</v>
      </c>
      <c r="D106" s="2"/>
      <c r="E106" s="2"/>
      <c r="F106" s="2"/>
      <c r="G106" s="2"/>
      <c r="H106" s="23" t="n">
        <f aca="false">H62*IF(AND($C62="Assured",H$45&gt;=$C$25),$C$24,INDEX(Assumptions!$D$44:$D$46,MATCH($C62,Assumptions!$A$44:$A$46,0)))</f>
        <v>0</v>
      </c>
      <c r="I106" s="23" t="n">
        <f aca="false">I62*IF(AND($C62="Assured",I$45&gt;=$C$25),$C$24,INDEX(Assumptions!$D$44:$D$46,MATCH($C62,Assumptions!$A$44:$A$46,0)))</f>
        <v>0</v>
      </c>
      <c r="J106" s="23" t="n">
        <f aca="false">J62*IF(AND($C62="Assured",J$45&gt;=$C$25),$C$24,INDEX(Assumptions!$D$44:$D$46,MATCH($C62,Assumptions!$A$44:$A$46,0)))</f>
        <v>0</v>
      </c>
      <c r="K106" s="23" t="n">
        <f aca="false">K62*IF(AND($C62="Assured",K$45&gt;=$C$25),$C$24,INDEX(Assumptions!$D$44:$D$46,MATCH($C62,Assumptions!$A$44:$A$46,0)))</f>
        <v>0</v>
      </c>
      <c r="L106" s="23" t="n">
        <f aca="false">L62*IF(AND($C62="Assured",L$45&gt;=$C$25),$C$24,INDEX(Assumptions!$D$44:$D$46,MATCH($C62,Assumptions!$A$44:$A$46,0)))</f>
        <v>0</v>
      </c>
      <c r="M106" s="23" t="n">
        <f aca="false">M62*IF(AND($C62="Assured",M$45&gt;=$C$25),$C$24,INDEX(Assumptions!$D$44:$D$46,MATCH($C62,Assumptions!$A$44:$A$46,0)))</f>
        <v>0</v>
      </c>
      <c r="N106" s="23" t="n">
        <f aca="false">N62*IF(AND($C62="Assured",N$45&gt;=$C$25),$C$24,INDEX(Assumptions!$D$44:$D$46,MATCH($C62,Assumptions!$A$44:$A$46,0)))</f>
        <v>0</v>
      </c>
      <c r="O106" s="23" t="n">
        <f aca="false">O62*IF(AND($C62="Assured",O$45&gt;=$C$25),$C$24,INDEX(Assumptions!$D$44:$D$46,MATCH($C62,Assumptions!$A$44:$A$46,0)))</f>
        <v>0</v>
      </c>
      <c r="P106" s="23" t="n">
        <f aca="false">P62*IF(AND($C62="Assured",P$45&gt;=$C$25),$C$24,INDEX(Assumptions!$D$44:$D$46,MATCH($C62,Assumptions!$A$44:$A$46,0)))</f>
        <v>0</v>
      </c>
      <c r="Q106" s="23" t="n">
        <f aca="false">Q62*IF(AND($C62="Assured",Q$45&gt;=$C$25),$C$24,INDEX(Assumptions!$D$44:$D$46,MATCH($C62,Assumptions!$A$44:$A$46,0)))</f>
        <v>0</v>
      </c>
      <c r="R106" s="23" t="n">
        <f aca="false">R62*IF(AND($C62="Assured",R$45&gt;=$C$25),$C$24,INDEX(Assumptions!$D$44:$D$46,MATCH($C62,Assumptions!$A$44:$A$46,0)))</f>
        <v>0</v>
      </c>
      <c r="S106" s="23" t="n">
        <f aca="false">S62*IF(AND($C62="Assured",S$45&gt;=$C$25),$C$24,INDEX(Assumptions!$D$44:$D$46,MATCH($C62,Assumptions!$A$44:$A$46,0)))</f>
        <v>2223</v>
      </c>
      <c r="T106" s="23" t="n">
        <f aca="false">T62*IF(AND($C62="Assured",T$45&gt;=$C$25),$C$24,INDEX(Assumptions!$D$44:$D$46,MATCH($C62,Assumptions!$A$44:$A$46,0)))</f>
        <v>4446</v>
      </c>
      <c r="U106" s="23" t="n">
        <f aca="false">U62*IF(AND($C62="Assured",U$45&gt;=$C$25),$C$24,INDEX(Assumptions!$D$44:$D$46,MATCH($C62,Assumptions!$A$44:$A$46,0)))</f>
        <v>6298.5</v>
      </c>
      <c r="V106" s="23" t="n">
        <f aca="false">V62*IF(AND($C62="Assured",V$45&gt;=$C$25),$C$24,INDEX(Assumptions!$D$44:$D$46,MATCH($C62,Assumptions!$A$44:$A$46,0)))</f>
        <v>7410</v>
      </c>
      <c r="W106" s="23" t="n">
        <f aca="false">W62*IF(AND($C62="Assured",W$45&gt;=$C$25),$C$24,INDEX(Assumptions!$D$44:$D$46,MATCH($C62,Assumptions!$A$44:$A$46,0)))</f>
        <v>7410</v>
      </c>
      <c r="X106" s="23" t="n">
        <f aca="false">X62*IF(AND($C62="Assured",X$45&gt;=$C$25),$C$24,INDEX(Assumptions!$D$44:$D$46,MATCH($C62,Assumptions!$A$44:$A$46,0)))</f>
        <v>7410</v>
      </c>
      <c r="Y106" s="23" t="n">
        <f aca="false">Y62*IF(AND($C62="Assured",Y$45&gt;=$C$25),$C$24,INDEX(Assumptions!$D$44:$D$46,MATCH($C62,Assumptions!$A$44:$A$46,0)))</f>
        <v>7410</v>
      </c>
    </row>
    <row r="107" customFormat="false" ht="15" hidden="false" customHeight="false" outlineLevel="0" collapsed="false">
      <c r="A107" s="2" t="n">
        <f aca="false">A63</f>
        <v>16</v>
      </c>
      <c r="B107" s="2" t="str">
        <f aca="false">B63</f>
        <v>B</v>
      </c>
      <c r="C107" s="2" t="str">
        <f aca="false">C63</f>
        <v>Connect</v>
      </c>
      <c r="D107" s="2"/>
      <c r="E107" s="2"/>
      <c r="F107" s="2"/>
      <c r="G107" s="2"/>
      <c r="H107" s="23" t="n">
        <f aca="false">H63*IF(AND($C63="Assured",H$45&gt;=$C$25),$C$24,INDEX(Assumptions!$D$44:$D$46,MATCH($C63,Assumptions!$A$44:$A$46,0)))</f>
        <v>0</v>
      </c>
      <c r="I107" s="23" t="n">
        <f aca="false">I63*IF(AND($C63="Assured",I$45&gt;=$C$25),$C$24,INDEX(Assumptions!$D$44:$D$46,MATCH($C63,Assumptions!$A$44:$A$46,0)))</f>
        <v>0</v>
      </c>
      <c r="J107" s="23" t="n">
        <f aca="false">J63*IF(AND($C63="Assured",J$45&gt;=$C$25),$C$24,INDEX(Assumptions!$D$44:$D$46,MATCH($C63,Assumptions!$A$44:$A$46,0)))</f>
        <v>0</v>
      </c>
      <c r="K107" s="23" t="n">
        <f aca="false">K63*IF(AND($C63="Assured",K$45&gt;=$C$25),$C$24,INDEX(Assumptions!$D$44:$D$46,MATCH($C63,Assumptions!$A$44:$A$46,0)))</f>
        <v>0</v>
      </c>
      <c r="L107" s="23" t="n">
        <f aca="false">L63*IF(AND($C63="Assured",L$45&gt;=$C$25),$C$24,INDEX(Assumptions!$D$44:$D$46,MATCH($C63,Assumptions!$A$44:$A$46,0)))</f>
        <v>0</v>
      </c>
      <c r="M107" s="23" t="n">
        <f aca="false">M63*IF(AND($C63="Assured",M$45&gt;=$C$25),$C$24,INDEX(Assumptions!$D$44:$D$46,MATCH($C63,Assumptions!$A$44:$A$46,0)))</f>
        <v>0</v>
      </c>
      <c r="N107" s="23" t="n">
        <f aca="false">N63*IF(AND($C63="Assured",N$45&gt;=$C$25),$C$24,INDEX(Assumptions!$D$44:$D$46,MATCH($C63,Assumptions!$A$44:$A$46,0)))</f>
        <v>0</v>
      </c>
      <c r="O107" s="23" t="n">
        <f aca="false">O63*IF(AND($C63="Assured",O$45&gt;=$C$25),$C$24,INDEX(Assumptions!$D$44:$D$46,MATCH($C63,Assumptions!$A$44:$A$46,0)))</f>
        <v>0</v>
      </c>
      <c r="P107" s="23" t="n">
        <f aca="false">P63*IF(AND($C63="Assured",P$45&gt;=$C$25),$C$24,INDEX(Assumptions!$D$44:$D$46,MATCH($C63,Assumptions!$A$44:$A$46,0)))</f>
        <v>0</v>
      </c>
      <c r="Q107" s="23" t="n">
        <f aca="false">Q63*IF(AND($C63="Assured",Q$45&gt;=$C$25),$C$24,INDEX(Assumptions!$D$44:$D$46,MATCH($C63,Assumptions!$A$44:$A$46,0)))</f>
        <v>0</v>
      </c>
      <c r="R107" s="23" t="n">
        <f aca="false">R63*IF(AND($C63="Assured",R$45&gt;=$C$25),$C$24,INDEX(Assumptions!$D$44:$D$46,MATCH($C63,Assumptions!$A$44:$A$46,0)))</f>
        <v>0</v>
      </c>
      <c r="S107" s="23" t="n">
        <f aca="false">S63*IF(AND($C63="Assured",S$45&gt;=$C$25),$C$24,INDEX(Assumptions!$D$44:$D$46,MATCH($C63,Assumptions!$A$44:$A$46,0)))</f>
        <v>0</v>
      </c>
      <c r="T107" s="23" t="n">
        <f aca="false">T63*IF(AND($C63="Assured",T$45&gt;=$C$25),$C$24,INDEX(Assumptions!$D$44:$D$46,MATCH($C63,Assumptions!$A$44:$A$46,0)))</f>
        <v>2223</v>
      </c>
      <c r="U107" s="23" t="n">
        <f aca="false">U63*IF(AND($C63="Assured",U$45&gt;=$C$25),$C$24,INDEX(Assumptions!$D$44:$D$46,MATCH($C63,Assumptions!$A$44:$A$46,0)))</f>
        <v>4446</v>
      </c>
      <c r="V107" s="23" t="n">
        <f aca="false">V63*IF(AND($C63="Assured",V$45&gt;=$C$25),$C$24,INDEX(Assumptions!$D$44:$D$46,MATCH($C63,Assumptions!$A$44:$A$46,0)))</f>
        <v>6298.5</v>
      </c>
      <c r="W107" s="23" t="n">
        <f aca="false">W63*IF(AND($C63="Assured",W$45&gt;=$C$25),$C$24,INDEX(Assumptions!$D$44:$D$46,MATCH($C63,Assumptions!$A$44:$A$46,0)))</f>
        <v>7410</v>
      </c>
      <c r="X107" s="23" t="n">
        <f aca="false">X63*IF(AND($C63="Assured",X$45&gt;=$C$25),$C$24,INDEX(Assumptions!$D$44:$D$46,MATCH($C63,Assumptions!$A$44:$A$46,0)))</f>
        <v>7410</v>
      </c>
      <c r="Y107" s="23" t="n">
        <f aca="false">Y63*IF(AND($C63="Assured",Y$45&gt;=$C$25),$C$24,INDEX(Assumptions!$D$44:$D$46,MATCH($C63,Assumptions!$A$44:$A$46,0)))</f>
        <v>7410</v>
      </c>
    </row>
    <row r="108" customFormat="false" ht="15" hidden="false" customHeight="false" outlineLevel="0" collapsed="false">
      <c r="A108" s="2" t="n">
        <f aca="false">A64</f>
        <v>17</v>
      </c>
      <c r="B108" s="2" t="str">
        <f aca="false">B64</f>
        <v>B</v>
      </c>
      <c r="C108" s="2" t="str">
        <f aca="false">C64</f>
        <v>Verified</v>
      </c>
      <c r="D108" s="2"/>
      <c r="E108" s="2"/>
      <c r="F108" s="2"/>
      <c r="G108" s="2"/>
      <c r="H108" s="23" t="n">
        <f aca="false">H64*IF(AND($C64="Assured",H$45&gt;=$C$25),$C$24,INDEX(Assumptions!$D$44:$D$46,MATCH($C64,Assumptions!$A$44:$A$46,0)))</f>
        <v>0</v>
      </c>
      <c r="I108" s="23" t="n">
        <f aca="false">I64*IF(AND($C64="Assured",I$45&gt;=$C$25),$C$24,INDEX(Assumptions!$D$44:$D$46,MATCH($C64,Assumptions!$A$44:$A$46,0)))</f>
        <v>0</v>
      </c>
      <c r="J108" s="23" t="n">
        <f aca="false">J64*IF(AND($C64="Assured",J$45&gt;=$C$25),$C$24,INDEX(Assumptions!$D$44:$D$46,MATCH($C64,Assumptions!$A$44:$A$46,0)))</f>
        <v>0</v>
      </c>
      <c r="K108" s="23" t="n">
        <f aca="false">K64*IF(AND($C64="Assured",K$45&gt;=$C$25),$C$24,INDEX(Assumptions!$D$44:$D$46,MATCH($C64,Assumptions!$A$44:$A$46,0)))</f>
        <v>0</v>
      </c>
      <c r="L108" s="23" t="n">
        <f aca="false">L64*IF(AND($C64="Assured",L$45&gt;=$C$25),$C$24,INDEX(Assumptions!$D$44:$D$46,MATCH($C64,Assumptions!$A$44:$A$46,0)))</f>
        <v>0</v>
      </c>
      <c r="M108" s="23" t="n">
        <f aca="false">M64*IF(AND($C64="Assured",M$45&gt;=$C$25),$C$24,INDEX(Assumptions!$D$44:$D$46,MATCH($C64,Assumptions!$A$44:$A$46,0)))</f>
        <v>0</v>
      </c>
      <c r="N108" s="23" t="n">
        <f aca="false">N64*IF(AND($C64="Assured",N$45&gt;=$C$25),$C$24,INDEX(Assumptions!$D$44:$D$46,MATCH($C64,Assumptions!$A$44:$A$46,0)))</f>
        <v>0</v>
      </c>
      <c r="O108" s="23" t="n">
        <f aca="false">O64*IF(AND($C64="Assured",O$45&gt;=$C$25),$C$24,INDEX(Assumptions!$D$44:$D$46,MATCH($C64,Assumptions!$A$44:$A$46,0)))</f>
        <v>0</v>
      </c>
      <c r="P108" s="23" t="n">
        <f aca="false">P64*IF(AND($C64="Assured",P$45&gt;=$C$25),$C$24,INDEX(Assumptions!$D$44:$D$46,MATCH($C64,Assumptions!$A$44:$A$46,0)))</f>
        <v>0</v>
      </c>
      <c r="Q108" s="23" t="n">
        <f aca="false">Q64*IF(AND($C64="Assured",Q$45&gt;=$C$25),$C$24,INDEX(Assumptions!$D$44:$D$46,MATCH($C64,Assumptions!$A$44:$A$46,0)))</f>
        <v>0</v>
      </c>
      <c r="R108" s="23" t="n">
        <f aca="false">R64*IF(AND($C64="Assured",R$45&gt;=$C$25),$C$24,INDEX(Assumptions!$D$44:$D$46,MATCH($C64,Assumptions!$A$44:$A$46,0)))</f>
        <v>0</v>
      </c>
      <c r="S108" s="23" t="n">
        <f aca="false">S64*IF(AND($C64="Assured",S$45&gt;=$C$25),$C$24,INDEX(Assumptions!$D$44:$D$46,MATCH($C64,Assumptions!$A$44:$A$46,0)))</f>
        <v>0</v>
      </c>
      <c r="T108" s="23" t="n">
        <f aca="false">T64*IF(AND($C64="Assured",T$45&gt;=$C$25),$C$24,INDEX(Assumptions!$D$44:$D$46,MATCH($C64,Assumptions!$A$44:$A$46,0)))</f>
        <v>0</v>
      </c>
      <c r="U108" s="23" t="n">
        <f aca="false">U64*IF(AND($C64="Assured",U$45&gt;=$C$25),$C$24,INDEX(Assumptions!$D$44:$D$46,MATCH($C64,Assumptions!$A$44:$A$46,0)))</f>
        <v>0</v>
      </c>
      <c r="V108" s="23" t="n">
        <f aca="false">V64*IF(AND($C64="Assured",V$45&gt;=$C$25),$C$24,INDEX(Assumptions!$D$44:$D$46,MATCH($C64,Assumptions!$A$44:$A$46,0)))</f>
        <v>0</v>
      </c>
      <c r="W108" s="23" t="n">
        <f aca="false">W64*IF(AND($C64="Assured",W$45&gt;=$C$25),$C$24,INDEX(Assumptions!$D$44:$D$46,MATCH($C64,Assumptions!$A$44:$A$46,0)))</f>
        <v>0</v>
      </c>
      <c r="X108" s="23" t="n">
        <f aca="false">X64*IF(AND($C64="Assured",X$45&gt;=$C$25),$C$24,INDEX(Assumptions!$D$44:$D$46,MATCH($C64,Assumptions!$A$44:$A$46,0)))</f>
        <v>0</v>
      </c>
      <c r="Y108" s="23" t="n">
        <f aca="false">Y64*IF(AND($C64="Assured",Y$45&gt;=$C$25),$C$24,INDEX(Assumptions!$D$44:$D$46,MATCH($C64,Assumptions!$A$44:$A$46,0)))</f>
        <v>0</v>
      </c>
    </row>
    <row r="109" customFormat="false" ht="15" hidden="false" customHeight="false" outlineLevel="0" collapsed="false">
      <c r="A109" s="2" t="n">
        <f aca="false">A65</f>
        <v>18</v>
      </c>
      <c r="B109" s="2" t="str">
        <f aca="false">B65</f>
        <v>B</v>
      </c>
      <c r="C109" s="2" t="str">
        <f aca="false">C65</f>
        <v>Verified</v>
      </c>
      <c r="D109" s="2"/>
      <c r="E109" s="2"/>
      <c r="F109" s="2"/>
      <c r="G109" s="2"/>
      <c r="H109" s="23" t="n">
        <f aca="false">H65*IF(AND($C65="Assured",H$45&gt;=$C$25),$C$24,INDEX(Assumptions!$D$44:$D$46,MATCH($C65,Assumptions!$A$44:$A$46,0)))</f>
        <v>0</v>
      </c>
      <c r="I109" s="23" t="n">
        <f aca="false">I65*IF(AND($C65="Assured",I$45&gt;=$C$25),$C$24,INDEX(Assumptions!$D$44:$D$46,MATCH($C65,Assumptions!$A$44:$A$46,0)))</f>
        <v>0</v>
      </c>
      <c r="J109" s="23" t="n">
        <f aca="false">J65*IF(AND($C65="Assured",J$45&gt;=$C$25),$C$24,INDEX(Assumptions!$D$44:$D$46,MATCH($C65,Assumptions!$A$44:$A$46,0)))</f>
        <v>0</v>
      </c>
      <c r="K109" s="23" t="n">
        <f aca="false">K65*IF(AND($C65="Assured",K$45&gt;=$C$25),$C$24,INDEX(Assumptions!$D$44:$D$46,MATCH($C65,Assumptions!$A$44:$A$46,0)))</f>
        <v>0</v>
      </c>
      <c r="L109" s="23" t="n">
        <f aca="false">L65*IF(AND($C65="Assured",L$45&gt;=$C$25),$C$24,INDEX(Assumptions!$D$44:$D$46,MATCH($C65,Assumptions!$A$44:$A$46,0)))</f>
        <v>0</v>
      </c>
      <c r="M109" s="23" t="n">
        <f aca="false">M65*IF(AND($C65="Assured",M$45&gt;=$C$25),$C$24,INDEX(Assumptions!$D$44:$D$46,MATCH($C65,Assumptions!$A$44:$A$46,0)))</f>
        <v>0</v>
      </c>
      <c r="N109" s="23" t="n">
        <f aca="false">N65*IF(AND($C65="Assured",N$45&gt;=$C$25),$C$24,INDEX(Assumptions!$D$44:$D$46,MATCH($C65,Assumptions!$A$44:$A$46,0)))</f>
        <v>0</v>
      </c>
      <c r="O109" s="23" t="n">
        <f aca="false">O65*IF(AND($C65="Assured",O$45&gt;=$C$25),$C$24,INDEX(Assumptions!$D$44:$D$46,MATCH($C65,Assumptions!$A$44:$A$46,0)))</f>
        <v>0</v>
      </c>
      <c r="P109" s="23" t="n">
        <f aca="false">P65*IF(AND($C65="Assured",P$45&gt;=$C$25),$C$24,INDEX(Assumptions!$D$44:$D$46,MATCH($C65,Assumptions!$A$44:$A$46,0)))</f>
        <v>0</v>
      </c>
      <c r="Q109" s="23" t="n">
        <f aca="false">Q65*IF(AND($C65="Assured",Q$45&gt;=$C$25),$C$24,INDEX(Assumptions!$D$44:$D$46,MATCH($C65,Assumptions!$A$44:$A$46,0)))</f>
        <v>0</v>
      </c>
      <c r="R109" s="23" t="n">
        <f aca="false">R65*IF(AND($C65="Assured",R$45&gt;=$C$25),$C$24,INDEX(Assumptions!$D$44:$D$46,MATCH($C65,Assumptions!$A$44:$A$46,0)))</f>
        <v>0</v>
      </c>
      <c r="S109" s="23" t="n">
        <f aca="false">S65*IF(AND($C65="Assured",S$45&gt;=$C$25),$C$24,INDEX(Assumptions!$D$44:$D$46,MATCH($C65,Assumptions!$A$44:$A$46,0)))</f>
        <v>0</v>
      </c>
      <c r="T109" s="23" t="n">
        <f aca="false">T65*IF(AND($C65="Assured",T$45&gt;=$C$25),$C$24,INDEX(Assumptions!$D$44:$D$46,MATCH($C65,Assumptions!$A$44:$A$46,0)))</f>
        <v>0</v>
      </c>
      <c r="U109" s="23" t="n">
        <f aca="false">U65*IF(AND($C65="Assured",U$45&gt;=$C$25),$C$24,INDEX(Assumptions!$D$44:$D$46,MATCH($C65,Assumptions!$A$44:$A$46,0)))</f>
        <v>0</v>
      </c>
      <c r="V109" s="23" t="n">
        <f aca="false">V65*IF(AND($C65="Assured",V$45&gt;=$C$25),$C$24,INDEX(Assumptions!$D$44:$D$46,MATCH($C65,Assumptions!$A$44:$A$46,0)))</f>
        <v>0</v>
      </c>
      <c r="W109" s="23" t="n">
        <f aca="false">W65*IF(AND($C65="Assured",W$45&gt;=$C$25),$C$24,INDEX(Assumptions!$D$44:$D$46,MATCH($C65,Assumptions!$A$44:$A$46,0)))</f>
        <v>0</v>
      </c>
      <c r="X109" s="23" t="n">
        <f aca="false">X65*IF(AND($C65="Assured",X$45&gt;=$C$25),$C$24,INDEX(Assumptions!$D$44:$D$46,MATCH($C65,Assumptions!$A$44:$A$46,0)))</f>
        <v>0</v>
      </c>
      <c r="Y109" s="23" t="n">
        <f aca="false">Y65*IF(AND($C65="Assured",Y$45&gt;=$C$25),$C$24,INDEX(Assumptions!$D$44:$D$46,MATCH($C65,Assumptions!$A$44:$A$46,0)))</f>
        <v>0</v>
      </c>
    </row>
    <row r="110" customFormat="false" ht="15" hidden="false" customHeight="false" outlineLevel="0" collapsed="false">
      <c r="A110" s="2" t="n">
        <f aca="false">A66</f>
        <v>19</v>
      </c>
      <c r="B110" s="2" t="str">
        <f aca="false">B66</f>
        <v>B</v>
      </c>
      <c r="C110" s="2" t="str">
        <f aca="false">C66</f>
        <v>Verified</v>
      </c>
      <c r="D110" s="2"/>
      <c r="E110" s="2"/>
      <c r="F110" s="2"/>
      <c r="G110" s="2"/>
      <c r="H110" s="23" t="n">
        <f aca="false">H66*IF(AND($C66="Assured",H$45&gt;=$C$25),$C$24,INDEX(Assumptions!$D$44:$D$46,MATCH($C66,Assumptions!$A$44:$A$46,0)))</f>
        <v>0</v>
      </c>
      <c r="I110" s="23" t="n">
        <f aca="false">I66*IF(AND($C66="Assured",I$45&gt;=$C$25),$C$24,INDEX(Assumptions!$D$44:$D$46,MATCH($C66,Assumptions!$A$44:$A$46,0)))</f>
        <v>0</v>
      </c>
      <c r="J110" s="23" t="n">
        <f aca="false">J66*IF(AND($C66="Assured",J$45&gt;=$C$25),$C$24,INDEX(Assumptions!$D$44:$D$46,MATCH($C66,Assumptions!$A$44:$A$46,0)))</f>
        <v>0</v>
      </c>
      <c r="K110" s="23" t="n">
        <f aca="false">K66*IF(AND($C66="Assured",K$45&gt;=$C$25),$C$24,INDEX(Assumptions!$D$44:$D$46,MATCH($C66,Assumptions!$A$44:$A$46,0)))</f>
        <v>0</v>
      </c>
      <c r="L110" s="23" t="n">
        <f aca="false">L66*IF(AND($C66="Assured",L$45&gt;=$C$25),$C$24,INDEX(Assumptions!$D$44:$D$46,MATCH($C66,Assumptions!$A$44:$A$46,0)))</f>
        <v>0</v>
      </c>
      <c r="M110" s="23" t="n">
        <f aca="false">M66*IF(AND($C66="Assured",M$45&gt;=$C$25),$C$24,INDEX(Assumptions!$D$44:$D$46,MATCH($C66,Assumptions!$A$44:$A$46,0)))</f>
        <v>0</v>
      </c>
      <c r="N110" s="23" t="n">
        <f aca="false">N66*IF(AND($C66="Assured",N$45&gt;=$C$25),$C$24,INDEX(Assumptions!$D$44:$D$46,MATCH($C66,Assumptions!$A$44:$A$46,0)))</f>
        <v>0</v>
      </c>
      <c r="O110" s="23" t="n">
        <f aca="false">O66*IF(AND($C66="Assured",O$45&gt;=$C$25),$C$24,INDEX(Assumptions!$D$44:$D$46,MATCH($C66,Assumptions!$A$44:$A$46,0)))</f>
        <v>0</v>
      </c>
      <c r="P110" s="23" t="n">
        <f aca="false">P66*IF(AND($C66="Assured",P$45&gt;=$C$25),$C$24,INDEX(Assumptions!$D$44:$D$46,MATCH($C66,Assumptions!$A$44:$A$46,0)))</f>
        <v>0</v>
      </c>
      <c r="Q110" s="23" t="n">
        <f aca="false">Q66*IF(AND($C66="Assured",Q$45&gt;=$C$25),$C$24,INDEX(Assumptions!$D$44:$D$46,MATCH($C66,Assumptions!$A$44:$A$46,0)))</f>
        <v>0</v>
      </c>
      <c r="R110" s="23" t="n">
        <f aca="false">R66*IF(AND($C66="Assured",R$45&gt;=$C$25),$C$24,INDEX(Assumptions!$D$44:$D$46,MATCH($C66,Assumptions!$A$44:$A$46,0)))</f>
        <v>0</v>
      </c>
      <c r="S110" s="23" t="n">
        <f aca="false">S66*IF(AND($C66="Assured",S$45&gt;=$C$25),$C$24,INDEX(Assumptions!$D$44:$D$46,MATCH($C66,Assumptions!$A$44:$A$46,0)))</f>
        <v>0</v>
      </c>
      <c r="T110" s="23" t="n">
        <f aca="false">T66*IF(AND($C66="Assured",T$45&gt;=$C$25),$C$24,INDEX(Assumptions!$D$44:$D$46,MATCH($C66,Assumptions!$A$44:$A$46,0)))</f>
        <v>0</v>
      </c>
      <c r="U110" s="23" t="n">
        <f aca="false">U66*IF(AND($C66="Assured",U$45&gt;=$C$25),$C$24,INDEX(Assumptions!$D$44:$D$46,MATCH($C66,Assumptions!$A$44:$A$46,0)))</f>
        <v>0</v>
      </c>
      <c r="V110" s="23" t="n">
        <f aca="false">V66*IF(AND($C66="Assured",V$45&gt;=$C$25),$C$24,INDEX(Assumptions!$D$44:$D$46,MATCH($C66,Assumptions!$A$44:$A$46,0)))</f>
        <v>0</v>
      </c>
      <c r="W110" s="23" t="n">
        <f aca="false">W66*IF(AND($C66="Assured",W$45&gt;=$C$25),$C$24,INDEX(Assumptions!$D$44:$D$46,MATCH($C66,Assumptions!$A$44:$A$46,0)))</f>
        <v>0</v>
      </c>
      <c r="X110" s="23" t="n">
        <f aca="false">X66*IF(AND($C66="Assured",X$45&gt;=$C$25),$C$24,INDEX(Assumptions!$D$44:$D$46,MATCH($C66,Assumptions!$A$44:$A$46,0)))</f>
        <v>0</v>
      </c>
      <c r="Y110" s="23" t="n">
        <f aca="false">Y66*IF(AND($C66="Assured",Y$45&gt;=$C$25),$C$24,INDEX(Assumptions!$D$44:$D$46,MATCH($C66,Assumptions!$A$44:$A$46,0)))</f>
        <v>0</v>
      </c>
    </row>
    <row r="111" customFormat="false" ht="15" hidden="false" customHeight="false" outlineLevel="0" collapsed="false">
      <c r="A111" s="2" t="n">
        <f aca="false">A67</f>
        <v>20</v>
      </c>
      <c r="B111" s="2" t="str">
        <f aca="false">B67</f>
        <v>B</v>
      </c>
      <c r="C111" s="2" t="str">
        <f aca="false">C67</f>
        <v>Verified</v>
      </c>
      <c r="D111" s="2"/>
      <c r="E111" s="2"/>
      <c r="F111" s="2"/>
      <c r="G111" s="2"/>
      <c r="H111" s="23" t="n">
        <f aca="false">H67*IF(AND($C67="Assured",H$45&gt;=$C$25),$C$24,INDEX(Assumptions!$D$44:$D$46,MATCH($C67,Assumptions!$A$44:$A$46,0)))</f>
        <v>0</v>
      </c>
      <c r="I111" s="23" t="n">
        <f aca="false">I67*IF(AND($C67="Assured",I$45&gt;=$C$25),$C$24,INDEX(Assumptions!$D$44:$D$46,MATCH($C67,Assumptions!$A$44:$A$46,0)))</f>
        <v>0</v>
      </c>
      <c r="J111" s="23" t="n">
        <f aca="false">J67*IF(AND($C67="Assured",J$45&gt;=$C$25),$C$24,INDEX(Assumptions!$D$44:$D$46,MATCH($C67,Assumptions!$A$44:$A$46,0)))</f>
        <v>0</v>
      </c>
      <c r="K111" s="23" t="n">
        <f aca="false">K67*IF(AND($C67="Assured",K$45&gt;=$C$25),$C$24,INDEX(Assumptions!$D$44:$D$46,MATCH($C67,Assumptions!$A$44:$A$46,0)))</f>
        <v>0</v>
      </c>
      <c r="L111" s="23" t="n">
        <f aca="false">L67*IF(AND($C67="Assured",L$45&gt;=$C$25),$C$24,INDEX(Assumptions!$D$44:$D$46,MATCH($C67,Assumptions!$A$44:$A$46,0)))</f>
        <v>0</v>
      </c>
      <c r="M111" s="23" t="n">
        <f aca="false">M67*IF(AND($C67="Assured",M$45&gt;=$C$25),$C$24,INDEX(Assumptions!$D$44:$D$46,MATCH($C67,Assumptions!$A$44:$A$46,0)))</f>
        <v>0</v>
      </c>
      <c r="N111" s="23" t="n">
        <f aca="false">N67*IF(AND($C67="Assured",N$45&gt;=$C$25),$C$24,INDEX(Assumptions!$D$44:$D$46,MATCH($C67,Assumptions!$A$44:$A$46,0)))</f>
        <v>0</v>
      </c>
      <c r="O111" s="23" t="n">
        <f aca="false">O67*IF(AND($C67="Assured",O$45&gt;=$C$25),$C$24,INDEX(Assumptions!$D$44:$D$46,MATCH($C67,Assumptions!$A$44:$A$46,0)))</f>
        <v>0</v>
      </c>
      <c r="P111" s="23" t="n">
        <f aca="false">P67*IF(AND($C67="Assured",P$45&gt;=$C$25),$C$24,INDEX(Assumptions!$D$44:$D$46,MATCH($C67,Assumptions!$A$44:$A$46,0)))</f>
        <v>0</v>
      </c>
      <c r="Q111" s="23" t="n">
        <f aca="false">Q67*IF(AND($C67="Assured",Q$45&gt;=$C$25),$C$24,INDEX(Assumptions!$D$44:$D$46,MATCH($C67,Assumptions!$A$44:$A$46,0)))</f>
        <v>0</v>
      </c>
      <c r="R111" s="23" t="n">
        <f aca="false">R67*IF(AND($C67="Assured",R$45&gt;=$C$25),$C$24,INDEX(Assumptions!$D$44:$D$46,MATCH($C67,Assumptions!$A$44:$A$46,0)))</f>
        <v>0</v>
      </c>
      <c r="S111" s="23" t="n">
        <f aca="false">S67*IF(AND($C67="Assured",S$45&gt;=$C$25),$C$24,INDEX(Assumptions!$D$44:$D$46,MATCH($C67,Assumptions!$A$44:$A$46,0)))</f>
        <v>0</v>
      </c>
      <c r="T111" s="23" t="n">
        <f aca="false">T67*IF(AND($C67="Assured",T$45&gt;=$C$25),$C$24,INDEX(Assumptions!$D$44:$D$46,MATCH($C67,Assumptions!$A$44:$A$46,0)))</f>
        <v>0</v>
      </c>
      <c r="U111" s="23" t="n">
        <f aca="false">U67*IF(AND($C67="Assured",U$45&gt;=$C$25),$C$24,INDEX(Assumptions!$D$44:$D$46,MATCH($C67,Assumptions!$A$44:$A$46,0)))</f>
        <v>0</v>
      </c>
      <c r="V111" s="23" t="n">
        <f aca="false">V67*IF(AND($C67="Assured",V$45&gt;=$C$25),$C$24,INDEX(Assumptions!$D$44:$D$46,MATCH($C67,Assumptions!$A$44:$A$46,0)))</f>
        <v>0</v>
      </c>
      <c r="W111" s="23" t="n">
        <f aca="false">W67*IF(AND($C67="Assured",W$45&gt;=$C$25),$C$24,INDEX(Assumptions!$D$44:$D$46,MATCH($C67,Assumptions!$A$44:$A$46,0)))</f>
        <v>0</v>
      </c>
      <c r="X111" s="23" t="n">
        <f aca="false">X67*IF(AND($C67="Assured",X$45&gt;=$C$25),$C$24,INDEX(Assumptions!$D$44:$D$46,MATCH($C67,Assumptions!$A$44:$A$46,0)))</f>
        <v>0</v>
      </c>
      <c r="Y111" s="23" t="n">
        <f aca="false">Y67*IF(AND($C67="Assured",Y$45&gt;=$C$25),$C$24,INDEX(Assumptions!$D$44:$D$46,MATCH($C67,Assumptions!$A$44:$A$46,0)))</f>
        <v>0</v>
      </c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" hidden="false" customHeight="false" outlineLevel="0" collapsed="false">
      <c r="A113" s="37" t="s">
        <v>201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customFormat="false" ht="15" hidden="false" customHeight="false" outlineLevel="0" collapsed="false">
      <c r="A114" s="2" t="n">
        <f aca="false">A48</f>
        <v>1</v>
      </c>
      <c r="B114" s="2" t="str">
        <f aca="false">B48</f>
        <v>Pilot</v>
      </c>
      <c r="C114" s="2" t="str">
        <f aca="false">C48</f>
        <v>Assured</v>
      </c>
      <c r="D114" s="2"/>
      <c r="E114" s="2"/>
      <c r="F114" s="2"/>
      <c r="G114" s="2"/>
      <c r="H114" s="23" t="n">
        <f aca="false">IF($F48=1,IF(H$45=1,INDEX(Assumptions!$E$44:$E$46,MATCH($C48,Assumptions!$A$44:$A$46,0))*$C$34,0),IF(H$45=MAX($G48-1,1),INDEX(Assumptions!$E$44:$E$46,MATCH($C48,Assumptions!$A$44:$A$46,0)),0))*IF(AND($C48="Verified",$C$39=1),0,1)</f>
        <v>60000</v>
      </c>
      <c r="I114" s="23" t="n">
        <f aca="false">IF($F48=1,IF(I$45=1,INDEX(Assumptions!$E$44:$E$46,MATCH($C48,Assumptions!$A$44:$A$46,0))*$C$34,0),IF(I$45=MAX($G48-1,1),INDEX(Assumptions!$E$44:$E$46,MATCH($C48,Assumptions!$A$44:$A$46,0)),0))*IF(AND($C48="Verified",$C$39=1),0,1)</f>
        <v>0</v>
      </c>
      <c r="J114" s="23" t="n">
        <f aca="false">IF($F48=1,IF(J$45=1,INDEX(Assumptions!$E$44:$E$46,MATCH($C48,Assumptions!$A$44:$A$46,0))*$C$34,0),IF(J$45=MAX($G48-1,1),INDEX(Assumptions!$E$44:$E$46,MATCH($C48,Assumptions!$A$44:$A$46,0)),0))*IF(AND($C48="Verified",$C$39=1),0,1)</f>
        <v>0</v>
      </c>
      <c r="K114" s="23" t="n">
        <f aca="false">IF($F48=1,IF(K$45=1,INDEX(Assumptions!$E$44:$E$46,MATCH($C48,Assumptions!$A$44:$A$46,0))*$C$34,0),IF(K$45=MAX($G48-1,1),INDEX(Assumptions!$E$44:$E$46,MATCH($C48,Assumptions!$A$44:$A$46,0)),0))*IF(AND($C48="Verified",$C$39=1),0,1)</f>
        <v>0</v>
      </c>
      <c r="L114" s="23" t="n">
        <f aca="false">IF($F48=1,IF(L$45=1,INDEX(Assumptions!$E$44:$E$46,MATCH($C48,Assumptions!$A$44:$A$46,0))*$C$34,0),IF(L$45=MAX($G48-1,1),INDEX(Assumptions!$E$44:$E$46,MATCH($C48,Assumptions!$A$44:$A$46,0)),0))*IF(AND($C48="Verified",$C$39=1),0,1)</f>
        <v>0</v>
      </c>
      <c r="M114" s="23" t="n">
        <f aca="false">IF($F48=1,IF(M$45=1,INDEX(Assumptions!$E$44:$E$46,MATCH($C48,Assumptions!$A$44:$A$46,0))*$C$34,0),IF(M$45=MAX($G48-1,1),INDEX(Assumptions!$E$44:$E$46,MATCH($C48,Assumptions!$A$44:$A$46,0)),0))*IF(AND($C48="Verified",$C$39=1),0,1)</f>
        <v>0</v>
      </c>
      <c r="N114" s="23" t="n">
        <f aca="false">IF($F48=1,IF(N$45=1,INDEX(Assumptions!$E$44:$E$46,MATCH($C48,Assumptions!$A$44:$A$46,0))*$C$34,0),IF(N$45=MAX($G48-1,1),INDEX(Assumptions!$E$44:$E$46,MATCH($C48,Assumptions!$A$44:$A$46,0)),0))*IF(AND($C48="Verified",$C$39=1),0,1)</f>
        <v>0</v>
      </c>
      <c r="O114" s="23" t="n">
        <f aca="false">IF($F48=1,IF(O$45=1,INDEX(Assumptions!$E$44:$E$46,MATCH($C48,Assumptions!$A$44:$A$46,0))*$C$34,0),IF(O$45=MAX($G48-1,1),INDEX(Assumptions!$E$44:$E$46,MATCH($C48,Assumptions!$A$44:$A$46,0)),0))*IF(AND($C48="Verified",$C$39=1),0,1)</f>
        <v>0</v>
      </c>
      <c r="P114" s="23" t="n">
        <f aca="false">IF($F48=1,IF(P$45=1,INDEX(Assumptions!$E$44:$E$46,MATCH($C48,Assumptions!$A$44:$A$46,0))*$C$34,0),IF(P$45=MAX($G48-1,1),INDEX(Assumptions!$E$44:$E$46,MATCH($C48,Assumptions!$A$44:$A$46,0)),0))*IF(AND($C48="Verified",$C$39=1),0,1)</f>
        <v>0</v>
      </c>
      <c r="Q114" s="23" t="n">
        <f aca="false">IF($F48=1,IF(Q$45=1,INDEX(Assumptions!$E$44:$E$46,MATCH($C48,Assumptions!$A$44:$A$46,0))*$C$34,0),IF(Q$45=MAX($G48-1,1),INDEX(Assumptions!$E$44:$E$46,MATCH($C48,Assumptions!$A$44:$A$46,0)),0))*IF(AND($C48="Verified",$C$39=1),0,1)</f>
        <v>0</v>
      </c>
      <c r="R114" s="23" t="n">
        <f aca="false">IF($F48=1,IF(R$45=1,INDEX(Assumptions!$E$44:$E$46,MATCH($C48,Assumptions!$A$44:$A$46,0))*$C$34,0),IF(R$45=MAX($G48-1,1),INDEX(Assumptions!$E$44:$E$46,MATCH($C48,Assumptions!$A$44:$A$46,0)),0))*IF(AND($C48="Verified",$C$39=1),0,1)</f>
        <v>0</v>
      </c>
      <c r="S114" s="23" t="n">
        <f aca="false">IF($F48=1,IF(S$45=1,INDEX(Assumptions!$E$44:$E$46,MATCH($C48,Assumptions!$A$44:$A$46,0))*$C$34,0),IF(S$45=MAX($G48-1,1),INDEX(Assumptions!$E$44:$E$46,MATCH($C48,Assumptions!$A$44:$A$46,0)),0))*IF(AND($C48="Verified",$C$39=1),0,1)</f>
        <v>0</v>
      </c>
      <c r="T114" s="23" t="n">
        <f aca="false">IF($F48=1,IF(T$45=1,INDEX(Assumptions!$E$44:$E$46,MATCH($C48,Assumptions!$A$44:$A$46,0))*$C$34,0),IF(T$45=MAX($G48-1,1),INDEX(Assumptions!$E$44:$E$46,MATCH($C48,Assumptions!$A$44:$A$46,0)),0))*IF(AND($C48="Verified",$C$39=1),0,1)</f>
        <v>0</v>
      </c>
      <c r="U114" s="23" t="n">
        <f aca="false">IF($F48=1,IF(U$45=1,INDEX(Assumptions!$E$44:$E$46,MATCH($C48,Assumptions!$A$44:$A$46,0))*$C$34,0),IF(U$45=MAX($G48-1,1),INDEX(Assumptions!$E$44:$E$46,MATCH($C48,Assumptions!$A$44:$A$46,0)),0))*IF(AND($C48="Verified",$C$39=1),0,1)</f>
        <v>0</v>
      </c>
      <c r="V114" s="23" t="n">
        <f aca="false">IF($F48=1,IF(V$45=1,INDEX(Assumptions!$E$44:$E$46,MATCH($C48,Assumptions!$A$44:$A$46,0))*$C$34,0),IF(V$45=MAX($G48-1,1),INDEX(Assumptions!$E$44:$E$46,MATCH($C48,Assumptions!$A$44:$A$46,0)),0))*IF(AND($C48="Verified",$C$39=1),0,1)</f>
        <v>0</v>
      </c>
      <c r="W114" s="23" t="n">
        <f aca="false">IF($F48=1,IF(W$45=1,INDEX(Assumptions!$E$44:$E$46,MATCH($C48,Assumptions!$A$44:$A$46,0))*$C$34,0),IF(W$45=MAX($G48-1,1),INDEX(Assumptions!$E$44:$E$46,MATCH($C48,Assumptions!$A$44:$A$46,0)),0))*IF(AND($C48="Verified",$C$39=1),0,1)</f>
        <v>0</v>
      </c>
      <c r="X114" s="23" t="n">
        <f aca="false">IF($F48=1,IF(X$45=1,INDEX(Assumptions!$E$44:$E$46,MATCH($C48,Assumptions!$A$44:$A$46,0))*$C$34,0),IF(X$45=MAX($G48-1,1),INDEX(Assumptions!$E$44:$E$46,MATCH($C48,Assumptions!$A$44:$A$46,0)),0))*IF(AND($C48="Verified",$C$39=1),0,1)</f>
        <v>0</v>
      </c>
      <c r="Y114" s="23" t="n">
        <f aca="false">IF($F48=1,IF(Y$45=1,INDEX(Assumptions!$E$44:$E$46,MATCH($C48,Assumptions!$A$44:$A$46,0))*$C$34,0),IF(Y$45=MAX($G48-1,1),INDEX(Assumptions!$E$44:$E$46,MATCH($C48,Assumptions!$A$44:$A$46,0)),0))*IF(AND($C48="Verified",$C$39=1),0,1)</f>
        <v>0</v>
      </c>
    </row>
    <row r="115" customFormat="false" ht="15" hidden="false" customHeight="false" outlineLevel="0" collapsed="false">
      <c r="A115" s="2" t="n">
        <f aca="false">A49</f>
        <v>2</v>
      </c>
      <c r="B115" s="2" t="str">
        <f aca="false">B49</f>
        <v>Pilot</v>
      </c>
      <c r="C115" s="2" t="str">
        <f aca="false">C49</f>
        <v>Assured</v>
      </c>
      <c r="D115" s="2"/>
      <c r="E115" s="2"/>
      <c r="F115" s="2"/>
      <c r="G115" s="2"/>
      <c r="H115" s="23" t="n">
        <f aca="false">IF($F49=1,IF(H$45=1,INDEX(Assumptions!$E$44:$E$46,MATCH($C49,Assumptions!$A$44:$A$46,0))*$C$34,0),IF(H$45=MAX($G49-1,1),INDEX(Assumptions!$E$44:$E$46,MATCH($C49,Assumptions!$A$44:$A$46,0)),0))*IF(AND($C49="Verified",$C$39=1),0,1)</f>
        <v>60000</v>
      </c>
      <c r="I115" s="23" t="n">
        <f aca="false">IF($F49=1,IF(I$45=1,INDEX(Assumptions!$E$44:$E$46,MATCH($C49,Assumptions!$A$44:$A$46,0))*$C$34,0),IF(I$45=MAX($G49-1,1),INDEX(Assumptions!$E$44:$E$46,MATCH($C49,Assumptions!$A$44:$A$46,0)),0))*IF(AND($C49="Verified",$C$39=1),0,1)</f>
        <v>0</v>
      </c>
      <c r="J115" s="23" t="n">
        <f aca="false">IF($F49=1,IF(J$45=1,INDEX(Assumptions!$E$44:$E$46,MATCH($C49,Assumptions!$A$44:$A$46,0))*$C$34,0),IF(J$45=MAX($G49-1,1),INDEX(Assumptions!$E$44:$E$46,MATCH($C49,Assumptions!$A$44:$A$46,0)),0))*IF(AND($C49="Verified",$C$39=1),0,1)</f>
        <v>0</v>
      </c>
      <c r="K115" s="23" t="n">
        <f aca="false">IF($F49=1,IF(K$45=1,INDEX(Assumptions!$E$44:$E$46,MATCH($C49,Assumptions!$A$44:$A$46,0))*$C$34,0),IF(K$45=MAX($G49-1,1),INDEX(Assumptions!$E$44:$E$46,MATCH($C49,Assumptions!$A$44:$A$46,0)),0))*IF(AND($C49="Verified",$C$39=1),0,1)</f>
        <v>0</v>
      </c>
      <c r="L115" s="23" t="n">
        <f aca="false">IF($F49=1,IF(L$45=1,INDEX(Assumptions!$E$44:$E$46,MATCH($C49,Assumptions!$A$44:$A$46,0))*$C$34,0),IF(L$45=MAX($G49-1,1),INDEX(Assumptions!$E$44:$E$46,MATCH($C49,Assumptions!$A$44:$A$46,0)),0))*IF(AND($C49="Verified",$C$39=1),0,1)</f>
        <v>0</v>
      </c>
      <c r="M115" s="23" t="n">
        <f aca="false">IF($F49=1,IF(M$45=1,INDEX(Assumptions!$E$44:$E$46,MATCH($C49,Assumptions!$A$44:$A$46,0))*$C$34,0),IF(M$45=MAX($G49-1,1),INDEX(Assumptions!$E$44:$E$46,MATCH($C49,Assumptions!$A$44:$A$46,0)),0))*IF(AND($C49="Verified",$C$39=1),0,1)</f>
        <v>0</v>
      </c>
      <c r="N115" s="23" t="n">
        <f aca="false">IF($F49=1,IF(N$45=1,INDEX(Assumptions!$E$44:$E$46,MATCH($C49,Assumptions!$A$44:$A$46,0))*$C$34,0),IF(N$45=MAX($G49-1,1),INDEX(Assumptions!$E$44:$E$46,MATCH($C49,Assumptions!$A$44:$A$46,0)),0))*IF(AND($C49="Verified",$C$39=1),0,1)</f>
        <v>0</v>
      </c>
      <c r="O115" s="23" t="n">
        <f aca="false">IF($F49=1,IF(O$45=1,INDEX(Assumptions!$E$44:$E$46,MATCH($C49,Assumptions!$A$44:$A$46,0))*$C$34,0),IF(O$45=MAX($G49-1,1),INDEX(Assumptions!$E$44:$E$46,MATCH($C49,Assumptions!$A$44:$A$46,0)),0))*IF(AND($C49="Verified",$C$39=1),0,1)</f>
        <v>0</v>
      </c>
      <c r="P115" s="23" t="n">
        <f aca="false">IF($F49=1,IF(P$45=1,INDEX(Assumptions!$E$44:$E$46,MATCH($C49,Assumptions!$A$44:$A$46,0))*$C$34,0),IF(P$45=MAX($G49-1,1),INDEX(Assumptions!$E$44:$E$46,MATCH($C49,Assumptions!$A$44:$A$46,0)),0))*IF(AND($C49="Verified",$C$39=1),0,1)</f>
        <v>0</v>
      </c>
      <c r="Q115" s="23" t="n">
        <f aca="false">IF($F49=1,IF(Q$45=1,INDEX(Assumptions!$E$44:$E$46,MATCH($C49,Assumptions!$A$44:$A$46,0))*$C$34,0),IF(Q$45=MAX($G49-1,1),INDEX(Assumptions!$E$44:$E$46,MATCH($C49,Assumptions!$A$44:$A$46,0)),0))*IF(AND($C49="Verified",$C$39=1),0,1)</f>
        <v>0</v>
      </c>
      <c r="R115" s="23" t="n">
        <f aca="false">IF($F49=1,IF(R$45=1,INDEX(Assumptions!$E$44:$E$46,MATCH($C49,Assumptions!$A$44:$A$46,0))*$C$34,0),IF(R$45=MAX($G49-1,1),INDEX(Assumptions!$E$44:$E$46,MATCH($C49,Assumptions!$A$44:$A$46,0)),0))*IF(AND($C49="Verified",$C$39=1),0,1)</f>
        <v>0</v>
      </c>
      <c r="S115" s="23" t="n">
        <f aca="false">IF($F49=1,IF(S$45=1,INDEX(Assumptions!$E$44:$E$46,MATCH($C49,Assumptions!$A$44:$A$46,0))*$C$34,0),IF(S$45=MAX($G49-1,1),INDEX(Assumptions!$E$44:$E$46,MATCH($C49,Assumptions!$A$44:$A$46,0)),0))*IF(AND($C49="Verified",$C$39=1),0,1)</f>
        <v>0</v>
      </c>
      <c r="T115" s="23" t="n">
        <f aca="false">IF($F49=1,IF(T$45=1,INDEX(Assumptions!$E$44:$E$46,MATCH($C49,Assumptions!$A$44:$A$46,0))*$C$34,0),IF(T$45=MAX($G49-1,1),INDEX(Assumptions!$E$44:$E$46,MATCH($C49,Assumptions!$A$44:$A$46,0)),0))*IF(AND($C49="Verified",$C$39=1),0,1)</f>
        <v>0</v>
      </c>
      <c r="U115" s="23" t="n">
        <f aca="false">IF($F49=1,IF(U$45=1,INDEX(Assumptions!$E$44:$E$46,MATCH($C49,Assumptions!$A$44:$A$46,0))*$C$34,0),IF(U$45=MAX($G49-1,1),INDEX(Assumptions!$E$44:$E$46,MATCH($C49,Assumptions!$A$44:$A$46,0)),0))*IF(AND($C49="Verified",$C$39=1),0,1)</f>
        <v>0</v>
      </c>
      <c r="V115" s="23" t="n">
        <f aca="false">IF($F49=1,IF(V$45=1,INDEX(Assumptions!$E$44:$E$46,MATCH($C49,Assumptions!$A$44:$A$46,0))*$C$34,0),IF(V$45=MAX($G49-1,1),INDEX(Assumptions!$E$44:$E$46,MATCH($C49,Assumptions!$A$44:$A$46,0)),0))*IF(AND($C49="Verified",$C$39=1),0,1)</f>
        <v>0</v>
      </c>
      <c r="W115" s="23" t="n">
        <f aca="false">IF($F49=1,IF(W$45=1,INDEX(Assumptions!$E$44:$E$46,MATCH($C49,Assumptions!$A$44:$A$46,0))*$C$34,0),IF(W$45=MAX($G49-1,1),INDEX(Assumptions!$E$44:$E$46,MATCH($C49,Assumptions!$A$44:$A$46,0)),0))*IF(AND($C49="Verified",$C$39=1),0,1)</f>
        <v>0</v>
      </c>
      <c r="X115" s="23" t="n">
        <f aca="false">IF($F49=1,IF(X$45=1,INDEX(Assumptions!$E$44:$E$46,MATCH($C49,Assumptions!$A$44:$A$46,0))*$C$34,0),IF(X$45=MAX($G49-1,1),INDEX(Assumptions!$E$44:$E$46,MATCH($C49,Assumptions!$A$44:$A$46,0)),0))*IF(AND($C49="Verified",$C$39=1),0,1)</f>
        <v>0</v>
      </c>
      <c r="Y115" s="23" t="n">
        <f aca="false">IF($F49=1,IF(Y$45=1,INDEX(Assumptions!$E$44:$E$46,MATCH($C49,Assumptions!$A$44:$A$46,0))*$C$34,0),IF(Y$45=MAX($G49-1,1),INDEX(Assumptions!$E$44:$E$46,MATCH($C49,Assumptions!$A$44:$A$46,0)),0))*IF(AND($C49="Verified",$C$39=1),0,1)</f>
        <v>0</v>
      </c>
    </row>
    <row r="116" customFormat="false" ht="15" hidden="false" customHeight="false" outlineLevel="0" collapsed="false">
      <c r="A116" s="2" t="n">
        <f aca="false">A50</f>
        <v>3</v>
      </c>
      <c r="B116" s="2" t="str">
        <f aca="false">B50</f>
        <v>Pilot</v>
      </c>
      <c r="C116" s="2" t="str">
        <f aca="false">C50</f>
        <v>Assured</v>
      </c>
      <c r="D116" s="2"/>
      <c r="E116" s="2"/>
      <c r="F116" s="2"/>
      <c r="G116" s="2"/>
      <c r="H116" s="23" t="n">
        <f aca="false">IF($F50=1,IF(H$45=1,INDEX(Assumptions!$E$44:$E$46,MATCH($C50,Assumptions!$A$44:$A$46,0))*$C$34,0),IF(H$45=MAX($G50-1,1),INDEX(Assumptions!$E$44:$E$46,MATCH($C50,Assumptions!$A$44:$A$46,0)),0))*IF(AND($C50="Verified",$C$39=1),0,1)</f>
        <v>60000</v>
      </c>
      <c r="I116" s="23" t="n">
        <f aca="false">IF($F50=1,IF(I$45=1,INDEX(Assumptions!$E$44:$E$46,MATCH($C50,Assumptions!$A$44:$A$46,0))*$C$34,0),IF(I$45=MAX($G50-1,1),INDEX(Assumptions!$E$44:$E$46,MATCH($C50,Assumptions!$A$44:$A$46,0)),0))*IF(AND($C50="Verified",$C$39=1),0,1)</f>
        <v>0</v>
      </c>
      <c r="J116" s="23" t="n">
        <f aca="false">IF($F50=1,IF(J$45=1,INDEX(Assumptions!$E$44:$E$46,MATCH($C50,Assumptions!$A$44:$A$46,0))*$C$34,0),IF(J$45=MAX($G50-1,1),INDEX(Assumptions!$E$44:$E$46,MATCH($C50,Assumptions!$A$44:$A$46,0)),0))*IF(AND($C50="Verified",$C$39=1),0,1)</f>
        <v>0</v>
      </c>
      <c r="K116" s="23" t="n">
        <f aca="false">IF($F50=1,IF(K$45=1,INDEX(Assumptions!$E$44:$E$46,MATCH($C50,Assumptions!$A$44:$A$46,0))*$C$34,0),IF(K$45=MAX($G50-1,1),INDEX(Assumptions!$E$44:$E$46,MATCH($C50,Assumptions!$A$44:$A$46,0)),0))*IF(AND($C50="Verified",$C$39=1),0,1)</f>
        <v>0</v>
      </c>
      <c r="L116" s="23" t="n">
        <f aca="false">IF($F50=1,IF(L$45=1,INDEX(Assumptions!$E$44:$E$46,MATCH($C50,Assumptions!$A$44:$A$46,0))*$C$34,0),IF(L$45=MAX($G50-1,1),INDEX(Assumptions!$E$44:$E$46,MATCH($C50,Assumptions!$A$44:$A$46,0)),0))*IF(AND($C50="Verified",$C$39=1),0,1)</f>
        <v>0</v>
      </c>
      <c r="M116" s="23" t="n">
        <f aca="false">IF($F50=1,IF(M$45=1,INDEX(Assumptions!$E$44:$E$46,MATCH($C50,Assumptions!$A$44:$A$46,0))*$C$34,0),IF(M$45=MAX($G50-1,1),INDEX(Assumptions!$E$44:$E$46,MATCH($C50,Assumptions!$A$44:$A$46,0)),0))*IF(AND($C50="Verified",$C$39=1),0,1)</f>
        <v>0</v>
      </c>
      <c r="N116" s="23" t="n">
        <f aca="false">IF($F50=1,IF(N$45=1,INDEX(Assumptions!$E$44:$E$46,MATCH($C50,Assumptions!$A$44:$A$46,0))*$C$34,0),IF(N$45=MAX($G50-1,1),INDEX(Assumptions!$E$44:$E$46,MATCH($C50,Assumptions!$A$44:$A$46,0)),0))*IF(AND($C50="Verified",$C$39=1),0,1)</f>
        <v>0</v>
      </c>
      <c r="O116" s="23" t="n">
        <f aca="false">IF($F50=1,IF(O$45=1,INDEX(Assumptions!$E$44:$E$46,MATCH($C50,Assumptions!$A$44:$A$46,0))*$C$34,0),IF(O$45=MAX($G50-1,1),INDEX(Assumptions!$E$44:$E$46,MATCH($C50,Assumptions!$A$44:$A$46,0)),0))*IF(AND($C50="Verified",$C$39=1),0,1)</f>
        <v>0</v>
      </c>
      <c r="P116" s="23" t="n">
        <f aca="false">IF($F50=1,IF(P$45=1,INDEX(Assumptions!$E$44:$E$46,MATCH($C50,Assumptions!$A$44:$A$46,0))*$C$34,0),IF(P$45=MAX($G50-1,1),INDEX(Assumptions!$E$44:$E$46,MATCH($C50,Assumptions!$A$44:$A$46,0)),0))*IF(AND($C50="Verified",$C$39=1),0,1)</f>
        <v>0</v>
      </c>
      <c r="Q116" s="23" t="n">
        <f aca="false">IF($F50=1,IF(Q$45=1,INDEX(Assumptions!$E$44:$E$46,MATCH($C50,Assumptions!$A$44:$A$46,0))*$C$34,0),IF(Q$45=MAX($G50-1,1),INDEX(Assumptions!$E$44:$E$46,MATCH($C50,Assumptions!$A$44:$A$46,0)),0))*IF(AND($C50="Verified",$C$39=1),0,1)</f>
        <v>0</v>
      </c>
      <c r="R116" s="23" t="n">
        <f aca="false">IF($F50=1,IF(R$45=1,INDEX(Assumptions!$E$44:$E$46,MATCH($C50,Assumptions!$A$44:$A$46,0))*$C$34,0),IF(R$45=MAX($G50-1,1),INDEX(Assumptions!$E$44:$E$46,MATCH($C50,Assumptions!$A$44:$A$46,0)),0))*IF(AND($C50="Verified",$C$39=1),0,1)</f>
        <v>0</v>
      </c>
      <c r="S116" s="23" t="n">
        <f aca="false">IF($F50=1,IF(S$45=1,INDEX(Assumptions!$E$44:$E$46,MATCH($C50,Assumptions!$A$44:$A$46,0))*$C$34,0),IF(S$45=MAX($G50-1,1),INDEX(Assumptions!$E$44:$E$46,MATCH($C50,Assumptions!$A$44:$A$46,0)),0))*IF(AND($C50="Verified",$C$39=1),0,1)</f>
        <v>0</v>
      </c>
      <c r="T116" s="23" t="n">
        <f aca="false">IF($F50=1,IF(T$45=1,INDEX(Assumptions!$E$44:$E$46,MATCH($C50,Assumptions!$A$44:$A$46,0))*$C$34,0),IF(T$45=MAX($G50-1,1),INDEX(Assumptions!$E$44:$E$46,MATCH($C50,Assumptions!$A$44:$A$46,0)),0))*IF(AND($C50="Verified",$C$39=1),0,1)</f>
        <v>0</v>
      </c>
      <c r="U116" s="23" t="n">
        <f aca="false">IF($F50=1,IF(U$45=1,INDEX(Assumptions!$E$44:$E$46,MATCH($C50,Assumptions!$A$44:$A$46,0))*$C$34,0),IF(U$45=MAX($G50-1,1),INDEX(Assumptions!$E$44:$E$46,MATCH($C50,Assumptions!$A$44:$A$46,0)),0))*IF(AND($C50="Verified",$C$39=1),0,1)</f>
        <v>0</v>
      </c>
      <c r="V116" s="23" t="n">
        <f aca="false">IF($F50=1,IF(V$45=1,INDEX(Assumptions!$E$44:$E$46,MATCH($C50,Assumptions!$A$44:$A$46,0))*$C$34,0),IF(V$45=MAX($G50-1,1),INDEX(Assumptions!$E$44:$E$46,MATCH($C50,Assumptions!$A$44:$A$46,0)),0))*IF(AND($C50="Verified",$C$39=1),0,1)</f>
        <v>0</v>
      </c>
      <c r="W116" s="23" t="n">
        <f aca="false">IF($F50=1,IF(W$45=1,INDEX(Assumptions!$E$44:$E$46,MATCH($C50,Assumptions!$A$44:$A$46,0))*$C$34,0),IF(W$45=MAX($G50-1,1),INDEX(Assumptions!$E$44:$E$46,MATCH($C50,Assumptions!$A$44:$A$46,0)),0))*IF(AND($C50="Verified",$C$39=1),0,1)</f>
        <v>0</v>
      </c>
      <c r="X116" s="23" t="n">
        <f aca="false">IF($F50=1,IF(X$45=1,INDEX(Assumptions!$E$44:$E$46,MATCH($C50,Assumptions!$A$44:$A$46,0))*$C$34,0),IF(X$45=MAX($G50-1,1),INDEX(Assumptions!$E$44:$E$46,MATCH($C50,Assumptions!$A$44:$A$46,0)),0))*IF(AND($C50="Verified",$C$39=1),0,1)</f>
        <v>0</v>
      </c>
      <c r="Y116" s="23" t="n">
        <f aca="false">IF($F50=1,IF(Y$45=1,INDEX(Assumptions!$E$44:$E$46,MATCH($C50,Assumptions!$A$44:$A$46,0))*$C$34,0),IF(Y$45=MAX($G50-1,1),INDEX(Assumptions!$E$44:$E$46,MATCH($C50,Assumptions!$A$44:$A$46,0)),0))*IF(AND($C50="Verified",$C$39=1),0,1)</f>
        <v>0</v>
      </c>
    </row>
    <row r="117" customFormat="false" ht="15" hidden="false" customHeight="false" outlineLevel="0" collapsed="false">
      <c r="A117" s="2" t="n">
        <f aca="false">A51</f>
        <v>4</v>
      </c>
      <c r="B117" s="2" t="str">
        <f aca="false">B51</f>
        <v>Pilot</v>
      </c>
      <c r="C117" s="2" t="str">
        <f aca="false">C51</f>
        <v>Assured</v>
      </c>
      <c r="D117" s="2"/>
      <c r="E117" s="2"/>
      <c r="F117" s="2"/>
      <c r="G117" s="2"/>
      <c r="H117" s="23" t="n">
        <f aca="false">IF($F51=1,IF(H$45=1,INDEX(Assumptions!$E$44:$E$46,MATCH($C51,Assumptions!$A$44:$A$46,0))*$C$34,0),IF(H$45=MAX($G51-1,1),INDEX(Assumptions!$E$44:$E$46,MATCH($C51,Assumptions!$A$44:$A$46,0)),0))*IF(AND($C51="Verified",$C$39=1),0,1)</f>
        <v>60000</v>
      </c>
      <c r="I117" s="23" t="n">
        <f aca="false">IF($F51=1,IF(I$45=1,INDEX(Assumptions!$E$44:$E$46,MATCH($C51,Assumptions!$A$44:$A$46,0))*$C$34,0),IF(I$45=MAX($G51-1,1),INDEX(Assumptions!$E$44:$E$46,MATCH($C51,Assumptions!$A$44:$A$46,0)),0))*IF(AND($C51="Verified",$C$39=1),0,1)</f>
        <v>0</v>
      </c>
      <c r="J117" s="23" t="n">
        <f aca="false">IF($F51=1,IF(J$45=1,INDEX(Assumptions!$E$44:$E$46,MATCH($C51,Assumptions!$A$44:$A$46,0))*$C$34,0),IF(J$45=MAX($G51-1,1),INDEX(Assumptions!$E$44:$E$46,MATCH($C51,Assumptions!$A$44:$A$46,0)),0))*IF(AND($C51="Verified",$C$39=1),0,1)</f>
        <v>0</v>
      </c>
      <c r="K117" s="23" t="n">
        <f aca="false">IF($F51=1,IF(K$45=1,INDEX(Assumptions!$E$44:$E$46,MATCH($C51,Assumptions!$A$44:$A$46,0))*$C$34,0),IF(K$45=MAX($G51-1,1),INDEX(Assumptions!$E$44:$E$46,MATCH($C51,Assumptions!$A$44:$A$46,0)),0))*IF(AND($C51="Verified",$C$39=1),0,1)</f>
        <v>0</v>
      </c>
      <c r="L117" s="23" t="n">
        <f aca="false">IF($F51=1,IF(L$45=1,INDEX(Assumptions!$E$44:$E$46,MATCH($C51,Assumptions!$A$44:$A$46,0))*$C$34,0),IF(L$45=MAX($G51-1,1),INDEX(Assumptions!$E$44:$E$46,MATCH($C51,Assumptions!$A$44:$A$46,0)),0))*IF(AND($C51="Verified",$C$39=1),0,1)</f>
        <v>0</v>
      </c>
      <c r="M117" s="23" t="n">
        <f aca="false">IF($F51=1,IF(M$45=1,INDEX(Assumptions!$E$44:$E$46,MATCH($C51,Assumptions!$A$44:$A$46,0))*$C$34,0),IF(M$45=MAX($G51-1,1),INDEX(Assumptions!$E$44:$E$46,MATCH($C51,Assumptions!$A$44:$A$46,0)),0))*IF(AND($C51="Verified",$C$39=1),0,1)</f>
        <v>0</v>
      </c>
      <c r="N117" s="23" t="n">
        <f aca="false">IF($F51=1,IF(N$45=1,INDEX(Assumptions!$E$44:$E$46,MATCH($C51,Assumptions!$A$44:$A$46,0))*$C$34,0),IF(N$45=MAX($G51-1,1),INDEX(Assumptions!$E$44:$E$46,MATCH($C51,Assumptions!$A$44:$A$46,0)),0))*IF(AND($C51="Verified",$C$39=1),0,1)</f>
        <v>0</v>
      </c>
      <c r="O117" s="23" t="n">
        <f aca="false">IF($F51=1,IF(O$45=1,INDEX(Assumptions!$E$44:$E$46,MATCH($C51,Assumptions!$A$44:$A$46,0))*$C$34,0),IF(O$45=MAX($G51-1,1),INDEX(Assumptions!$E$44:$E$46,MATCH($C51,Assumptions!$A$44:$A$46,0)),0))*IF(AND($C51="Verified",$C$39=1),0,1)</f>
        <v>0</v>
      </c>
      <c r="P117" s="23" t="n">
        <f aca="false">IF($F51=1,IF(P$45=1,INDEX(Assumptions!$E$44:$E$46,MATCH($C51,Assumptions!$A$44:$A$46,0))*$C$34,0),IF(P$45=MAX($G51-1,1),INDEX(Assumptions!$E$44:$E$46,MATCH($C51,Assumptions!$A$44:$A$46,0)),0))*IF(AND($C51="Verified",$C$39=1),0,1)</f>
        <v>0</v>
      </c>
      <c r="Q117" s="23" t="n">
        <f aca="false">IF($F51=1,IF(Q$45=1,INDEX(Assumptions!$E$44:$E$46,MATCH($C51,Assumptions!$A$44:$A$46,0))*$C$34,0),IF(Q$45=MAX($G51-1,1),INDEX(Assumptions!$E$44:$E$46,MATCH($C51,Assumptions!$A$44:$A$46,0)),0))*IF(AND($C51="Verified",$C$39=1),0,1)</f>
        <v>0</v>
      </c>
      <c r="R117" s="23" t="n">
        <f aca="false">IF($F51=1,IF(R$45=1,INDEX(Assumptions!$E$44:$E$46,MATCH($C51,Assumptions!$A$44:$A$46,0))*$C$34,0),IF(R$45=MAX($G51-1,1),INDEX(Assumptions!$E$44:$E$46,MATCH($C51,Assumptions!$A$44:$A$46,0)),0))*IF(AND($C51="Verified",$C$39=1),0,1)</f>
        <v>0</v>
      </c>
      <c r="S117" s="23" t="n">
        <f aca="false">IF($F51=1,IF(S$45=1,INDEX(Assumptions!$E$44:$E$46,MATCH($C51,Assumptions!$A$44:$A$46,0))*$C$34,0),IF(S$45=MAX($G51-1,1),INDEX(Assumptions!$E$44:$E$46,MATCH($C51,Assumptions!$A$44:$A$46,0)),0))*IF(AND($C51="Verified",$C$39=1),0,1)</f>
        <v>0</v>
      </c>
      <c r="T117" s="23" t="n">
        <f aca="false">IF($F51=1,IF(T$45=1,INDEX(Assumptions!$E$44:$E$46,MATCH($C51,Assumptions!$A$44:$A$46,0))*$C$34,0),IF(T$45=MAX($G51-1,1),INDEX(Assumptions!$E$44:$E$46,MATCH($C51,Assumptions!$A$44:$A$46,0)),0))*IF(AND($C51="Verified",$C$39=1),0,1)</f>
        <v>0</v>
      </c>
      <c r="U117" s="23" t="n">
        <f aca="false">IF($F51=1,IF(U$45=1,INDEX(Assumptions!$E$44:$E$46,MATCH($C51,Assumptions!$A$44:$A$46,0))*$C$34,0),IF(U$45=MAX($G51-1,1),INDEX(Assumptions!$E$44:$E$46,MATCH($C51,Assumptions!$A$44:$A$46,0)),0))*IF(AND($C51="Verified",$C$39=1),0,1)</f>
        <v>0</v>
      </c>
      <c r="V117" s="23" t="n">
        <f aca="false">IF($F51=1,IF(V$45=1,INDEX(Assumptions!$E$44:$E$46,MATCH($C51,Assumptions!$A$44:$A$46,0))*$C$34,0),IF(V$45=MAX($G51-1,1),INDEX(Assumptions!$E$44:$E$46,MATCH($C51,Assumptions!$A$44:$A$46,0)),0))*IF(AND($C51="Verified",$C$39=1),0,1)</f>
        <v>0</v>
      </c>
      <c r="W117" s="23" t="n">
        <f aca="false">IF($F51=1,IF(W$45=1,INDEX(Assumptions!$E$44:$E$46,MATCH($C51,Assumptions!$A$44:$A$46,0))*$C$34,0),IF(W$45=MAX($G51-1,1),INDEX(Assumptions!$E$44:$E$46,MATCH($C51,Assumptions!$A$44:$A$46,0)),0))*IF(AND($C51="Verified",$C$39=1),0,1)</f>
        <v>0</v>
      </c>
      <c r="X117" s="23" t="n">
        <f aca="false">IF($F51=1,IF(X$45=1,INDEX(Assumptions!$E$44:$E$46,MATCH($C51,Assumptions!$A$44:$A$46,0))*$C$34,0),IF(X$45=MAX($G51-1,1),INDEX(Assumptions!$E$44:$E$46,MATCH($C51,Assumptions!$A$44:$A$46,0)),0))*IF(AND($C51="Verified",$C$39=1),0,1)</f>
        <v>0</v>
      </c>
      <c r="Y117" s="23" t="n">
        <f aca="false">IF($F51=1,IF(Y$45=1,INDEX(Assumptions!$E$44:$E$46,MATCH($C51,Assumptions!$A$44:$A$46,0))*$C$34,0),IF(Y$45=MAX($G51-1,1),INDEX(Assumptions!$E$44:$E$46,MATCH($C51,Assumptions!$A$44:$A$46,0)),0))*IF(AND($C51="Verified",$C$39=1),0,1)</f>
        <v>0</v>
      </c>
    </row>
    <row r="118" customFormat="false" ht="15" hidden="false" customHeight="false" outlineLevel="0" collapsed="false">
      <c r="A118" s="2" t="n">
        <f aca="false">A52</f>
        <v>5</v>
      </c>
      <c r="B118" s="2" t="str">
        <f aca="false">B52</f>
        <v>A</v>
      </c>
      <c r="C118" s="2" t="str">
        <f aca="false">C52</f>
        <v>Assured</v>
      </c>
      <c r="D118" s="2"/>
      <c r="E118" s="2"/>
      <c r="F118" s="2"/>
      <c r="G118" s="2"/>
      <c r="H118" s="23" t="n">
        <f aca="false">IF($F52=1,IF(H$45=1,INDEX(Assumptions!$E$44:$E$46,MATCH($C52,Assumptions!$A$44:$A$46,0))*$C$34,0),IF(H$45=MAX($G52-1,1),INDEX(Assumptions!$E$44:$E$46,MATCH($C52,Assumptions!$A$44:$A$46,0)),0))*IF(AND($C52="Verified",$C$39=1),0,1)</f>
        <v>0</v>
      </c>
      <c r="I118" s="23" t="n">
        <f aca="false">IF($F52=1,IF(I$45=1,INDEX(Assumptions!$E$44:$E$46,MATCH($C52,Assumptions!$A$44:$A$46,0))*$C$34,0),IF(I$45=MAX($G52-1,1),INDEX(Assumptions!$E$44:$E$46,MATCH($C52,Assumptions!$A$44:$A$46,0)),0))*IF(AND($C52="Verified",$C$39=1),0,1)</f>
        <v>0</v>
      </c>
      <c r="J118" s="23" t="n">
        <f aca="false">IF($F52=1,IF(J$45=1,INDEX(Assumptions!$E$44:$E$46,MATCH($C52,Assumptions!$A$44:$A$46,0))*$C$34,0),IF(J$45=MAX($G52-1,1),INDEX(Assumptions!$E$44:$E$46,MATCH($C52,Assumptions!$A$44:$A$46,0)),0))*IF(AND($C52="Verified",$C$39=1),0,1)</f>
        <v>0</v>
      </c>
      <c r="K118" s="23" t="n">
        <f aca="false">IF($F52=1,IF(K$45=1,INDEX(Assumptions!$E$44:$E$46,MATCH($C52,Assumptions!$A$44:$A$46,0))*$C$34,0),IF(K$45=MAX($G52-1,1),INDEX(Assumptions!$E$44:$E$46,MATCH($C52,Assumptions!$A$44:$A$46,0)),0))*IF(AND($C52="Verified",$C$39=1),0,1)</f>
        <v>120000</v>
      </c>
      <c r="L118" s="23" t="n">
        <f aca="false">IF($F52=1,IF(L$45=1,INDEX(Assumptions!$E$44:$E$46,MATCH($C52,Assumptions!$A$44:$A$46,0))*$C$34,0),IF(L$45=MAX($G52-1,1),INDEX(Assumptions!$E$44:$E$46,MATCH($C52,Assumptions!$A$44:$A$46,0)),0))*IF(AND($C52="Verified",$C$39=1),0,1)</f>
        <v>0</v>
      </c>
      <c r="M118" s="23" t="n">
        <f aca="false">IF($F52=1,IF(M$45=1,INDEX(Assumptions!$E$44:$E$46,MATCH($C52,Assumptions!$A$44:$A$46,0))*$C$34,0),IF(M$45=MAX($G52-1,1),INDEX(Assumptions!$E$44:$E$46,MATCH($C52,Assumptions!$A$44:$A$46,0)),0))*IF(AND($C52="Verified",$C$39=1),0,1)</f>
        <v>0</v>
      </c>
      <c r="N118" s="23" t="n">
        <f aca="false">IF($F52=1,IF(N$45=1,INDEX(Assumptions!$E$44:$E$46,MATCH($C52,Assumptions!$A$44:$A$46,0))*$C$34,0),IF(N$45=MAX($G52-1,1),INDEX(Assumptions!$E$44:$E$46,MATCH($C52,Assumptions!$A$44:$A$46,0)),0))*IF(AND($C52="Verified",$C$39=1),0,1)</f>
        <v>0</v>
      </c>
      <c r="O118" s="23" t="n">
        <f aca="false">IF($F52=1,IF(O$45=1,INDEX(Assumptions!$E$44:$E$46,MATCH($C52,Assumptions!$A$44:$A$46,0))*$C$34,0),IF(O$45=MAX($G52-1,1),INDEX(Assumptions!$E$44:$E$46,MATCH($C52,Assumptions!$A$44:$A$46,0)),0))*IF(AND($C52="Verified",$C$39=1),0,1)</f>
        <v>0</v>
      </c>
      <c r="P118" s="23" t="n">
        <f aca="false">IF($F52=1,IF(P$45=1,INDEX(Assumptions!$E$44:$E$46,MATCH($C52,Assumptions!$A$44:$A$46,0))*$C$34,0),IF(P$45=MAX($G52-1,1),INDEX(Assumptions!$E$44:$E$46,MATCH($C52,Assumptions!$A$44:$A$46,0)),0))*IF(AND($C52="Verified",$C$39=1),0,1)</f>
        <v>0</v>
      </c>
      <c r="Q118" s="23" t="n">
        <f aca="false">IF($F52=1,IF(Q$45=1,INDEX(Assumptions!$E$44:$E$46,MATCH($C52,Assumptions!$A$44:$A$46,0))*$C$34,0),IF(Q$45=MAX($G52-1,1),INDEX(Assumptions!$E$44:$E$46,MATCH($C52,Assumptions!$A$44:$A$46,0)),0))*IF(AND($C52="Verified",$C$39=1),0,1)</f>
        <v>0</v>
      </c>
      <c r="R118" s="23" t="n">
        <f aca="false">IF($F52=1,IF(R$45=1,INDEX(Assumptions!$E$44:$E$46,MATCH($C52,Assumptions!$A$44:$A$46,0))*$C$34,0),IF(R$45=MAX($G52-1,1),INDEX(Assumptions!$E$44:$E$46,MATCH($C52,Assumptions!$A$44:$A$46,0)),0))*IF(AND($C52="Verified",$C$39=1),0,1)</f>
        <v>0</v>
      </c>
      <c r="S118" s="23" t="n">
        <f aca="false">IF($F52=1,IF(S$45=1,INDEX(Assumptions!$E$44:$E$46,MATCH($C52,Assumptions!$A$44:$A$46,0))*$C$34,0),IF(S$45=MAX($G52-1,1),INDEX(Assumptions!$E$44:$E$46,MATCH($C52,Assumptions!$A$44:$A$46,0)),0))*IF(AND($C52="Verified",$C$39=1),0,1)</f>
        <v>0</v>
      </c>
      <c r="T118" s="23" t="n">
        <f aca="false">IF($F52=1,IF(T$45=1,INDEX(Assumptions!$E$44:$E$46,MATCH($C52,Assumptions!$A$44:$A$46,0))*$C$34,0),IF(T$45=MAX($G52-1,1),INDEX(Assumptions!$E$44:$E$46,MATCH($C52,Assumptions!$A$44:$A$46,0)),0))*IF(AND($C52="Verified",$C$39=1),0,1)</f>
        <v>0</v>
      </c>
      <c r="U118" s="23" t="n">
        <f aca="false">IF($F52=1,IF(U$45=1,INDEX(Assumptions!$E$44:$E$46,MATCH($C52,Assumptions!$A$44:$A$46,0))*$C$34,0),IF(U$45=MAX($G52-1,1),INDEX(Assumptions!$E$44:$E$46,MATCH($C52,Assumptions!$A$44:$A$46,0)),0))*IF(AND($C52="Verified",$C$39=1),0,1)</f>
        <v>0</v>
      </c>
      <c r="V118" s="23" t="n">
        <f aca="false">IF($F52=1,IF(V$45=1,INDEX(Assumptions!$E$44:$E$46,MATCH($C52,Assumptions!$A$44:$A$46,0))*$C$34,0),IF(V$45=MAX($G52-1,1),INDEX(Assumptions!$E$44:$E$46,MATCH($C52,Assumptions!$A$44:$A$46,0)),0))*IF(AND($C52="Verified",$C$39=1),0,1)</f>
        <v>0</v>
      </c>
      <c r="W118" s="23" t="n">
        <f aca="false">IF($F52=1,IF(W$45=1,INDEX(Assumptions!$E$44:$E$46,MATCH($C52,Assumptions!$A$44:$A$46,0))*$C$34,0),IF(W$45=MAX($G52-1,1),INDEX(Assumptions!$E$44:$E$46,MATCH($C52,Assumptions!$A$44:$A$46,0)),0))*IF(AND($C52="Verified",$C$39=1),0,1)</f>
        <v>0</v>
      </c>
      <c r="X118" s="23" t="n">
        <f aca="false">IF($F52=1,IF(X$45=1,INDEX(Assumptions!$E$44:$E$46,MATCH($C52,Assumptions!$A$44:$A$46,0))*$C$34,0),IF(X$45=MAX($G52-1,1),INDEX(Assumptions!$E$44:$E$46,MATCH($C52,Assumptions!$A$44:$A$46,0)),0))*IF(AND($C52="Verified",$C$39=1),0,1)</f>
        <v>0</v>
      </c>
      <c r="Y118" s="23" t="n">
        <f aca="false">IF($F52=1,IF(Y$45=1,INDEX(Assumptions!$E$44:$E$46,MATCH($C52,Assumptions!$A$44:$A$46,0))*$C$34,0),IF(Y$45=MAX($G52-1,1),INDEX(Assumptions!$E$44:$E$46,MATCH($C52,Assumptions!$A$44:$A$46,0)),0))*IF(AND($C52="Verified",$C$39=1),0,1)</f>
        <v>0</v>
      </c>
    </row>
    <row r="119" customFormat="false" ht="15" hidden="false" customHeight="false" outlineLevel="0" collapsed="false">
      <c r="A119" s="2" t="n">
        <f aca="false">A53</f>
        <v>6</v>
      </c>
      <c r="B119" s="2" t="str">
        <f aca="false">B53</f>
        <v>A</v>
      </c>
      <c r="C119" s="2" t="str">
        <f aca="false">C53</f>
        <v>Assured</v>
      </c>
      <c r="D119" s="2"/>
      <c r="E119" s="2"/>
      <c r="F119" s="2"/>
      <c r="G119" s="2"/>
      <c r="H119" s="23" t="n">
        <f aca="false">IF($F53=1,IF(H$45=1,INDEX(Assumptions!$E$44:$E$46,MATCH($C53,Assumptions!$A$44:$A$46,0))*$C$34,0),IF(H$45=MAX($G53-1,1),INDEX(Assumptions!$E$44:$E$46,MATCH($C53,Assumptions!$A$44:$A$46,0)),0))*IF(AND($C53="Verified",$C$39=1),0,1)</f>
        <v>0</v>
      </c>
      <c r="I119" s="23" t="n">
        <f aca="false">IF($F53=1,IF(I$45=1,INDEX(Assumptions!$E$44:$E$46,MATCH($C53,Assumptions!$A$44:$A$46,0))*$C$34,0),IF(I$45=MAX($G53-1,1),INDEX(Assumptions!$E$44:$E$46,MATCH($C53,Assumptions!$A$44:$A$46,0)),0))*IF(AND($C53="Verified",$C$39=1),0,1)</f>
        <v>0</v>
      </c>
      <c r="J119" s="23" t="n">
        <f aca="false">IF($F53=1,IF(J$45=1,INDEX(Assumptions!$E$44:$E$46,MATCH($C53,Assumptions!$A$44:$A$46,0))*$C$34,0),IF(J$45=MAX($G53-1,1),INDEX(Assumptions!$E$44:$E$46,MATCH($C53,Assumptions!$A$44:$A$46,0)),0))*IF(AND($C53="Verified",$C$39=1),0,1)</f>
        <v>0</v>
      </c>
      <c r="K119" s="23" t="n">
        <f aca="false">IF($F53=1,IF(K$45=1,INDEX(Assumptions!$E$44:$E$46,MATCH($C53,Assumptions!$A$44:$A$46,0))*$C$34,0),IF(K$45=MAX($G53-1,1),INDEX(Assumptions!$E$44:$E$46,MATCH($C53,Assumptions!$A$44:$A$46,0)),0))*IF(AND($C53="Verified",$C$39=1),0,1)</f>
        <v>120000</v>
      </c>
      <c r="L119" s="23" t="n">
        <f aca="false">IF($F53=1,IF(L$45=1,INDEX(Assumptions!$E$44:$E$46,MATCH($C53,Assumptions!$A$44:$A$46,0))*$C$34,0),IF(L$45=MAX($G53-1,1),INDEX(Assumptions!$E$44:$E$46,MATCH($C53,Assumptions!$A$44:$A$46,0)),0))*IF(AND($C53="Verified",$C$39=1),0,1)</f>
        <v>0</v>
      </c>
      <c r="M119" s="23" t="n">
        <f aca="false">IF($F53=1,IF(M$45=1,INDEX(Assumptions!$E$44:$E$46,MATCH($C53,Assumptions!$A$44:$A$46,0))*$C$34,0),IF(M$45=MAX($G53-1,1),INDEX(Assumptions!$E$44:$E$46,MATCH($C53,Assumptions!$A$44:$A$46,0)),0))*IF(AND($C53="Verified",$C$39=1),0,1)</f>
        <v>0</v>
      </c>
      <c r="N119" s="23" t="n">
        <f aca="false">IF($F53=1,IF(N$45=1,INDEX(Assumptions!$E$44:$E$46,MATCH($C53,Assumptions!$A$44:$A$46,0))*$C$34,0),IF(N$45=MAX($G53-1,1),INDEX(Assumptions!$E$44:$E$46,MATCH($C53,Assumptions!$A$44:$A$46,0)),0))*IF(AND($C53="Verified",$C$39=1),0,1)</f>
        <v>0</v>
      </c>
      <c r="O119" s="23" t="n">
        <f aca="false">IF($F53=1,IF(O$45=1,INDEX(Assumptions!$E$44:$E$46,MATCH($C53,Assumptions!$A$44:$A$46,0))*$C$34,0),IF(O$45=MAX($G53-1,1),INDEX(Assumptions!$E$44:$E$46,MATCH($C53,Assumptions!$A$44:$A$46,0)),0))*IF(AND($C53="Verified",$C$39=1),0,1)</f>
        <v>0</v>
      </c>
      <c r="P119" s="23" t="n">
        <f aca="false">IF($F53=1,IF(P$45=1,INDEX(Assumptions!$E$44:$E$46,MATCH($C53,Assumptions!$A$44:$A$46,0))*$C$34,0),IF(P$45=MAX($G53-1,1),INDEX(Assumptions!$E$44:$E$46,MATCH($C53,Assumptions!$A$44:$A$46,0)),0))*IF(AND($C53="Verified",$C$39=1),0,1)</f>
        <v>0</v>
      </c>
      <c r="Q119" s="23" t="n">
        <f aca="false">IF($F53=1,IF(Q$45=1,INDEX(Assumptions!$E$44:$E$46,MATCH($C53,Assumptions!$A$44:$A$46,0))*$C$34,0),IF(Q$45=MAX($G53-1,1),INDEX(Assumptions!$E$44:$E$46,MATCH($C53,Assumptions!$A$44:$A$46,0)),0))*IF(AND($C53="Verified",$C$39=1),0,1)</f>
        <v>0</v>
      </c>
      <c r="R119" s="23" t="n">
        <f aca="false">IF($F53=1,IF(R$45=1,INDEX(Assumptions!$E$44:$E$46,MATCH($C53,Assumptions!$A$44:$A$46,0))*$C$34,0),IF(R$45=MAX($G53-1,1),INDEX(Assumptions!$E$44:$E$46,MATCH($C53,Assumptions!$A$44:$A$46,0)),0))*IF(AND($C53="Verified",$C$39=1),0,1)</f>
        <v>0</v>
      </c>
      <c r="S119" s="23" t="n">
        <f aca="false">IF($F53=1,IF(S$45=1,INDEX(Assumptions!$E$44:$E$46,MATCH($C53,Assumptions!$A$44:$A$46,0))*$C$34,0),IF(S$45=MAX($G53-1,1),INDEX(Assumptions!$E$44:$E$46,MATCH($C53,Assumptions!$A$44:$A$46,0)),0))*IF(AND($C53="Verified",$C$39=1),0,1)</f>
        <v>0</v>
      </c>
      <c r="T119" s="23" t="n">
        <f aca="false">IF($F53=1,IF(T$45=1,INDEX(Assumptions!$E$44:$E$46,MATCH($C53,Assumptions!$A$44:$A$46,0))*$C$34,0),IF(T$45=MAX($G53-1,1),INDEX(Assumptions!$E$44:$E$46,MATCH($C53,Assumptions!$A$44:$A$46,0)),0))*IF(AND($C53="Verified",$C$39=1),0,1)</f>
        <v>0</v>
      </c>
      <c r="U119" s="23" t="n">
        <f aca="false">IF($F53=1,IF(U$45=1,INDEX(Assumptions!$E$44:$E$46,MATCH($C53,Assumptions!$A$44:$A$46,0))*$C$34,0),IF(U$45=MAX($G53-1,1),INDEX(Assumptions!$E$44:$E$46,MATCH($C53,Assumptions!$A$44:$A$46,0)),0))*IF(AND($C53="Verified",$C$39=1),0,1)</f>
        <v>0</v>
      </c>
      <c r="V119" s="23" t="n">
        <f aca="false">IF($F53=1,IF(V$45=1,INDEX(Assumptions!$E$44:$E$46,MATCH($C53,Assumptions!$A$44:$A$46,0))*$C$34,0),IF(V$45=MAX($G53-1,1),INDEX(Assumptions!$E$44:$E$46,MATCH($C53,Assumptions!$A$44:$A$46,0)),0))*IF(AND($C53="Verified",$C$39=1),0,1)</f>
        <v>0</v>
      </c>
      <c r="W119" s="23" t="n">
        <f aca="false">IF($F53=1,IF(W$45=1,INDEX(Assumptions!$E$44:$E$46,MATCH($C53,Assumptions!$A$44:$A$46,0))*$C$34,0),IF(W$45=MAX($G53-1,1),INDEX(Assumptions!$E$44:$E$46,MATCH($C53,Assumptions!$A$44:$A$46,0)),0))*IF(AND($C53="Verified",$C$39=1),0,1)</f>
        <v>0</v>
      </c>
      <c r="X119" s="23" t="n">
        <f aca="false">IF($F53=1,IF(X$45=1,INDEX(Assumptions!$E$44:$E$46,MATCH($C53,Assumptions!$A$44:$A$46,0))*$C$34,0),IF(X$45=MAX($G53-1,1),INDEX(Assumptions!$E$44:$E$46,MATCH($C53,Assumptions!$A$44:$A$46,0)),0))*IF(AND($C53="Verified",$C$39=1),0,1)</f>
        <v>0</v>
      </c>
      <c r="Y119" s="23" t="n">
        <f aca="false">IF($F53=1,IF(Y$45=1,INDEX(Assumptions!$E$44:$E$46,MATCH($C53,Assumptions!$A$44:$A$46,0))*$C$34,0),IF(Y$45=MAX($G53-1,1),INDEX(Assumptions!$E$44:$E$46,MATCH($C53,Assumptions!$A$44:$A$46,0)),0))*IF(AND($C53="Verified",$C$39=1),0,1)</f>
        <v>0</v>
      </c>
    </row>
    <row r="120" customFormat="false" ht="15" hidden="false" customHeight="false" outlineLevel="0" collapsed="false">
      <c r="A120" s="2" t="n">
        <f aca="false">A54</f>
        <v>7</v>
      </c>
      <c r="B120" s="2" t="str">
        <f aca="false">B54</f>
        <v>A</v>
      </c>
      <c r="C120" s="2" t="str">
        <f aca="false">C54</f>
        <v>Assured</v>
      </c>
      <c r="D120" s="2"/>
      <c r="E120" s="2"/>
      <c r="F120" s="2"/>
      <c r="G120" s="2"/>
      <c r="H120" s="23" t="n">
        <f aca="false">IF($F54=1,IF(H$45=1,INDEX(Assumptions!$E$44:$E$46,MATCH($C54,Assumptions!$A$44:$A$46,0))*$C$34,0),IF(H$45=MAX($G54-1,1),INDEX(Assumptions!$E$44:$E$46,MATCH($C54,Assumptions!$A$44:$A$46,0)),0))*IF(AND($C54="Verified",$C$39=1),0,1)</f>
        <v>0</v>
      </c>
      <c r="I120" s="23" t="n">
        <f aca="false">IF($F54=1,IF(I$45=1,INDEX(Assumptions!$E$44:$E$46,MATCH($C54,Assumptions!$A$44:$A$46,0))*$C$34,0),IF(I$45=MAX($G54-1,1),INDEX(Assumptions!$E$44:$E$46,MATCH($C54,Assumptions!$A$44:$A$46,0)),0))*IF(AND($C54="Verified",$C$39=1),0,1)</f>
        <v>0</v>
      </c>
      <c r="J120" s="23" t="n">
        <f aca="false">IF($F54=1,IF(J$45=1,INDEX(Assumptions!$E$44:$E$46,MATCH($C54,Assumptions!$A$44:$A$46,0))*$C$34,0),IF(J$45=MAX($G54-1,1),INDEX(Assumptions!$E$44:$E$46,MATCH($C54,Assumptions!$A$44:$A$46,0)),0))*IF(AND($C54="Verified",$C$39=1),0,1)</f>
        <v>0</v>
      </c>
      <c r="K120" s="23" t="n">
        <f aca="false">IF($F54=1,IF(K$45=1,INDEX(Assumptions!$E$44:$E$46,MATCH($C54,Assumptions!$A$44:$A$46,0))*$C$34,0),IF(K$45=MAX($G54-1,1),INDEX(Assumptions!$E$44:$E$46,MATCH($C54,Assumptions!$A$44:$A$46,0)),0))*IF(AND($C54="Verified",$C$39=1),0,1)</f>
        <v>0</v>
      </c>
      <c r="L120" s="23" t="n">
        <f aca="false">IF($F54=1,IF(L$45=1,INDEX(Assumptions!$E$44:$E$46,MATCH($C54,Assumptions!$A$44:$A$46,0))*$C$34,0),IF(L$45=MAX($G54-1,1),INDEX(Assumptions!$E$44:$E$46,MATCH($C54,Assumptions!$A$44:$A$46,0)),0))*IF(AND($C54="Verified",$C$39=1),0,1)</f>
        <v>120000</v>
      </c>
      <c r="M120" s="23" t="n">
        <f aca="false">IF($F54=1,IF(M$45=1,INDEX(Assumptions!$E$44:$E$46,MATCH($C54,Assumptions!$A$44:$A$46,0))*$C$34,0),IF(M$45=MAX($G54-1,1),INDEX(Assumptions!$E$44:$E$46,MATCH($C54,Assumptions!$A$44:$A$46,0)),0))*IF(AND($C54="Verified",$C$39=1),0,1)</f>
        <v>0</v>
      </c>
      <c r="N120" s="23" t="n">
        <f aca="false">IF($F54=1,IF(N$45=1,INDEX(Assumptions!$E$44:$E$46,MATCH($C54,Assumptions!$A$44:$A$46,0))*$C$34,0),IF(N$45=MAX($G54-1,1),INDEX(Assumptions!$E$44:$E$46,MATCH($C54,Assumptions!$A$44:$A$46,0)),0))*IF(AND($C54="Verified",$C$39=1),0,1)</f>
        <v>0</v>
      </c>
      <c r="O120" s="23" t="n">
        <f aca="false">IF($F54=1,IF(O$45=1,INDEX(Assumptions!$E$44:$E$46,MATCH($C54,Assumptions!$A$44:$A$46,0))*$C$34,0),IF(O$45=MAX($G54-1,1),INDEX(Assumptions!$E$44:$E$46,MATCH($C54,Assumptions!$A$44:$A$46,0)),0))*IF(AND($C54="Verified",$C$39=1),0,1)</f>
        <v>0</v>
      </c>
      <c r="P120" s="23" t="n">
        <f aca="false">IF($F54=1,IF(P$45=1,INDEX(Assumptions!$E$44:$E$46,MATCH($C54,Assumptions!$A$44:$A$46,0))*$C$34,0),IF(P$45=MAX($G54-1,1),INDEX(Assumptions!$E$44:$E$46,MATCH($C54,Assumptions!$A$44:$A$46,0)),0))*IF(AND($C54="Verified",$C$39=1),0,1)</f>
        <v>0</v>
      </c>
      <c r="Q120" s="23" t="n">
        <f aca="false">IF($F54=1,IF(Q$45=1,INDEX(Assumptions!$E$44:$E$46,MATCH($C54,Assumptions!$A$44:$A$46,0))*$C$34,0),IF(Q$45=MAX($G54-1,1),INDEX(Assumptions!$E$44:$E$46,MATCH($C54,Assumptions!$A$44:$A$46,0)),0))*IF(AND($C54="Verified",$C$39=1),0,1)</f>
        <v>0</v>
      </c>
      <c r="R120" s="23" t="n">
        <f aca="false">IF($F54=1,IF(R$45=1,INDEX(Assumptions!$E$44:$E$46,MATCH($C54,Assumptions!$A$44:$A$46,0))*$C$34,0),IF(R$45=MAX($G54-1,1),INDEX(Assumptions!$E$44:$E$46,MATCH($C54,Assumptions!$A$44:$A$46,0)),0))*IF(AND($C54="Verified",$C$39=1),0,1)</f>
        <v>0</v>
      </c>
      <c r="S120" s="23" t="n">
        <f aca="false">IF($F54=1,IF(S$45=1,INDEX(Assumptions!$E$44:$E$46,MATCH($C54,Assumptions!$A$44:$A$46,0))*$C$34,0),IF(S$45=MAX($G54-1,1),INDEX(Assumptions!$E$44:$E$46,MATCH($C54,Assumptions!$A$44:$A$46,0)),0))*IF(AND($C54="Verified",$C$39=1),0,1)</f>
        <v>0</v>
      </c>
      <c r="T120" s="23" t="n">
        <f aca="false">IF($F54=1,IF(T$45=1,INDEX(Assumptions!$E$44:$E$46,MATCH($C54,Assumptions!$A$44:$A$46,0))*$C$34,0),IF(T$45=MAX($G54-1,1),INDEX(Assumptions!$E$44:$E$46,MATCH($C54,Assumptions!$A$44:$A$46,0)),0))*IF(AND($C54="Verified",$C$39=1),0,1)</f>
        <v>0</v>
      </c>
      <c r="U120" s="23" t="n">
        <f aca="false">IF($F54=1,IF(U$45=1,INDEX(Assumptions!$E$44:$E$46,MATCH($C54,Assumptions!$A$44:$A$46,0))*$C$34,0),IF(U$45=MAX($G54-1,1),INDEX(Assumptions!$E$44:$E$46,MATCH($C54,Assumptions!$A$44:$A$46,0)),0))*IF(AND($C54="Verified",$C$39=1),0,1)</f>
        <v>0</v>
      </c>
      <c r="V120" s="23" t="n">
        <f aca="false">IF($F54=1,IF(V$45=1,INDEX(Assumptions!$E$44:$E$46,MATCH($C54,Assumptions!$A$44:$A$46,0))*$C$34,0),IF(V$45=MAX($G54-1,1),INDEX(Assumptions!$E$44:$E$46,MATCH($C54,Assumptions!$A$44:$A$46,0)),0))*IF(AND($C54="Verified",$C$39=1),0,1)</f>
        <v>0</v>
      </c>
      <c r="W120" s="23" t="n">
        <f aca="false">IF($F54=1,IF(W$45=1,INDEX(Assumptions!$E$44:$E$46,MATCH($C54,Assumptions!$A$44:$A$46,0))*$C$34,0),IF(W$45=MAX($G54-1,1),INDEX(Assumptions!$E$44:$E$46,MATCH($C54,Assumptions!$A$44:$A$46,0)),0))*IF(AND($C54="Verified",$C$39=1),0,1)</f>
        <v>0</v>
      </c>
      <c r="X120" s="23" t="n">
        <f aca="false">IF($F54=1,IF(X$45=1,INDEX(Assumptions!$E$44:$E$46,MATCH($C54,Assumptions!$A$44:$A$46,0))*$C$34,0),IF(X$45=MAX($G54-1,1),INDEX(Assumptions!$E$44:$E$46,MATCH($C54,Assumptions!$A$44:$A$46,0)),0))*IF(AND($C54="Verified",$C$39=1),0,1)</f>
        <v>0</v>
      </c>
      <c r="Y120" s="23" t="n">
        <f aca="false">IF($F54=1,IF(Y$45=1,INDEX(Assumptions!$E$44:$E$46,MATCH($C54,Assumptions!$A$44:$A$46,0))*$C$34,0),IF(Y$45=MAX($G54-1,1),INDEX(Assumptions!$E$44:$E$46,MATCH($C54,Assumptions!$A$44:$A$46,0)),0))*IF(AND($C54="Verified",$C$39=1),0,1)</f>
        <v>0</v>
      </c>
    </row>
    <row r="121" customFormat="false" ht="15" hidden="false" customHeight="false" outlineLevel="0" collapsed="false">
      <c r="A121" s="2" t="n">
        <f aca="false">A55</f>
        <v>8</v>
      </c>
      <c r="B121" s="2" t="str">
        <f aca="false">B55</f>
        <v>A</v>
      </c>
      <c r="C121" s="2" t="str">
        <f aca="false">C55</f>
        <v>Assured</v>
      </c>
      <c r="D121" s="2"/>
      <c r="E121" s="2"/>
      <c r="F121" s="2"/>
      <c r="G121" s="2"/>
      <c r="H121" s="23" t="n">
        <f aca="false">IF($F55=1,IF(H$45=1,INDEX(Assumptions!$E$44:$E$46,MATCH($C55,Assumptions!$A$44:$A$46,0))*$C$34,0),IF(H$45=MAX($G55-1,1),INDEX(Assumptions!$E$44:$E$46,MATCH($C55,Assumptions!$A$44:$A$46,0)),0))*IF(AND($C55="Verified",$C$39=1),0,1)</f>
        <v>0</v>
      </c>
      <c r="I121" s="23" t="n">
        <f aca="false">IF($F55=1,IF(I$45=1,INDEX(Assumptions!$E$44:$E$46,MATCH($C55,Assumptions!$A$44:$A$46,0))*$C$34,0),IF(I$45=MAX($G55-1,1),INDEX(Assumptions!$E$44:$E$46,MATCH($C55,Assumptions!$A$44:$A$46,0)),0))*IF(AND($C55="Verified",$C$39=1),0,1)</f>
        <v>0</v>
      </c>
      <c r="J121" s="23" t="n">
        <f aca="false">IF($F55=1,IF(J$45=1,INDEX(Assumptions!$E$44:$E$46,MATCH($C55,Assumptions!$A$44:$A$46,0))*$C$34,0),IF(J$45=MAX($G55-1,1),INDEX(Assumptions!$E$44:$E$46,MATCH($C55,Assumptions!$A$44:$A$46,0)),0))*IF(AND($C55="Verified",$C$39=1),0,1)</f>
        <v>0</v>
      </c>
      <c r="K121" s="23" t="n">
        <f aca="false">IF($F55=1,IF(K$45=1,INDEX(Assumptions!$E$44:$E$46,MATCH($C55,Assumptions!$A$44:$A$46,0))*$C$34,0),IF(K$45=MAX($G55-1,1),INDEX(Assumptions!$E$44:$E$46,MATCH($C55,Assumptions!$A$44:$A$46,0)),0))*IF(AND($C55="Verified",$C$39=1),0,1)</f>
        <v>0</v>
      </c>
      <c r="L121" s="23" t="n">
        <f aca="false">IF($F55=1,IF(L$45=1,INDEX(Assumptions!$E$44:$E$46,MATCH($C55,Assumptions!$A$44:$A$46,0))*$C$34,0),IF(L$45=MAX($G55-1,1),INDEX(Assumptions!$E$44:$E$46,MATCH($C55,Assumptions!$A$44:$A$46,0)),0))*IF(AND($C55="Verified",$C$39=1),0,1)</f>
        <v>120000</v>
      </c>
      <c r="M121" s="23" t="n">
        <f aca="false">IF($F55=1,IF(M$45=1,INDEX(Assumptions!$E$44:$E$46,MATCH($C55,Assumptions!$A$44:$A$46,0))*$C$34,0),IF(M$45=MAX($G55-1,1),INDEX(Assumptions!$E$44:$E$46,MATCH($C55,Assumptions!$A$44:$A$46,0)),0))*IF(AND($C55="Verified",$C$39=1),0,1)</f>
        <v>0</v>
      </c>
      <c r="N121" s="23" t="n">
        <f aca="false">IF($F55=1,IF(N$45=1,INDEX(Assumptions!$E$44:$E$46,MATCH($C55,Assumptions!$A$44:$A$46,0))*$C$34,0),IF(N$45=MAX($G55-1,1),INDEX(Assumptions!$E$44:$E$46,MATCH($C55,Assumptions!$A$44:$A$46,0)),0))*IF(AND($C55="Verified",$C$39=1),0,1)</f>
        <v>0</v>
      </c>
      <c r="O121" s="23" t="n">
        <f aca="false">IF($F55=1,IF(O$45=1,INDEX(Assumptions!$E$44:$E$46,MATCH($C55,Assumptions!$A$44:$A$46,0))*$C$34,0),IF(O$45=MAX($G55-1,1),INDEX(Assumptions!$E$44:$E$46,MATCH($C55,Assumptions!$A$44:$A$46,0)),0))*IF(AND($C55="Verified",$C$39=1),0,1)</f>
        <v>0</v>
      </c>
      <c r="P121" s="23" t="n">
        <f aca="false">IF($F55=1,IF(P$45=1,INDEX(Assumptions!$E$44:$E$46,MATCH($C55,Assumptions!$A$44:$A$46,0))*$C$34,0),IF(P$45=MAX($G55-1,1),INDEX(Assumptions!$E$44:$E$46,MATCH($C55,Assumptions!$A$44:$A$46,0)),0))*IF(AND($C55="Verified",$C$39=1),0,1)</f>
        <v>0</v>
      </c>
      <c r="Q121" s="23" t="n">
        <f aca="false">IF($F55=1,IF(Q$45=1,INDEX(Assumptions!$E$44:$E$46,MATCH($C55,Assumptions!$A$44:$A$46,0))*$C$34,0),IF(Q$45=MAX($G55-1,1),INDEX(Assumptions!$E$44:$E$46,MATCH($C55,Assumptions!$A$44:$A$46,0)),0))*IF(AND($C55="Verified",$C$39=1),0,1)</f>
        <v>0</v>
      </c>
      <c r="R121" s="23" t="n">
        <f aca="false">IF($F55=1,IF(R$45=1,INDEX(Assumptions!$E$44:$E$46,MATCH($C55,Assumptions!$A$44:$A$46,0))*$C$34,0),IF(R$45=MAX($G55-1,1),INDEX(Assumptions!$E$44:$E$46,MATCH($C55,Assumptions!$A$44:$A$46,0)),0))*IF(AND($C55="Verified",$C$39=1),0,1)</f>
        <v>0</v>
      </c>
      <c r="S121" s="23" t="n">
        <f aca="false">IF($F55=1,IF(S$45=1,INDEX(Assumptions!$E$44:$E$46,MATCH($C55,Assumptions!$A$44:$A$46,0))*$C$34,0),IF(S$45=MAX($G55-1,1),INDEX(Assumptions!$E$44:$E$46,MATCH($C55,Assumptions!$A$44:$A$46,0)),0))*IF(AND($C55="Verified",$C$39=1),0,1)</f>
        <v>0</v>
      </c>
      <c r="T121" s="23" t="n">
        <f aca="false">IF($F55=1,IF(T$45=1,INDEX(Assumptions!$E$44:$E$46,MATCH($C55,Assumptions!$A$44:$A$46,0))*$C$34,0),IF(T$45=MAX($G55-1,1),INDEX(Assumptions!$E$44:$E$46,MATCH($C55,Assumptions!$A$44:$A$46,0)),0))*IF(AND($C55="Verified",$C$39=1),0,1)</f>
        <v>0</v>
      </c>
      <c r="U121" s="23" t="n">
        <f aca="false">IF($F55=1,IF(U$45=1,INDEX(Assumptions!$E$44:$E$46,MATCH($C55,Assumptions!$A$44:$A$46,0))*$C$34,0),IF(U$45=MAX($G55-1,1),INDEX(Assumptions!$E$44:$E$46,MATCH($C55,Assumptions!$A$44:$A$46,0)),0))*IF(AND($C55="Verified",$C$39=1),0,1)</f>
        <v>0</v>
      </c>
      <c r="V121" s="23" t="n">
        <f aca="false">IF($F55=1,IF(V$45=1,INDEX(Assumptions!$E$44:$E$46,MATCH($C55,Assumptions!$A$44:$A$46,0))*$C$34,0),IF(V$45=MAX($G55-1,1),INDEX(Assumptions!$E$44:$E$46,MATCH($C55,Assumptions!$A$44:$A$46,0)),0))*IF(AND($C55="Verified",$C$39=1),0,1)</f>
        <v>0</v>
      </c>
      <c r="W121" s="23" t="n">
        <f aca="false">IF($F55=1,IF(W$45=1,INDEX(Assumptions!$E$44:$E$46,MATCH($C55,Assumptions!$A$44:$A$46,0))*$C$34,0),IF(W$45=MAX($G55-1,1),INDEX(Assumptions!$E$44:$E$46,MATCH($C55,Assumptions!$A$44:$A$46,0)),0))*IF(AND($C55="Verified",$C$39=1),0,1)</f>
        <v>0</v>
      </c>
      <c r="X121" s="23" t="n">
        <f aca="false">IF($F55=1,IF(X$45=1,INDEX(Assumptions!$E$44:$E$46,MATCH($C55,Assumptions!$A$44:$A$46,0))*$C$34,0),IF(X$45=MAX($G55-1,1),INDEX(Assumptions!$E$44:$E$46,MATCH($C55,Assumptions!$A$44:$A$46,0)),0))*IF(AND($C55="Verified",$C$39=1),0,1)</f>
        <v>0</v>
      </c>
      <c r="Y121" s="23" t="n">
        <f aca="false">IF($F55=1,IF(Y$45=1,INDEX(Assumptions!$E$44:$E$46,MATCH($C55,Assumptions!$A$44:$A$46,0))*$C$34,0),IF(Y$45=MAX($G55-1,1),INDEX(Assumptions!$E$44:$E$46,MATCH($C55,Assumptions!$A$44:$A$46,0)),0))*IF(AND($C55="Verified",$C$39=1),0,1)</f>
        <v>0</v>
      </c>
    </row>
    <row r="122" customFormat="false" ht="15" hidden="false" customHeight="false" outlineLevel="0" collapsed="false">
      <c r="A122" s="2" t="n">
        <f aca="false">A56</f>
        <v>9</v>
      </c>
      <c r="B122" s="2" t="str">
        <f aca="false">B56</f>
        <v>A</v>
      </c>
      <c r="C122" s="2" t="str">
        <f aca="false">C56</f>
        <v>Assured</v>
      </c>
      <c r="D122" s="2"/>
      <c r="E122" s="2"/>
      <c r="F122" s="2"/>
      <c r="G122" s="2"/>
      <c r="H122" s="23" t="n">
        <f aca="false">IF($F56=1,IF(H$45=1,INDEX(Assumptions!$E$44:$E$46,MATCH($C56,Assumptions!$A$44:$A$46,0))*$C$34,0),IF(H$45=MAX($G56-1,1),INDEX(Assumptions!$E$44:$E$46,MATCH($C56,Assumptions!$A$44:$A$46,0)),0))*IF(AND($C56="Verified",$C$39=1),0,1)</f>
        <v>0</v>
      </c>
      <c r="I122" s="23" t="n">
        <f aca="false">IF($F56=1,IF(I$45=1,INDEX(Assumptions!$E$44:$E$46,MATCH($C56,Assumptions!$A$44:$A$46,0))*$C$34,0),IF(I$45=MAX($G56-1,1),INDEX(Assumptions!$E$44:$E$46,MATCH($C56,Assumptions!$A$44:$A$46,0)),0))*IF(AND($C56="Verified",$C$39=1),0,1)</f>
        <v>0</v>
      </c>
      <c r="J122" s="23" t="n">
        <f aca="false">IF($F56=1,IF(J$45=1,INDEX(Assumptions!$E$44:$E$46,MATCH($C56,Assumptions!$A$44:$A$46,0))*$C$34,0),IF(J$45=MAX($G56-1,1),INDEX(Assumptions!$E$44:$E$46,MATCH($C56,Assumptions!$A$44:$A$46,0)),0))*IF(AND($C56="Verified",$C$39=1),0,1)</f>
        <v>0</v>
      </c>
      <c r="K122" s="23" t="n">
        <f aca="false">IF($F56=1,IF(K$45=1,INDEX(Assumptions!$E$44:$E$46,MATCH($C56,Assumptions!$A$44:$A$46,0))*$C$34,0),IF(K$45=MAX($G56-1,1),INDEX(Assumptions!$E$44:$E$46,MATCH($C56,Assumptions!$A$44:$A$46,0)),0))*IF(AND($C56="Verified",$C$39=1),0,1)</f>
        <v>0</v>
      </c>
      <c r="L122" s="23" t="n">
        <f aca="false">IF($F56=1,IF(L$45=1,INDEX(Assumptions!$E$44:$E$46,MATCH($C56,Assumptions!$A$44:$A$46,0))*$C$34,0),IF(L$45=MAX($G56-1,1),INDEX(Assumptions!$E$44:$E$46,MATCH($C56,Assumptions!$A$44:$A$46,0)),0))*IF(AND($C56="Verified",$C$39=1),0,1)</f>
        <v>0</v>
      </c>
      <c r="M122" s="23" t="n">
        <f aca="false">IF($F56=1,IF(M$45=1,INDEX(Assumptions!$E$44:$E$46,MATCH($C56,Assumptions!$A$44:$A$46,0))*$C$34,0),IF(M$45=MAX($G56-1,1),INDEX(Assumptions!$E$44:$E$46,MATCH($C56,Assumptions!$A$44:$A$46,0)),0))*IF(AND($C56="Verified",$C$39=1),0,1)</f>
        <v>120000</v>
      </c>
      <c r="N122" s="23" t="n">
        <f aca="false">IF($F56=1,IF(N$45=1,INDEX(Assumptions!$E$44:$E$46,MATCH($C56,Assumptions!$A$44:$A$46,0))*$C$34,0),IF(N$45=MAX($G56-1,1),INDEX(Assumptions!$E$44:$E$46,MATCH($C56,Assumptions!$A$44:$A$46,0)),0))*IF(AND($C56="Verified",$C$39=1),0,1)</f>
        <v>0</v>
      </c>
      <c r="O122" s="23" t="n">
        <f aca="false">IF($F56=1,IF(O$45=1,INDEX(Assumptions!$E$44:$E$46,MATCH($C56,Assumptions!$A$44:$A$46,0))*$C$34,0),IF(O$45=MAX($G56-1,1),INDEX(Assumptions!$E$44:$E$46,MATCH($C56,Assumptions!$A$44:$A$46,0)),0))*IF(AND($C56="Verified",$C$39=1),0,1)</f>
        <v>0</v>
      </c>
      <c r="P122" s="23" t="n">
        <f aca="false">IF($F56=1,IF(P$45=1,INDEX(Assumptions!$E$44:$E$46,MATCH($C56,Assumptions!$A$44:$A$46,0))*$C$34,0),IF(P$45=MAX($G56-1,1),INDEX(Assumptions!$E$44:$E$46,MATCH($C56,Assumptions!$A$44:$A$46,0)),0))*IF(AND($C56="Verified",$C$39=1),0,1)</f>
        <v>0</v>
      </c>
      <c r="Q122" s="23" t="n">
        <f aca="false">IF($F56=1,IF(Q$45=1,INDEX(Assumptions!$E$44:$E$46,MATCH($C56,Assumptions!$A$44:$A$46,0))*$C$34,0),IF(Q$45=MAX($G56-1,1),INDEX(Assumptions!$E$44:$E$46,MATCH($C56,Assumptions!$A$44:$A$46,0)),0))*IF(AND($C56="Verified",$C$39=1),0,1)</f>
        <v>0</v>
      </c>
      <c r="R122" s="23" t="n">
        <f aca="false">IF($F56=1,IF(R$45=1,INDEX(Assumptions!$E$44:$E$46,MATCH($C56,Assumptions!$A$44:$A$46,0))*$C$34,0),IF(R$45=MAX($G56-1,1),INDEX(Assumptions!$E$44:$E$46,MATCH($C56,Assumptions!$A$44:$A$46,0)),0))*IF(AND($C56="Verified",$C$39=1),0,1)</f>
        <v>0</v>
      </c>
      <c r="S122" s="23" t="n">
        <f aca="false">IF($F56=1,IF(S$45=1,INDEX(Assumptions!$E$44:$E$46,MATCH($C56,Assumptions!$A$44:$A$46,0))*$C$34,0),IF(S$45=MAX($G56-1,1),INDEX(Assumptions!$E$44:$E$46,MATCH($C56,Assumptions!$A$44:$A$46,0)),0))*IF(AND($C56="Verified",$C$39=1),0,1)</f>
        <v>0</v>
      </c>
      <c r="T122" s="23" t="n">
        <f aca="false">IF($F56=1,IF(T$45=1,INDEX(Assumptions!$E$44:$E$46,MATCH($C56,Assumptions!$A$44:$A$46,0))*$C$34,0),IF(T$45=MAX($G56-1,1),INDEX(Assumptions!$E$44:$E$46,MATCH($C56,Assumptions!$A$44:$A$46,0)),0))*IF(AND($C56="Verified",$C$39=1),0,1)</f>
        <v>0</v>
      </c>
      <c r="U122" s="23" t="n">
        <f aca="false">IF($F56=1,IF(U$45=1,INDEX(Assumptions!$E$44:$E$46,MATCH($C56,Assumptions!$A$44:$A$46,0))*$C$34,0),IF(U$45=MAX($G56-1,1),INDEX(Assumptions!$E$44:$E$46,MATCH($C56,Assumptions!$A$44:$A$46,0)),0))*IF(AND($C56="Verified",$C$39=1),0,1)</f>
        <v>0</v>
      </c>
      <c r="V122" s="23" t="n">
        <f aca="false">IF($F56=1,IF(V$45=1,INDEX(Assumptions!$E$44:$E$46,MATCH($C56,Assumptions!$A$44:$A$46,0))*$C$34,0),IF(V$45=MAX($G56-1,1),INDEX(Assumptions!$E$44:$E$46,MATCH($C56,Assumptions!$A$44:$A$46,0)),0))*IF(AND($C56="Verified",$C$39=1),0,1)</f>
        <v>0</v>
      </c>
      <c r="W122" s="23" t="n">
        <f aca="false">IF($F56=1,IF(W$45=1,INDEX(Assumptions!$E$44:$E$46,MATCH($C56,Assumptions!$A$44:$A$46,0))*$C$34,0),IF(W$45=MAX($G56-1,1),INDEX(Assumptions!$E$44:$E$46,MATCH($C56,Assumptions!$A$44:$A$46,0)),0))*IF(AND($C56="Verified",$C$39=1),0,1)</f>
        <v>0</v>
      </c>
      <c r="X122" s="23" t="n">
        <f aca="false">IF($F56=1,IF(X$45=1,INDEX(Assumptions!$E$44:$E$46,MATCH($C56,Assumptions!$A$44:$A$46,0))*$C$34,0),IF(X$45=MAX($G56-1,1),INDEX(Assumptions!$E$44:$E$46,MATCH($C56,Assumptions!$A$44:$A$46,0)),0))*IF(AND($C56="Verified",$C$39=1),0,1)</f>
        <v>0</v>
      </c>
      <c r="Y122" s="23" t="n">
        <f aca="false">IF($F56=1,IF(Y$45=1,INDEX(Assumptions!$E$44:$E$46,MATCH($C56,Assumptions!$A$44:$A$46,0))*$C$34,0),IF(Y$45=MAX($G56-1,1),INDEX(Assumptions!$E$44:$E$46,MATCH($C56,Assumptions!$A$44:$A$46,0)),0))*IF(AND($C56="Verified",$C$39=1),0,1)</f>
        <v>0</v>
      </c>
    </row>
    <row r="123" customFormat="false" ht="15" hidden="false" customHeight="false" outlineLevel="0" collapsed="false">
      <c r="A123" s="2" t="n">
        <f aca="false">A57</f>
        <v>10</v>
      </c>
      <c r="B123" s="2" t="str">
        <f aca="false">B57</f>
        <v>C</v>
      </c>
      <c r="C123" s="2" t="str">
        <f aca="false">C57</f>
        <v>Assured</v>
      </c>
      <c r="D123" s="2"/>
      <c r="E123" s="2"/>
      <c r="F123" s="2"/>
      <c r="G123" s="2"/>
      <c r="H123" s="23" t="n">
        <f aca="false">IF($F57=1,IF(H$45=1,INDEX(Assumptions!$E$44:$E$46,MATCH($C57,Assumptions!$A$44:$A$46,0))*$C$34,0),IF(H$45=MAX($G57-1,1),INDEX(Assumptions!$E$44:$E$46,MATCH($C57,Assumptions!$A$44:$A$46,0)),0))*IF(AND($C57="Verified",$C$39=1),0,1)</f>
        <v>0</v>
      </c>
      <c r="I123" s="23" t="n">
        <f aca="false">IF($F57=1,IF(I$45=1,INDEX(Assumptions!$E$44:$E$46,MATCH($C57,Assumptions!$A$44:$A$46,0))*$C$34,0),IF(I$45=MAX($G57-1,1),INDEX(Assumptions!$E$44:$E$46,MATCH($C57,Assumptions!$A$44:$A$46,0)),0))*IF(AND($C57="Verified",$C$39=1),0,1)</f>
        <v>0</v>
      </c>
      <c r="J123" s="23" t="n">
        <f aca="false">IF($F57=1,IF(J$45=1,INDEX(Assumptions!$E$44:$E$46,MATCH($C57,Assumptions!$A$44:$A$46,0))*$C$34,0),IF(J$45=MAX($G57-1,1),INDEX(Assumptions!$E$44:$E$46,MATCH($C57,Assumptions!$A$44:$A$46,0)),0))*IF(AND($C57="Verified",$C$39=1),0,1)</f>
        <v>0</v>
      </c>
      <c r="K123" s="23" t="n">
        <f aca="false">IF($F57=1,IF(K$45=1,INDEX(Assumptions!$E$44:$E$46,MATCH($C57,Assumptions!$A$44:$A$46,0))*$C$34,0),IF(K$45=MAX($G57-1,1),INDEX(Assumptions!$E$44:$E$46,MATCH($C57,Assumptions!$A$44:$A$46,0)),0))*IF(AND($C57="Verified",$C$39=1),0,1)</f>
        <v>0</v>
      </c>
      <c r="L123" s="23" t="n">
        <f aca="false">IF($F57=1,IF(L$45=1,INDEX(Assumptions!$E$44:$E$46,MATCH($C57,Assumptions!$A$44:$A$46,0))*$C$34,0),IF(L$45=MAX($G57-1,1),INDEX(Assumptions!$E$44:$E$46,MATCH($C57,Assumptions!$A$44:$A$46,0)),0))*IF(AND($C57="Verified",$C$39=1),0,1)</f>
        <v>0</v>
      </c>
      <c r="M123" s="23" t="n">
        <f aca="false">IF($F57=1,IF(M$45=1,INDEX(Assumptions!$E$44:$E$46,MATCH($C57,Assumptions!$A$44:$A$46,0))*$C$34,0),IF(M$45=MAX($G57-1,1),INDEX(Assumptions!$E$44:$E$46,MATCH($C57,Assumptions!$A$44:$A$46,0)),0))*IF(AND($C57="Verified",$C$39=1),0,1)</f>
        <v>0</v>
      </c>
      <c r="N123" s="23" t="n">
        <f aca="false">IF($F57=1,IF(N$45=1,INDEX(Assumptions!$E$44:$E$46,MATCH($C57,Assumptions!$A$44:$A$46,0))*$C$34,0),IF(N$45=MAX($G57-1,1),INDEX(Assumptions!$E$44:$E$46,MATCH($C57,Assumptions!$A$44:$A$46,0)),0))*IF(AND($C57="Verified",$C$39=1),0,1)</f>
        <v>120000</v>
      </c>
      <c r="O123" s="23" t="n">
        <f aca="false">IF($F57=1,IF(O$45=1,INDEX(Assumptions!$E$44:$E$46,MATCH($C57,Assumptions!$A$44:$A$46,0))*$C$34,0),IF(O$45=MAX($G57-1,1),INDEX(Assumptions!$E$44:$E$46,MATCH($C57,Assumptions!$A$44:$A$46,0)),0))*IF(AND($C57="Verified",$C$39=1),0,1)</f>
        <v>0</v>
      </c>
      <c r="P123" s="23" t="n">
        <f aca="false">IF($F57=1,IF(P$45=1,INDEX(Assumptions!$E$44:$E$46,MATCH($C57,Assumptions!$A$44:$A$46,0))*$C$34,0),IF(P$45=MAX($G57-1,1),INDEX(Assumptions!$E$44:$E$46,MATCH($C57,Assumptions!$A$44:$A$46,0)),0))*IF(AND($C57="Verified",$C$39=1),0,1)</f>
        <v>0</v>
      </c>
      <c r="Q123" s="23" t="n">
        <f aca="false">IF($F57=1,IF(Q$45=1,INDEX(Assumptions!$E$44:$E$46,MATCH($C57,Assumptions!$A$44:$A$46,0))*$C$34,0),IF(Q$45=MAX($G57-1,1),INDEX(Assumptions!$E$44:$E$46,MATCH($C57,Assumptions!$A$44:$A$46,0)),0))*IF(AND($C57="Verified",$C$39=1),0,1)</f>
        <v>0</v>
      </c>
      <c r="R123" s="23" t="n">
        <f aca="false">IF($F57=1,IF(R$45=1,INDEX(Assumptions!$E$44:$E$46,MATCH($C57,Assumptions!$A$44:$A$46,0))*$C$34,0),IF(R$45=MAX($G57-1,1),INDEX(Assumptions!$E$44:$E$46,MATCH($C57,Assumptions!$A$44:$A$46,0)),0))*IF(AND($C57="Verified",$C$39=1),0,1)</f>
        <v>0</v>
      </c>
      <c r="S123" s="23" t="n">
        <f aca="false">IF($F57=1,IF(S$45=1,INDEX(Assumptions!$E$44:$E$46,MATCH($C57,Assumptions!$A$44:$A$46,0))*$C$34,0),IF(S$45=MAX($G57-1,1),INDEX(Assumptions!$E$44:$E$46,MATCH($C57,Assumptions!$A$44:$A$46,0)),0))*IF(AND($C57="Verified",$C$39=1),0,1)</f>
        <v>0</v>
      </c>
      <c r="T123" s="23" t="n">
        <f aca="false">IF($F57=1,IF(T$45=1,INDEX(Assumptions!$E$44:$E$46,MATCH($C57,Assumptions!$A$44:$A$46,0))*$C$34,0),IF(T$45=MAX($G57-1,1),INDEX(Assumptions!$E$44:$E$46,MATCH($C57,Assumptions!$A$44:$A$46,0)),0))*IF(AND($C57="Verified",$C$39=1),0,1)</f>
        <v>0</v>
      </c>
      <c r="U123" s="23" t="n">
        <f aca="false">IF($F57=1,IF(U$45=1,INDEX(Assumptions!$E$44:$E$46,MATCH($C57,Assumptions!$A$44:$A$46,0))*$C$34,0),IF(U$45=MAX($G57-1,1),INDEX(Assumptions!$E$44:$E$46,MATCH($C57,Assumptions!$A$44:$A$46,0)),0))*IF(AND($C57="Verified",$C$39=1),0,1)</f>
        <v>0</v>
      </c>
      <c r="V123" s="23" t="n">
        <f aca="false">IF($F57=1,IF(V$45=1,INDEX(Assumptions!$E$44:$E$46,MATCH($C57,Assumptions!$A$44:$A$46,0))*$C$34,0),IF(V$45=MAX($G57-1,1),INDEX(Assumptions!$E$44:$E$46,MATCH($C57,Assumptions!$A$44:$A$46,0)),0))*IF(AND($C57="Verified",$C$39=1),0,1)</f>
        <v>0</v>
      </c>
      <c r="W123" s="23" t="n">
        <f aca="false">IF($F57=1,IF(W$45=1,INDEX(Assumptions!$E$44:$E$46,MATCH($C57,Assumptions!$A$44:$A$46,0))*$C$34,0),IF(W$45=MAX($G57-1,1),INDEX(Assumptions!$E$44:$E$46,MATCH($C57,Assumptions!$A$44:$A$46,0)),0))*IF(AND($C57="Verified",$C$39=1),0,1)</f>
        <v>0</v>
      </c>
      <c r="X123" s="23" t="n">
        <f aca="false">IF($F57=1,IF(X$45=1,INDEX(Assumptions!$E$44:$E$46,MATCH($C57,Assumptions!$A$44:$A$46,0))*$C$34,0),IF(X$45=MAX($G57-1,1),INDEX(Assumptions!$E$44:$E$46,MATCH($C57,Assumptions!$A$44:$A$46,0)),0))*IF(AND($C57="Verified",$C$39=1),0,1)</f>
        <v>0</v>
      </c>
      <c r="Y123" s="23" t="n">
        <f aca="false">IF($F57=1,IF(Y$45=1,INDEX(Assumptions!$E$44:$E$46,MATCH($C57,Assumptions!$A$44:$A$46,0))*$C$34,0),IF(Y$45=MAX($G57-1,1),INDEX(Assumptions!$E$44:$E$46,MATCH($C57,Assumptions!$A$44:$A$46,0)),0))*IF(AND($C57="Verified",$C$39=1),0,1)</f>
        <v>0</v>
      </c>
    </row>
    <row r="124" customFormat="false" ht="15" hidden="false" customHeight="false" outlineLevel="0" collapsed="false">
      <c r="A124" s="2" t="n">
        <f aca="false">A58</f>
        <v>11</v>
      </c>
      <c r="B124" s="2" t="str">
        <f aca="false">B58</f>
        <v>C</v>
      </c>
      <c r="C124" s="2" t="str">
        <f aca="false">C58</f>
        <v>Assured</v>
      </c>
      <c r="D124" s="2"/>
      <c r="E124" s="2"/>
      <c r="F124" s="2"/>
      <c r="G124" s="2"/>
      <c r="H124" s="23" t="n">
        <f aca="false">IF($F58=1,IF(H$45=1,INDEX(Assumptions!$E$44:$E$46,MATCH($C58,Assumptions!$A$44:$A$46,0))*$C$34,0),IF(H$45=MAX($G58-1,1),INDEX(Assumptions!$E$44:$E$46,MATCH($C58,Assumptions!$A$44:$A$46,0)),0))*IF(AND($C58="Verified",$C$39=1),0,1)</f>
        <v>0</v>
      </c>
      <c r="I124" s="23" t="n">
        <f aca="false">IF($F58=1,IF(I$45=1,INDEX(Assumptions!$E$44:$E$46,MATCH($C58,Assumptions!$A$44:$A$46,0))*$C$34,0),IF(I$45=MAX($G58-1,1),INDEX(Assumptions!$E$44:$E$46,MATCH($C58,Assumptions!$A$44:$A$46,0)),0))*IF(AND($C58="Verified",$C$39=1),0,1)</f>
        <v>0</v>
      </c>
      <c r="J124" s="23" t="n">
        <f aca="false">IF($F58=1,IF(J$45=1,INDEX(Assumptions!$E$44:$E$46,MATCH($C58,Assumptions!$A$44:$A$46,0))*$C$34,0),IF(J$45=MAX($G58-1,1),INDEX(Assumptions!$E$44:$E$46,MATCH($C58,Assumptions!$A$44:$A$46,0)),0))*IF(AND($C58="Verified",$C$39=1),0,1)</f>
        <v>0</v>
      </c>
      <c r="K124" s="23" t="n">
        <f aca="false">IF($F58=1,IF(K$45=1,INDEX(Assumptions!$E$44:$E$46,MATCH($C58,Assumptions!$A$44:$A$46,0))*$C$34,0),IF(K$45=MAX($G58-1,1),INDEX(Assumptions!$E$44:$E$46,MATCH($C58,Assumptions!$A$44:$A$46,0)),0))*IF(AND($C58="Verified",$C$39=1),0,1)</f>
        <v>0</v>
      </c>
      <c r="L124" s="23" t="n">
        <f aca="false">IF($F58=1,IF(L$45=1,INDEX(Assumptions!$E$44:$E$46,MATCH($C58,Assumptions!$A$44:$A$46,0))*$C$34,0),IF(L$45=MAX($G58-1,1),INDEX(Assumptions!$E$44:$E$46,MATCH($C58,Assumptions!$A$44:$A$46,0)),0))*IF(AND($C58="Verified",$C$39=1),0,1)</f>
        <v>0</v>
      </c>
      <c r="M124" s="23" t="n">
        <f aca="false">IF($F58=1,IF(M$45=1,INDEX(Assumptions!$E$44:$E$46,MATCH($C58,Assumptions!$A$44:$A$46,0))*$C$34,0),IF(M$45=MAX($G58-1,1),INDEX(Assumptions!$E$44:$E$46,MATCH($C58,Assumptions!$A$44:$A$46,0)),0))*IF(AND($C58="Verified",$C$39=1),0,1)</f>
        <v>0</v>
      </c>
      <c r="N124" s="23" t="n">
        <f aca="false">IF($F58=1,IF(N$45=1,INDEX(Assumptions!$E$44:$E$46,MATCH($C58,Assumptions!$A$44:$A$46,0))*$C$34,0),IF(N$45=MAX($G58-1,1),INDEX(Assumptions!$E$44:$E$46,MATCH($C58,Assumptions!$A$44:$A$46,0)),0))*IF(AND($C58="Verified",$C$39=1),0,1)</f>
        <v>0</v>
      </c>
      <c r="O124" s="23" t="n">
        <f aca="false">IF($F58=1,IF(O$45=1,INDEX(Assumptions!$E$44:$E$46,MATCH($C58,Assumptions!$A$44:$A$46,0))*$C$34,0),IF(O$45=MAX($G58-1,1),INDEX(Assumptions!$E$44:$E$46,MATCH($C58,Assumptions!$A$44:$A$46,0)),0))*IF(AND($C58="Verified",$C$39=1),0,1)</f>
        <v>120000</v>
      </c>
      <c r="P124" s="23" t="n">
        <f aca="false">IF($F58=1,IF(P$45=1,INDEX(Assumptions!$E$44:$E$46,MATCH($C58,Assumptions!$A$44:$A$46,0))*$C$34,0),IF(P$45=MAX($G58-1,1),INDEX(Assumptions!$E$44:$E$46,MATCH($C58,Assumptions!$A$44:$A$46,0)),0))*IF(AND($C58="Verified",$C$39=1),0,1)</f>
        <v>0</v>
      </c>
      <c r="Q124" s="23" t="n">
        <f aca="false">IF($F58=1,IF(Q$45=1,INDEX(Assumptions!$E$44:$E$46,MATCH($C58,Assumptions!$A$44:$A$46,0))*$C$34,0),IF(Q$45=MAX($G58-1,1),INDEX(Assumptions!$E$44:$E$46,MATCH($C58,Assumptions!$A$44:$A$46,0)),0))*IF(AND($C58="Verified",$C$39=1),0,1)</f>
        <v>0</v>
      </c>
      <c r="R124" s="23" t="n">
        <f aca="false">IF($F58=1,IF(R$45=1,INDEX(Assumptions!$E$44:$E$46,MATCH($C58,Assumptions!$A$44:$A$46,0))*$C$34,0),IF(R$45=MAX($G58-1,1),INDEX(Assumptions!$E$44:$E$46,MATCH($C58,Assumptions!$A$44:$A$46,0)),0))*IF(AND($C58="Verified",$C$39=1),0,1)</f>
        <v>0</v>
      </c>
      <c r="S124" s="23" t="n">
        <f aca="false">IF($F58=1,IF(S$45=1,INDEX(Assumptions!$E$44:$E$46,MATCH($C58,Assumptions!$A$44:$A$46,0))*$C$34,0),IF(S$45=MAX($G58-1,1),INDEX(Assumptions!$E$44:$E$46,MATCH($C58,Assumptions!$A$44:$A$46,0)),0))*IF(AND($C58="Verified",$C$39=1),0,1)</f>
        <v>0</v>
      </c>
      <c r="T124" s="23" t="n">
        <f aca="false">IF($F58=1,IF(T$45=1,INDEX(Assumptions!$E$44:$E$46,MATCH($C58,Assumptions!$A$44:$A$46,0))*$C$34,0),IF(T$45=MAX($G58-1,1),INDEX(Assumptions!$E$44:$E$46,MATCH($C58,Assumptions!$A$44:$A$46,0)),0))*IF(AND($C58="Verified",$C$39=1),0,1)</f>
        <v>0</v>
      </c>
      <c r="U124" s="23" t="n">
        <f aca="false">IF($F58=1,IF(U$45=1,INDEX(Assumptions!$E$44:$E$46,MATCH($C58,Assumptions!$A$44:$A$46,0))*$C$34,0),IF(U$45=MAX($G58-1,1),INDEX(Assumptions!$E$44:$E$46,MATCH($C58,Assumptions!$A$44:$A$46,0)),0))*IF(AND($C58="Verified",$C$39=1),0,1)</f>
        <v>0</v>
      </c>
      <c r="V124" s="23" t="n">
        <f aca="false">IF($F58=1,IF(V$45=1,INDEX(Assumptions!$E$44:$E$46,MATCH($C58,Assumptions!$A$44:$A$46,0))*$C$34,0),IF(V$45=MAX($G58-1,1),INDEX(Assumptions!$E$44:$E$46,MATCH($C58,Assumptions!$A$44:$A$46,0)),0))*IF(AND($C58="Verified",$C$39=1),0,1)</f>
        <v>0</v>
      </c>
      <c r="W124" s="23" t="n">
        <f aca="false">IF($F58=1,IF(W$45=1,INDEX(Assumptions!$E$44:$E$46,MATCH($C58,Assumptions!$A$44:$A$46,0))*$C$34,0),IF(W$45=MAX($G58-1,1),INDEX(Assumptions!$E$44:$E$46,MATCH($C58,Assumptions!$A$44:$A$46,0)),0))*IF(AND($C58="Verified",$C$39=1),0,1)</f>
        <v>0</v>
      </c>
      <c r="X124" s="23" t="n">
        <f aca="false">IF($F58=1,IF(X$45=1,INDEX(Assumptions!$E$44:$E$46,MATCH($C58,Assumptions!$A$44:$A$46,0))*$C$34,0),IF(X$45=MAX($G58-1,1),INDEX(Assumptions!$E$44:$E$46,MATCH($C58,Assumptions!$A$44:$A$46,0)),0))*IF(AND($C58="Verified",$C$39=1),0,1)</f>
        <v>0</v>
      </c>
      <c r="Y124" s="23" t="n">
        <f aca="false">IF($F58=1,IF(Y$45=1,INDEX(Assumptions!$E$44:$E$46,MATCH($C58,Assumptions!$A$44:$A$46,0))*$C$34,0),IF(Y$45=MAX($G58-1,1),INDEX(Assumptions!$E$44:$E$46,MATCH($C58,Assumptions!$A$44:$A$46,0)),0))*IF(AND($C58="Verified",$C$39=1),0,1)</f>
        <v>0</v>
      </c>
    </row>
    <row r="125" customFormat="false" ht="15" hidden="false" customHeight="false" outlineLevel="0" collapsed="false">
      <c r="A125" s="2" t="n">
        <f aca="false">A59</f>
        <v>12</v>
      </c>
      <c r="B125" s="2" t="str">
        <f aca="false">B59</f>
        <v>C</v>
      </c>
      <c r="C125" s="2" t="str">
        <f aca="false">C59</f>
        <v>Assured</v>
      </c>
      <c r="D125" s="2"/>
      <c r="E125" s="2"/>
      <c r="F125" s="2"/>
      <c r="G125" s="2"/>
      <c r="H125" s="23" t="n">
        <f aca="false">IF($F59=1,IF(H$45=1,INDEX(Assumptions!$E$44:$E$46,MATCH($C59,Assumptions!$A$44:$A$46,0))*$C$34,0),IF(H$45=MAX($G59-1,1),INDEX(Assumptions!$E$44:$E$46,MATCH($C59,Assumptions!$A$44:$A$46,0)),0))*IF(AND($C59="Verified",$C$39=1),0,1)</f>
        <v>0</v>
      </c>
      <c r="I125" s="23" t="n">
        <f aca="false">IF($F59=1,IF(I$45=1,INDEX(Assumptions!$E$44:$E$46,MATCH($C59,Assumptions!$A$44:$A$46,0))*$C$34,0),IF(I$45=MAX($G59-1,1),INDEX(Assumptions!$E$44:$E$46,MATCH($C59,Assumptions!$A$44:$A$46,0)),0))*IF(AND($C59="Verified",$C$39=1),0,1)</f>
        <v>0</v>
      </c>
      <c r="J125" s="23" t="n">
        <f aca="false">IF($F59=1,IF(J$45=1,INDEX(Assumptions!$E$44:$E$46,MATCH($C59,Assumptions!$A$44:$A$46,0))*$C$34,0),IF(J$45=MAX($G59-1,1),INDEX(Assumptions!$E$44:$E$46,MATCH($C59,Assumptions!$A$44:$A$46,0)),0))*IF(AND($C59="Verified",$C$39=1),0,1)</f>
        <v>0</v>
      </c>
      <c r="K125" s="23" t="n">
        <f aca="false">IF($F59=1,IF(K$45=1,INDEX(Assumptions!$E$44:$E$46,MATCH($C59,Assumptions!$A$44:$A$46,0))*$C$34,0),IF(K$45=MAX($G59-1,1),INDEX(Assumptions!$E$44:$E$46,MATCH($C59,Assumptions!$A$44:$A$46,0)),0))*IF(AND($C59="Verified",$C$39=1),0,1)</f>
        <v>0</v>
      </c>
      <c r="L125" s="23" t="n">
        <f aca="false">IF($F59=1,IF(L$45=1,INDEX(Assumptions!$E$44:$E$46,MATCH($C59,Assumptions!$A$44:$A$46,0))*$C$34,0),IF(L$45=MAX($G59-1,1),INDEX(Assumptions!$E$44:$E$46,MATCH($C59,Assumptions!$A$44:$A$46,0)),0))*IF(AND($C59="Verified",$C$39=1),0,1)</f>
        <v>0</v>
      </c>
      <c r="M125" s="23" t="n">
        <f aca="false">IF($F59=1,IF(M$45=1,INDEX(Assumptions!$E$44:$E$46,MATCH($C59,Assumptions!$A$44:$A$46,0))*$C$34,0),IF(M$45=MAX($G59-1,1),INDEX(Assumptions!$E$44:$E$46,MATCH($C59,Assumptions!$A$44:$A$46,0)),0))*IF(AND($C59="Verified",$C$39=1),0,1)</f>
        <v>0</v>
      </c>
      <c r="N125" s="23" t="n">
        <f aca="false">IF($F59=1,IF(N$45=1,INDEX(Assumptions!$E$44:$E$46,MATCH($C59,Assumptions!$A$44:$A$46,0))*$C$34,0),IF(N$45=MAX($G59-1,1),INDEX(Assumptions!$E$44:$E$46,MATCH($C59,Assumptions!$A$44:$A$46,0)),0))*IF(AND($C59="Verified",$C$39=1),0,1)</f>
        <v>0</v>
      </c>
      <c r="O125" s="23" t="n">
        <f aca="false">IF($F59=1,IF(O$45=1,INDEX(Assumptions!$E$44:$E$46,MATCH($C59,Assumptions!$A$44:$A$46,0))*$C$34,0),IF(O$45=MAX($G59-1,1),INDEX(Assumptions!$E$44:$E$46,MATCH($C59,Assumptions!$A$44:$A$46,0)),0))*IF(AND($C59="Verified",$C$39=1),0,1)</f>
        <v>120000</v>
      </c>
      <c r="P125" s="23" t="n">
        <f aca="false">IF($F59=1,IF(P$45=1,INDEX(Assumptions!$E$44:$E$46,MATCH($C59,Assumptions!$A$44:$A$46,0))*$C$34,0),IF(P$45=MAX($G59-1,1),INDEX(Assumptions!$E$44:$E$46,MATCH($C59,Assumptions!$A$44:$A$46,0)),0))*IF(AND($C59="Verified",$C$39=1),0,1)</f>
        <v>0</v>
      </c>
      <c r="Q125" s="23" t="n">
        <f aca="false">IF($F59=1,IF(Q$45=1,INDEX(Assumptions!$E$44:$E$46,MATCH($C59,Assumptions!$A$44:$A$46,0))*$C$34,0),IF(Q$45=MAX($G59-1,1),INDEX(Assumptions!$E$44:$E$46,MATCH($C59,Assumptions!$A$44:$A$46,0)),0))*IF(AND($C59="Verified",$C$39=1),0,1)</f>
        <v>0</v>
      </c>
      <c r="R125" s="23" t="n">
        <f aca="false">IF($F59=1,IF(R$45=1,INDEX(Assumptions!$E$44:$E$46,MATCH($C59,Assumptions!$A$44:$A$46,0))*$C$34,0),IF(R$45=MAX($G59-1,1),INDEX(Assumptions!$E$44:$E$46,MATCH($C59,Assumptions!$A$44:$A$46,0)),0))*IF(AND($C59="Verified",$C$39=1),0,1)</f>
        <v>0</v>
      </c>
      <c r="S125" s="23" t="n">
        <f aca="false">IF($F59=1,IF(S$45=1,INDEX(Assumptions!$E$44:$E$46,MATCH($C59,Assumptions!$A$44:$A$46,0))*$C$34,0),IF(S$45=MAX($G59-1,1),INDEX(Assumptions!$E$44:$E$46,MATCH($C59,Assumptions!$A$44:$A$46,0)),0))*IF(AND($C59="Verified",$C$39=1),0,1)</f>
        <v>0</v>
      </c>
      <c r="T125" s="23" t="n">
        <f aca="false">IF($F59=1,IF(T$45=1,INDEX(Assumptions!$E$44:$E$46,MATCH($C59,Assumptions!$A$44:$A$46,0))*$C$34,0),IF(T$45=MAX($G59-1,1),INDEX(Assumptions!$E$44:$E$46,MATCH($C59,Assumptions!$A$44:$A$46,0)),0))*IF(AND($C59="Verified",$C$39=1),0,1)</f>
        <v>0</v>
      </c>
      <c r="U125" s="23" t="n">
        <f aca="false">IF($F59=1,IF(U$45=1,INDEX(Assumptions!$E$44:$E$46,MATCH($C59,Assumptions!$A$44:$A$46,0))*$C$34,0),IF(U$45=MAX($G59-1,1),INDEX(Assumptions!$E$44:$E$46,MATCH($C59,Assumptions!$A$44:$A$46,0)),0))*IF(AND($C59="Verified",$C$39=1),0,1)</f>
        <v>0</v>
      </c>
      <c r="V125" s="23" t="n">
        <f aca="false">IF($F59=1,IF(V$45=1,INDEX(Assumptions!$E$44:$E$46,MATCH($C59,Assumptions!$A$44:$A$46,0))*$C$34,0),IF(V$45=MAX($G59-1,1),INDEX(Assumptions!$E$44:$E$46,MATCH($C59,Assumptions!$A$44:$A$46,0)),0))*IF(AND($C59="Verified",$C$39=1),0,1)</f>
        <v>0</v>
      </c>
      <c r="W125" s="23" t="n">
        <f aca="false">IF($F59=1,IF(W$45=1,INDEX(Assumptions!$E$44:$E$46,MATCH($C59,Assumptions!$A$44:$A$46,0))*$C$34,0),IF(W$45=MAX($G59-1,1),INDEX(Assumptions!$E$44:$E$46,MATCH($C59,Assumptions!$A$44:$A$46,0)),0))*IF(AND($C59="Verified",$C$39=1),0,1)</f>
        <v>0</v>
      </c>
      <c r="X125" s="23" t="n">
        <f aca="false">IF($F59=1,IF(X$45=1,INDEX(Assumptions!$E$44:$E$46,MATCH($C59,Assumptions!$A$44:$A$46,0))*$C$34,0),IF(X$45=MAX($G59-1,1),INDEX(Assumptions!$E$44:$E$46,MATCH($C59,Assumptions!$A$44:$A$46,0)),0))*IF(AND($C59="Verified",$C$39=1),0,1)</f>
        <v>0</v>
      </c>
      <c r="Y125" s="23" t="n">
        <f aca="false">IF($F59=1,IF(Y$45=1,INDEX(Assumptions!$E$44:$E$46,MATCH($C59,Assumptions!$A$44:$A$46,0))*$C$34,0),IF(Y$45=MAX($G59-1,1),INDEX(Assumptions!$E$44:$E$46,MATCH($C59,Assumptions!$A$44:$A$46,0)),0))*IF(AND($C59="Verified",$C$39=1),0,1)</f>
        <v>0</v>
      </c>
    </row>
    <row r="126" customFormat="false" ht="15" hidden="false" customHeight="false" outlineLevel="0" collapsed="false">
      <c r="A126" s="2" t="n">
        <f aca="false">A60</f>
        <v>13</v>
      </c>
      <c r="B126" s="2" t="str">
        <f aca="false">B60</f>
        <v>C</v>
      </c>
      <c r="C126" s="2" t="str">
        <f aca="false">C60</f>
        <v>Assured</v>
      </c>
      <c r="D126" s="2"/>
      <c r="E126" s="2"/>
      <c r="F126" s="2"/>
      <c r="G126" s="2"/>
      <c r="H126" s="23" t="n">
        <f aca="false">IF($F60=1,IF(H$45=1,INDEX(Assumptions!$E$44:$E$46,MATCH($C60,Assumptions!$A$44:$A$46,0))*$C$34,0),IF(H$45=MAX($G60-1,1),INDEX(Assumptions!$E$44:$E$46,MATCH($C60,Assumptions!$A$44:$A$46,0)),0))*IF(AND($C60="Verified",$C$39=1),0,1)</f>
        <v>0</v>
      </c>
      <c r="I126" s="23" t="n">
        <f aca="false">IF($F60=1,IF(I$45=1,INDEX(Assumptions!$E$44:$E$46,MATCH($C60,Assumptions!$A$44:$A$46,0))*$C$34,0),IF(I$45=MAX($G60-1,1),INDEX(Assumptions!$E$44:$E$46,MATCH($C60,Assumptions!$A$44:$A$46,0)),0))*IF(AND($C60="Verified",$C$39=1),0,1)</f>
        <v>0</v>
      </c>
      <c r="J126" s="23" t="n">
        <f aca="false">IF($F60=1,IF(J$45=1,INDEX(Assumptions!$E$44:$E$46,MATCH($C60,Assumptions!$A$44:$A$46,0))*$C$34,0),IF(J$45=MAX($G60-1,1),INDEX(Assumptions!$E$44:$E$46,MATCH($C60,Assumptions!$A$44:$A$46,0)),0))*IF(AND($C60="Verified",$C$39=1),0,1)</f>
        <v>0</v>
      </c>
      <c r="K126" s="23" t="n">
        <f aca="false">IF($F60=1,IF(K$45=1,INDEX(Assumptions!$E$44:$E$46,MATCH($C60,Assumptions!$A$44:$A$46,0))*$C$34,0),IF(K$45=MAX($G60-1,1),INDEX(Assumptions!$E$44:$E$46,MATCH($C60,Assumptions!$A$44:$A$46,0)),0))*IF(AND($C60="Verified",$C$39=1),0,1)</f>
        <v>0</v>
      </c>
      <c r="L126" s="23" t="n">
        <f aca="false">IF($F60=1,IF(L$45=1,INDEX(Assumptions!$E$44:$E$46,MATCH($C60,Assumptions!$A$44:$A$46,0))*$C$34,0),IF(L$45=MAX($G60-1,1),INDEX(Assumptions!$E$44:$E$46,MATCH($C60,Assumptions!$A$44:$A$46,0)),0))*IF(AND($C60="Verified",$C$39=1),0,1)</f>
        <v>0</v>
      </c>
      <c r="M126" s="23" t="n">
        <f aca="false">IF($F60=1,IF(M$45=1,INDEX(Assumptions!$E$44:$E$46,MATCH($C60,Assumptions!$A$44:$A$46,0))*$C$34,0),IF(M$45=MAX($G60-1,1),INDEX(Assumptions!$E$44:$E$46,MATCH($C60,Assumptions!$A$44:$A$46,0)),0))*IF(AND($C60="Verified",$C$39=1),0,1)</f>
        <v>0</v>
      </c>
      <c r="N126" s="23" t="n">
        <f aca="false">IF($F60=1,IF(N$45=1,INDEX(Assumptions!$E$44:$E$46,MATCH($C60,Assumptions!$A$44:$A$46,0))*$C$34,0),IF(N$45=MAX($G60-1,1),INDEX(Assumptions!$E$44:$E$46,MATCH($C60,Assumptions!$A$44:$A$46,0)),0))*IF(AND($C60="Verified",$C$39=1),0,1)</f>
        <v>0</v>
      </c>
      <c r="O126" s="23" t="n">
        <f aca="false">IF($F60=1,IF(O$45=1,INDEX(Assumptions!$E$44:$E$46,MATCH($C60,Assumptions!$A$44:$A$46,0))*$C$34,0),IF(O$45=MAX($G60-1,1),INDEX(Assumptions!$E$44:$E$46,MATCH($C60,Assumptions!$A$44:$A$46,0)),0))*IF(AND($C60="Verified",$C$39=1),0,1)</f>
        <v>0</v>
      </c>
      <c r="P126" s="23" t="n">
        <f aca="false">IF($F60=1,IF(P$45=1,INDEX(Assumptions!$E$44:$E$46,MATCH($C60,Assumptions!$A$44:$A$46,0))*$C$34,0),IF(P$45=MAX($G60-1,1),INDEX(Assumptions!$E$44:$E$46,MATCH($C60,Assumptions!$A$44:$A$46,0)),0))*IF(AND($C60="Verified",$C$39=1),0,1)</f>
        <v>120000</v>
      </c>
      <c r="Q126" s="23" t="n">
        <f aca="false">IF($F60=1,IF(Q$45=1,INDEX(Assumptions!$E$44:$E$46,MATCH($C60,Assumptions!$A$44:$A$46,0))*$C$34,0),IF(Q$45=MAX($G60-1,1),INDEX(Assumptions!$E$44:$E$46,MATCH($C60,Assumptions!$A$44:$A$46,0)),0))*IF(AND($C60="Verified",$C$39=1),0,1)</f>
        <v>0</v>
      </c>
      <c r="R126" s="23" t="n">
        <f aca="false">IF($F60=1,IF(R$45=1,INDEX(Assumptions!$E$44:$E$46,MATCH($C60,Assumptions!$A$44:$A$46,0))*$C$34,0),IF(R$45=MAX($G60-1,1),INDEX(Assumptions!$E$44:$E$46,MATCH($C60,Assumptions!$A$44:$A$46,0)),0))*IF(AND($C60="Verified",$C$39=1),0,1)</f>
        <v>0</v>
      </c>
      <c r="S126" s="23" t="n">
        <f aca="false">IF($F60=1,IF(S$45=1,INDEX(Assumptions!$E$44:$E$46,MATCH($C60,Assumptions!$A$44:$A$46,0))*$C$34,0),IF(S$45=MAX($G60-1,1),INDEX(Assumptions!$E$44:$E$46,MATCH($C60,Assumptions!$A$44:$A$46,0)),0))*IF(AND($C60="Verified",$C$39=1),0,1)</f>
        <v>0</v>
      </c>
      <c r="T126" s="23" t="n">
        <f aca="false">IF($F60=1,IF(T$45=1,INDEX(Assumptions!$E$44:$E$46,MATCH($C60,Assumptions!$A$44:$A$46,0))*$C$34,0),IF(T$45=MAX($G60-1,1),INDEX(Assumptions!$E$44:$E$46,MATCH($C60,Assumptions!$A$44:$A$46,0)),0))*IF(AND($C60="Verified",$C$39=1),0,1)</f>
        <v>0</v>
      </c>
      <c r="U126" s="23" t="n">
        <f aca="false">IF($F60=1,IF(U$45=1,INDEX(Assumptions!$E$44:$E$46,MATCH($C60,Assumptions!$A$44:$A$46,0))*$C$34,0),IF(U$45=MAX($G60-1,1),INDEX(Assumptions!$E$44:$E$46,MATCH($C60,Assumptions!$A$44:$A$46,0)),0))*IF(AND($C60="Verified",$C$39=1),0,1)</f>
        <v>0</v>
      </c>
      <c r="V126" s="23" t="n">
        <f aca="false">IF($F60=1,IF(V$45=1,INDEX(Assumptions!$E$44:$E$46,MATCH($C60,Assumptions!$A$44:$A$46,0))*$C$34,0),IF(V$45=MAX($G60-1,1),INDEX(Assumptions!$E$44:$E$46,MATCH($C60,Assumptions!$A$44:$A$46,0)),0))*IF(AND($C60="Verified",$C$39=1),0,1)</f>
        <v>0</v>
      </c>
      <c r="W126" s="23" t="n">
        <f aca="false">IF($F60=1,IF(W$45=1,INDEX(Assumptions!$E$44:$E$46,MATCH($C60,Assumptions!$A$44:$A$46,0))*$C$34,0),IF(W$45=MAX($G60-1,1),INDEX(Assumptions!$E$44:$E$46,MATCH($C60,Assumptions!$A$44:$A$46,0)),0))*IF(AND($C60="Verified",$C$39=1),0,1)</f>
        <v>0</v>
      </c>
      <c r="X126" s="23" t="n">
        <f aca="false">IF($F60=1,IF(X$45=1,INDEX(Assumptions!$E$44:$E$46,MATCH($C60,Assumptions!$A$44:$A$46,0))*$C$34,0),IF(X$45=MAX($G60-1,1),INDEX(Assumptions!$E$44:$E$46,MATCH($C60,Assumptions!$A$44:$A$46,0)),0))*IF(AND($C60="Verified",$C$39=1),0,1)</f>
        <v>0</v>
      </c>
      <c r="Y126" s="23" t="n">
        <f aca="false">IF($F60=1,IF(Y$45=1,INDEX(Assumptions!$E$44:$E$46,MATCH($C60,Assumptions!$A$44:$A$46,0))*$C$34,0),IF(Y$45=MAX($G60-1,1),INDEX(Assumptions!$E$44:$E$46,MATCH($C60,Assumptions!$A$44:$A$46,0)),0))*IF(AND($C60="Verified",$C$39=1),0,1)</f>
        <v>0</v>
      </c>
    </row>
    <row r="127" customFormat="false" ht="15" hidden="false" customHeight="false" outlineLevel="0" collapsed="false">
      <c r="A127" s="2" t="n">
        <f aca="false">A61</f>
        <v>14</v>
      </c>
      <c r="B127" s="2" t="str">
        <f aca="false">B61</f>
        <v>B</v>
      </c>
      <c r="C127" s="2" t="str">
        <f aca="false">C61</f>
        <v>Connect</v>
      </c>
      <c r="D127" s="2"/>
      <c r="E127" s="2"/>
      <c r="F127" s="2"/>
      <c r="G127" s="2"/>
      <c r="H127" s="23" t="n">
        <f aca="false">IF($F61=1,IF(H$45=1,INDEX(Assumptions!$E$44:$E$46,MATCH($C61,Assumptions!$A$44:$A$46,0))*$C$34,0),IF(H$45=MAX($G61-1,1),INDEX(Assumptions!$E$44:$E$46,MATCH($C61,Assumptions!$A$44:$A$46,0)),0))*IF(AND($C61="Verified",$C$39=1),0,1)</f>
        <v>0</v>
      </c>
      <c r="I127" s="23" t="n">
        <f aca="false">IF($F61=1,IF(I$45=1,INDEX(Assumptions!$E$44:$E$46,MATCH($C61,Assumptions!$A$44:$A$46,0))*$C$34,0),IF(I$45=MAX($G61-1,1),INDEX(Assumptions!$E$44:$E$46,MATCH($C61,Assumptions!$A$44:$A$46,0)),0))*IF(AND($C61="Verified",$C$39=1),0,1)</f>
        <v>0</v>
      </c>
      <c r="J127" s="23" t="n">
        <f aca="false">IF($F61=1,IF(J$45=1,INDEX(Assumptions!$E$44:$E$46,MATCH($C61,Assumptions!$A$44:$A$46,0))*$C$34,0),IF(J$45=MAX($G61-1,1),INDEX(Assumptions!$E$44:$E$46,MATCH($C61,Assumptions!$A$44:$A$46,0)),0))*IF(AND($C61="Verified",$C$39=1),0,1)</f>
        <v>0</v>
      </c>
      <c r="K127" s="23" t="n">
        <f aca="false">IF($F61=1,IF(K$45=1,INDEX(Assumptions!$E$44:$E$46,MATCH($C61,Assumptions!$A$44:$A$46,0))*$C$34,0),IF(K$45=MAX($G61-1,1),INDEX(Assumptions!$E$44:$E$46,MATCH($C61,Assumptions!$A$44:$A$46,0)),0))*IF(AND($C61="Verified",$C$39=1),0,1)</f>
        <v>0</v>
      </c>
      <c r="L127" s="23" t="n">
        <f aca="false">IF($F61=1,IF(L$45=1,INDEX(Assumptions!$E$44:$E$46,MATCH($C61,Assumptions!$A$44:$A$46,0))*$C$34,0),IF(L$45=MAX($G61-1,1),INDEX(Assumptions!$E$44:$E$46,MATCH($C61,Assumptions!$A$44:$A$46,0)),0))*IF(AND($C61="Verified",$C$39=1),0,1)</f>
        <v>0</v>
      </c>
      <c r="M127" s="23" t="n">
        <f aca="false">IF($F61=1,IF(M$45=1,INDEX(Assumptions!$E$44:$E$46,MATCH($C61,Assumptions!$A$44:$A$46,0))*$C$34,0),IF(M$45=MAX($G61-1,1),INDEX(Assumptions!$E$44:$E$46,MATCH($C61,Assumptions!$A$44:$A$46,0)),0))*IF(AND($C61="Verified",$C$39=1),0,1)</f>
        <v>0</v>
      </c>
      <c r="N127" s="23" t="n">
        <f aca="false">IF($F61=1,IF(N$45=1,INDEX(Assumptions!$E$44:$E$46,MATCH($C61,Assumptions!$A$44:$A$46,0))*$C$34,0),IF(N$45=MAX($G61-1,1),INDEX(Assumptions!$E$44:$E$46,MATCH($C61,Assumptions!$A$44:$A$46,0)),0))*IF(AND($C61="Verified",$C$39=1),0,1)</f>
        <v>0</v>
      </c>
      <c r="O127" s="23" t="n">
        <f aca="false">IF($F61=1,IF(O$45=1,INDEX(Assumptions!$E$44:$E$46,MATCH($C61,Assumptions!$A$44:$A$46,0))*$C$34,0),IF(O$45=MAX($G61-1,1),INDEX(Assumptions!$E$44:$E$46,MATCH($C61,Assumptions!$A$44:$A$46,0)),0))*IF(AND($C61="Verified",$C$39=1),0,1)</f>
        <v>0</v>
      </c>
      <c r="P127" s="23" t="n">
        <f aca="false">IF($F61=1,IF(P$45=1,INDEX(Assumptions!$E$44:$E$46,MATCH($C61,Assumptions!$A$44:$A$46,0))*$C$34,0),IF(P$45=MAX($G61-1,1),INDEX(Assumptions!$E$44:$E$46,MATCH($C61,Assumptions!$A$44:$A$46,0)),0))*IF(AND($C61="Verified",$C$39=1),0,1)</f>
        <v>0</v>
      </c>
      <c r="Q127" s="23" t="n">
        <f aca="false">IF($F61=1,IF(Q$45=1,INDEX(Assumptions!$E$44:$E$46,MATCH($C61,Assumptions!$A$44:$A$46,0))*$C$34,0),IF(Q$45=MAX($G61-1,1),INDEX(Assumptions!$E$44:$E$46,MATCH($C61,Assumptions!$A$44:$A$46,0)),0))*IF(AND($C61="Verified",$C$39=1),0,1)</f>
        <v>70000</v>
      </c>
      <c r="R127" s="23" t="n">
        <f aca="false">IF($F61=1,IF(R$45=1,INDEX(Assumptions!$E$44:$E$46,MATCH($C61,Assumptions!$A$44:$A$46,0))*$C$34,0),IF(R$45=MAX($G61-1,1),INDEX(Assumptions!$E$44:$E$46,MATCH($C61,Assumptions!$A$44:$A$46,0)),0))*IF(AND($C61="Verified",$C$39=1),0,1)</f>
        <v>0</v>
      </c>
      <c r="S127" s="23" t="n">
        <f aca="false">IF($F61=1,IF(S$45=1,INDEX(Assumptions!$E$44:$E$46,MATCH($C61,Assumptions!$A$44:$A$46,0))*$C$34,0),IF(S$45=MAX($G61-1,1),INDEX(Assumptions!$E$44:$E$46,MATCH($C61,Assumptions!$A$44:$A$46,0)),0))*IF(AND($C61="Verified",$C$39=1),0,1)</f>
        <v>0</v>
      </c>
      <c r="T127" s="23" t="n">
        <f aca="false">IF($F61=1,IF(T$45=1,INDEX(Assumptions!$E$44:$E$46,MATCH($C61,Assumptions!$A$44:$A$46,0))*$C$34,0),IF(T$45=MAX($G61-1,1),INDEX(Assumptions!$E$44:$E$46,MATCH($C61,Assumptions!$A$44:$A$46,0)),0))*IF(AND($C61="Verified",$C$39=1),0,1)</f>
        <v>0</v>
      </c>
      <c r="U127" s="23" t="n">
        <f aca="false">IF($F61=1,IF(U$45=1,INDEX(Assumptions!$E$44:$E$46,MATCH($C61,Assumptions!$A$44:$A$46,0))*$C$34,0),IF(U$45=MAX($G61-1,1),INDEX(Assumptions!$E$44:$E$46,MATCH($C61,Assumptions!$A$44:$A$46,0)),0))*IF(AND($C61="Verified",$C$39=1),0,1)</f>
        <v>0</v>
      </c>
      <c r="V127" s="23" t="n">
        <f aca="false">IF($F61=1,IF(V$45=1,INDEX(Assumptions!$E$44:$E$46,MATCH($C61,Assumptions!$A$44:$A$46,0))*$C$34,0),IF(V$45=MAX($G61-1,1),INDEX(Assumptions!$E$44:$E$46,MATCH($C61,Assumptions!$A$44:$A$46,0)),0))*IF(AND($C61="Verified",$C$39=1),0,1)</f>
        <v>0</v>
      </c>
      <c r="W127" s="23" t="n">
        <f aca="false">IF($F61=1,IF(W$45=1,INDEX(Assumptions!$E$44:$E$46,MATCH($C61,Assumptions!$A$44:$A$46,0))*$C$34,0),IF(W$45=MAX($G61-1,1),INDEX(Assumptions!$E$44:$E$46,MATCH($C61,Assumptions!$A$44:$A$46,0)),0))*IF(AND($C61="Verified",$C$39=1),0,1)</f>
        <v>0</v>
      </c>
      <c r="X127" s="23" t="n">
        <f aca="false">IF($F61=1,IF(X$45=1,INDEX(Assumptions!$E$44:$E$46,MATCH($C61,Assumptions!$A$44:$A$46,0))*$C$34,0),IF(X$45=MAX($G61-1,1),INDEX(Assumptions!$E$44:$E$46,MATCH($C61,Assumptions!$A$44:$A$46,0)),0))*IF(AND($C61="Verified",$C$39=1),0,1)</f>
        <v>0</v>
      </c>
      <c r="Y127" s="23" t="n">
        <f aca="false">IF($F61=1,IF(Y$45=1,INDEX(Assumptions!$E$44:$E$46,MATCH($C61,Assumptions!$A$44:$A$46,0))*$C$34,0),IF(Y$45=MAX($G61-1,1),INDEX(Assumptions!$E$44:$E$46,MATCH($C61,Assumptions!$A$44:$A$46,0)),0))*IF(AND($C61="Verified",$C$39=1),0,1)</f>
        <v>0</v>
      </c>
    </row>
    <row r="128" customFormat="false" ht="15" hidden="false" customHeight="false" outlineLevel="0" collapsed="false">
      <c r="A128" s="2" t="n">
        <f aca="false">A62</f>
        <v>15</v>
      </c>
      <c r="B128" s="2" t="str">
        <f aca="false">B62</f>
        <v>B</v>
      </c>
      <c r="C128" s="2" t="str">
        <f aca="false">C62</f>
        <v>Connect</v>
      </c>
      <c r="D128" s="2"/>
      <c r="E128" s="2"/>
      <c r="F128" s="2"/>
      <c r="G128" s="2"/>
      <c r="H128" s="23" t="n">
        <f aca="false">IF($F62=1,IF(H$45=1,INDEX(Assumptions!$E$44:$E$46,MATCH($C62,Assumptions!$A$44:$A$46,0))*$C$34,0),IF(H$45=MAX($G62-1,1),INDEX(Assumptions!$E$44:$E$46,MATCH($C62,Assumptions!$A$44:$A$46,0)),0))*IF(AND($C62="Verified",$C$39=1),0,1)</f>
        <v>0</v>
      </c>
      <c r="I128" s="23" t="n">
        <f aca="false">IF($F62=1,IF(I$45=1,INDEX(Assumptions!$E$44:$E$46,MATCH($C62,Assumptions!$A$44:$A$46,0))*$C$34,0),IF(I$45=MAX($G62-1,1),INDEX(Assumptions!$E$44:$E$46,MATCH($C62,Assumptions!$A$44:$A$46,0)),0))*IF(AND($C62="Verified",$C$39=1),0,1)</f>
        <v>0</v>
      </c>
      <c r="J128" s="23" t="n">
        <f aca="false">IF($F62=1,IF(J$45=1,INDEX(Assumptions!$E$44:$E$46,MATCH($C62,Assumptions!$A$44:$A$46,0))*$C$34,0),IF(J$45=MAX($G62-1,1),INDEX(Assumptions!$E$44:$E$46,MATCH($C62,Assumptions!$A$44:$A$46,0)),0))*IF(AND($C62="Verified",$C$39=1),0,1)</f>
        <v>0</v>
      </c>
      <c r="K128" s="23" t="n">
        <f aca="false">IF($F62=1,IF(K$45=1,INDEX(Assumptions!$E$44:$E$46,MATCH($C62,Assumptions!$A$44:$A$46,0))*$C$34,0),IF(K$45=MAX($G62-1,1),INDEX(Assumptions!$E$44:$E$46,MATCH($C62,Assumptions!$A$44:$A$46,0)),0))*IF(AND($C62="Verified",$C$39=1),0,1)</f>
        <v>0</v>
      </c>
      <c r="L128" s="23" t="n">
        <f aca="false">IF($F62=1,IF(L$45=1,INDEX(Assumptions!$E$44:$E$46,MATCH($C62,Assumptions!$A$44:$A$46,0))*$C$34,0),IF(L$45=MAX($G62-1,1),INDEX(Assumptions!$E$44:$E$46,MATCH($C62,Assumptions!$A$44:$A$46,0)),0))*IF(AND($C62="Verified",$C$39=1),0,1)</f>
        <v>0</v>
      </c>
      <c r="M128" s="23" t="n">
        <f aca="false">IF($F62=1,IF(M$45=1,INDEX(Assumptions!$E$44:$E$46,MATCH($C62,Assumptions!$A$44:$A$46,0))*$C$34,0),IF(M$45=MAX($G62-1,1),INDEX(Assumptions!$E$44:$E$46,MATCH($C62,Assumptions!$A$44:$A$46,0)),0))*IF(AND($C62="Verified",$C$39=1),0,1)</f>
        <v>0</v>
      </c>
      <c r="N128" s="23" t="n">
        <f aca="false">IF($F62=1,IF(N$45=1,INDEX(Assumptions!$E$44:$E$46,MATCH($C62,Assumptions!$A$44:$A$46,0))*$C$34,0),IF(N$45=MAX($G62-1,1),INDEX(Assumptions!$E$44:$E$46,MATCH($C62,Assumptions!$A$44:$A$46,0)),0))*IF(AND($C62="Verified",$C$39=1),0,1)</f>
        <v>0</v>
      </c>
      <c r="O128" s="23" t="n">
        <f aca="false">IF($F62=1,IF(O$45=1,INDEX(Assumptions!$E$44:$E$46,MATCH($C62,Assumptions!$A$44:$A$46,0))*$C$34,0),IF(O$45=MAX($G62-1,1),INDEX(Assumptions!$E$44:$E$46,MATCH($C62,Assumptions!$A$44:$A$46,0)),0))*IF(AND($C62="Verified",$C$39=1),0,1)</f>
        <v>0</v>
      </c>
      <c r="P128" s="23" t="n">
        <f aca="false">IF($F62=1,IF(P$45=1,INDEX(Assumptions!$E$44:$E$46,MATCH($C62,Assumptions!$A$44:$A$46,0))*$C$34,0),IF(P$45=MAX($G62-1,1),INDEX(Assumptions!$E$44:$E$46,MATCH($C62,Assumptions!$A$44:$A$46,0)),0))*IF(AND($C62="Verified",$C$39=1),0,1)</f>
        <v>0</v>
      </c>
      <c r="Q128" s="23" t="n">
        <f aca="false">IF($F62=1,IF(Q$45=1,INDEX(Assumptions!$E$44:$E$46,MATCH($C62,Assumptions!$A$44:$A$46,0))*$C$34,0),IF(Q$45=MAX($G62-1,1),INDEX(Assumptions!$E$44:$E$46,MATCH($C62,Assumptions!$A$44:$A$46,0)),0))*IF(AND($C62="Verified",$C$39=1),0,1)</f>
        <v>0</v>
      </c>
      <c r="R128" s="23" t="n">
        <f aca="false">IF($F62=1,IF(R$45=1,INDEX(Assumptions!$E$44:$E$46,MATCH($C62,Assumptions!$A$44:$A$46,0))*$C$34,0),IF(R$45=MAX($G62-1,1),INDEX(Assumptions!$E$44:$E$46,MATCH($C62,Assumptions!$A$44:$A$46,0)),0))*IF(AND($C62="Verified",$C$39=1),0,1)</f>
        <v>70000</v>
      </c>
      <c r="S128" s="23" t="n">
        <f aca="false">IF($F62=1,IF(S$45=1,INDEX(Assumptions!$E$44:$E$46,MATCH($C62,Assumptions!$A$44:$A$46,0))*$C$34,0),IF(S$45=MAX($G62-1,1),INDEX(Assumptions!$E$44:$E$46,MATCH($C62,Assumptions!$A$44:$A$46,0)),0))*IF(AND($C62="Verified",$C$39=1),0,1)</f>
        <v>0</v>
      </c>
      <c r="T128" s="23" t="n">
        <f aca="false">IF($F62=1,IF(T$45=1,INDEX(Assumptions!$E$44:$E$46,MATCH($C62,Assumptions!$A$44:$A$46,0))*$C$34,0),IF(T$45=MAX($G62-1,1),INDEX(Assumptions!$E$44:$E$46,MATCH($C62,Assumptions!$A$44:$A$46,0)),0))*IF(AND($C62="Verified",$C$39=1),0,1)</f>
        <v>0</v>
      </c>
      <c r="U128" s="23" t="n">
        <f aca="false">IF($F62=1,IF(U$45=1,INDEX(Assumptions!$E$44:$E$46,MATCH($C62,Assumptions!$A$44:$A$46,0))*$C$34,0),IF(U$45=MAX($G62-1,1),INDEX(Assumptions!$E$44:$E$46,MATCH($C62,Assumptions!$A$44:$A$46,0)),0))*IF(AND($C62="Verified",$C$39=1),0,1)</f>
        <v>0</v>
      </c>
      <c r="V128" s="23" t="n">
        <f aca="false">IF($F62=1,IF(V$45=1,INDEX(Assumptions!$E$44:$E$46,MATCH($C62,Assumptions!$A$44:$A$46,0))*$C$34,0),IF(V$45=MAX($G62-1,1),INDEX(Assumptions!$E$44:$E$46,MATCH($C62,Assumptions!$A$44:$A$46,0)),0))*IF(AND($C62="Verified",$C$39=1),0,1)</f>
        <v>0</v>
      </c>
      <c r="W128" s="23" t="n">
        <f aca="false">IF($F62=1,IF(W$45=1,INDEX(Assumptions!$E$44:$E$46,MATCH($C62,Assumptions!$A$44:$A$46,0))*$C$34,0),IF(W$45=MAX($G62-1,1),INDEX(Assumptions!$E$44:$E$46,MATCH($C62,Assumptions!$A$44:$A$46,0)),0))*IF(AND($C62="Verified",$C$39=1),0,1)</f>
        <v>0</v>
      </c>
      <c r="X128" s="23" t="n">
        <f aca="false">IF($F62=1,IF(X$45=1,INDEX(Assumptions!$E$44:$E$46,MATCH($C62,Assumptions!$A$44:$A$46,0))*$C$34,0),IF(X$45=MAX($G62-1,1),INDEX(Assumptions!$E$44:$E$46,MATCH($C62,Assumptions!$A$44:$A$46,0)),0))*IF(AND($C62="Verified",$C$39=1),0,1)</f>
        <v>0</v>
      </c>
      <c r="Y128" s="23" t="n">
        <f aca="false">IF($F62=1,IF(Y$45=1,INDEX(Assumptions!$E$44:$E$46,MATCH($C62,Assumptions!$A$44:$A$46,0))*$C$34,0),IF(Y$45=MAX($G62-1,1),INDEX(Assumptions!$E$44:$E$46,MATCH($C62,Assumptions!$A$44:$A$46,0)),0))*IF(AND($C62="Verified",$C$39=1),0,1)</f>
        <v>0</v>
      </c>
    </row>
    <row r="129" customFormat="false" ht="15" hidden="false" customHeight="false" outlineLevel="0" collapsed="false">
      <c r="A129" s="2" t="n">
        <f aca="false">A63</f>
        <v>16</v>
      </c>
      <c r="B129" s="2" t="str">
        <f aca="false">B63</f>
        <v>B</v>
      </c>
      <c r="C129" s="2" t="str">
        <f aca="false">C63</f>
        <v>Connect</v>
      </c>
      <c r="D129" s="2"/>
      <c r="E129" s="2"/>
      <c r="F129" s="2"/>
      <c r="G129" s="2"/>
      <c r="H129" s="23" t="n">
        <f aca="false">IF($F63=1,IF(H$45=1,INDEX(Assumptions!$E$44:$E$46,MATCH($C63,Assumptions!$A$44:$A$46,0))*$C$34,0),IF(H$45=MAX($G63-1,1),INDEX(Assumptions!$E$44:$E$46,MATCH($C63,Assumptions!$A$44:$A$46,0)),0))*IF(AND($C63="Verified",$C$39=1),0,1)</f>
        <v>0</v>
      </c>
      <c r="I129" s="23" t="n">
        <f aca="false">IF($F63=1,IF(I$45=1,INDEX(Assumptions!$E$44:$E$46,MATCH($C63,Assumptions!$A$44:$A$46,0))*$C$34,0),IF(I$45=MAX($G63-1,1),INDEX(Assumptions!$E$44:$E$46,MATCH($C63,Assumptions!$A$44:$A$46,0)),0))*IF(AND($C63="Verified",$C$39=1),0,1)</f>
        <v>0</v>
      </c>
      <c r="J129" s="23" t="n">
        <f aca="false">IF($F63=1,IF(J$45=1,INDEX(Assumptions!$E$44:$E$46,MATCH($C63,Assumptions!$A$44:$A$46,0))*$C$34,0),IF(J$45=MAX($G63-1,1),INDEX(Assumptions!$E$44:$E$46,MATCH($C63,Assumptions!$A$44:$A$46,0)),0))*IF(AND($C63="Verified",$C$39=1),0,1)</f>
        <v>0</v>
      </c>
      <c r="K129" s="23" t="n">
        <f aca="false">IF($F63=1,IF(K$45=1,INDEX(Assumptions!$E$44:$E$46,MATCH($C63,Assumptions!$A$44:$A$46,0))*$C$34,0),IF(K$45=MAX($G63-1,1),INDEX(Assumptions!$E$44:$E$46,MATCH($C63,Assumptions!$A$44:$A$46,0)),0))*IF(AND($C63="Verified",$C$39=1),0,1)</f>
        <v>0</v>
      </c>
      <c r="L129" s="23" t="n">
        <f aca="false">IF($F63=1,IF(L$45=1,INDEX(Assumptions!$E$44:$E$46,MATCH($C63,Assumptions!$A$44:$A$46,0))*$C$34,0),IF(L$45=MAX($G63-1,1),INDEX(Assumptions!$E$44:$E$46,MATCH($C63,Assumptions!$A$44:$A$46,0)),0))*IF(AND($C63="Verified",$C$39=1),0,1)</f>
        <v>0</v>
      </c>
      <c r="M129" s="23" t="n">
        <f aca="false">IF($F63=1,IF(M$45=1,INDEX(Assumptions!$E$44:$E$46,MATCH($C63,Assumptions!$A$44:$A$46,0))*$C$34,0),IF(M$45=MAX($G63-1,1),INDEX(Assumptions!$E$44:$E$46,MATCH($C63,Assumptions!$A$44:$A$46,0)),0))*IF(AND($C63="Verified",$C$39=1),0,1)</f>
        <v>0</v>
      </c>
      <c r="N129" s="23" t="n">
        <f aca="false">IF($F63=1,IF(N$45=1,INDEX(Assumptions!$E$44:$E$46,MATCH($C63,Assumptions!$A$44:$A$46,0))*$C$34,0),IF(N$45=MAX($G63-1,1),INDEX(Assumptions!$E$44:$E$46,MATCH($C63,Assumptions!$A$44:$A$46,0)),0))*IF(AND($C63="Verified",$C$39=1),0,1)</f>
        <v>0</v>
      </c>
      <c r="O129" s="23" t="n">
        <f aca="false">IF($F63=1,IF(O$45=1,INDEX(Assumptions!$E$44:$E$46,MATCH($C63,Assumptions!$A$44:$A$46,0))*$C$34,0),IF(O$45=MAX($G63-1,1),INDEX(Assumptions!$E$44:$E$46,MATCH($C63,Assumptions!$A$44:$A$46,0)),0))*IF(AND($C63="Verified",$C$39=1),0,1)</f>
        <v>0</v>
      </c>
      <c r="P129" s="23" t="n">
        <f aca="false">IF($F63=1,IF(P$45=1,INDEX(Assumptions!$E$44:$E$46,MATCH($C63,Assumptions!$A$44:$A$46,0))*$C$34,0),IF(P$45=MAX($G63-1,1),INDEX(Assumptions!$E$44:$E$46,MATCH($C63,Assumptions!$A$44:$A$46,0)),0))*IF(AND($C63="Verified",$C$39=1),0,1)</f>
        <v>0</v>
      </c>
      <c r="Q129" s="23" t="n">
        <f aca="false">IF($F63=1,IF(Q$45=1,INDEX(Assumptions!$E$44:$E$46,MATCH($C63,Assumptions!$A$44:$A$46,0))*$C$34,0),IF(Q$45=MAX($G63-1,1),INDEX(Assumptions!$E$44:$E$46,MATCH($C63,Assumptions!$A$44:$A$46,0)),0))*IF(AND($C63="Verified",$C$39=1),0,1)</f>
        <v>0</v>
      </c>
      <c r="R129" s="23" t="n">
        <f aca="false">IF($F63=1,IF(R$45=1,INDEX(Assumptions!$E$44:$E$46,MATCH($C63,Assumptions!$A$44:$A$46,0))*$C$34,0),IF(R$45=MAX($G63-1,1),INDEX(Assumptions!$E$44:$E$46,MATCH($C63,Assumptions!$A$44:$A$46,0)),0))*IF(AND($C63="Verified",$C$39=1),0,1)</f>
        <v>0</v>
      </c>
      <c r="S129" s="23" t="n">
        <f aca="false">IF($F63=1,IF(S$45=1,INDEX(Assumptions!$E$44:$E$46,MATCH($C63,Assumptions!$A$44:$A$46,0))*$C$34,0),IF(S$45=MAX($G63-1,1),INDEX(Assumptions!$E$44:$E$46,MATCH($C63,Assumptions!$A$44:$A$46,0)),0))*IF(AND($C63="Verified",$C$39=1),0,1)</f>
        <v>70000</v>
      </c>
      <c r="T129" s="23" t="n">
        <f aca="false">IF($F63=1,IF(T$45=1,INDEX(Assumptions!$E$44:$E$46,MATCH($C63,Assumptions!$A$44:$A$46,0))*$C$34,0),IF(T$45=MAX($G63-1,1),INDEX(Assumptions!$E$44:$E$46,MATCH($C63,Assumptions!$A$44:$A$46,0)),0))*IF(AND($C63="Verified",$C$39=1),0,1)</f>
        <v>0</v>
      </c>
      <c r="U129" s="23" t="n">
        <f aca="false">IF($F63=1,IF(U$45=1,INDEX(Assumptions!$E$44:$E$46,MATCH($C63,Assumptions!$A$44:$A$46,0))*$C$34,0),IF(U$45=MAX($G63-1,1),INDEX(Assumptions!$E$44:$E$46,MATCH($C63,Assumptions!$A$44:$A$46,0)),0))*IF(AND($C63="Verified",$C$39=1),0,1)</f>
        <v>0</v>
      </c>
      <c r="V129" s="23" t="n">
        <f aca="false">IF($F63=1,IF(V$45=1,INDEX(Assumptions!$E$44:$E$46,MATCH($C63,Assumptions!$A$44:$A$46,0))*$C$34,0),IF(V$45=MAX($G63-1,1),INDEX(Assumptions!$E$44:$E$46,MATCH($C63,Assumptions!$A$44:$A$46,0)),0))*IF(AND($C63="Verified",$C$39=1),0,1)</f>
        <v>0</v>
      </c>
      <c r="W129" s="23" t="n">
        <f aca="false">IF($F63=1,IF(W$45=1,INDEX(Assumptions!$E$44:$E$46,MATCH($C63,Assumptions!$A$44:$A$46,0))*$C$34,0),IF(W$45=MAX($G63-1,1),INDEX(Assumptions!$E$44:$E$46,MATCH($C63,Assumptions!$A$44:$A$46,0)),0))*IF(AND($C63="Verified",$C$39=1),0,1)</f>
        <v>0</v>
      </c>
      <c r="X129" s="23" t="n">
        <f aca="false">IF($F63=1,IF(X$45=1,INDEX(Assumptions!$E$44:$E$46,MATCH($C63,Assumptions!$A$44:$A$46,0))*$C$34,0),IF(X$45=MAX($G63-1,1),INDEX(Assumptions!$E$44:$E$46,MATCH($C63,Assumptions!$A$44:$A$46,0)),0))*IF(AND($C63="Verified",$C$39=1),0,1)</f>
        <v>0</v>
      </c>
      <c r="Y129" s="23" t="n">
        <f aca="false">IF($F63=1,IF(Y$45=1,INDEX(Assumptions!$E$44:$E$46,MATCH($C63,Assumptions!$A$44:$A$46,0))*$C$34,0),IF(Y$45=MAX($G63-1,1),INDEX(Assumptions!$E$44:$E$46,MATCH($C63,Assumptions!$A$44:$A$46,0)),0))*IF(AND($C63="Verified",$C$39=1),0,1)</f>
        <v>0</v>
      </c>
    </row>
    <row r="130" customFormat="false" ht="15" hidden="false" customHeight="false" outlineLevel="0" collapsed="false">
      <c r="A130" s="2" t="n">
        <f aca="false">A64</f>
        <v>17</v>
      </c>
      <c r="B130" s="2" t="str">
        <f aca="false">B64</f>
        <v>B</v>
      </c>
      <c r="C130" s="2" t="str">
        <f aca="false">C64</f>
        <v>Verified</v>
      </c>
      <c r="D130" s="2"/>
      <c r="E130" s="2"/>
      <c r="F130" s="2"/>
      <c r="G130" s="2"/>
      <c r="H130" s="23" t="n">
        <f aca="false">IF($F64=1,IF(H$45=1,INDEX(Assumptions!$E$44:$E$46,MATCH($C64,Assumptions!$A$44:$A$46,0))*$C$34,0),IF(H$45=MAX($G64-1,1),INDEX(Assumptions!$E$44:$E$46,MATCH($C64,Assumptions!$A$44:$A$46,0)),0))*IF(AND($C64="Verified",$C$39=1),0,1)</f>
        <v>0</v>
      </c>
      <c r="I130" s="23" t="n">
        <f aca="false">IF($F64=1,IF(I$45=1,INDEX(Assumptions!$E$44:$E$46,MATCH($C64,Assumptions!$A$44:$A$46,0))*$C$34,0),IF(I$45=MAX($G64-1,1),INDEX(Assumptions!$E$44:$E$46,MATCH($C64,Assumptions!$A$44:$A$46,0)),0))*IF(AND($C64="Verified",$C$39=1),0,1)</f>
        <v>0</v>
      </c>
      <c r="J130" s="23" t="n">
        <f aca="false">IF($F64=1,IF(J$45=1,INDEX(Assumptions!$E$44:$E$46,MATCH($C64,Assumptions!$A$44:$A$46,0))*$C$34,0),IF(J$45=MAX($G64-1,1),INDEX(Assumptions!$E$44:$E$46,MATCH($C64,Assumptions!$A$44:$A$46,0)),0))*IF(AND($C64="Verified",$C$39=1),0,1)</f>
        <v>0</v>
      </c>
      <c r="K130" s="23" t="n">
        <f aca="false">IF($F64=1,IF(K$45=1,INDEX(Assumptions!$E$44:$E$46,MATCH($C64,Assumptions!$A$44:$A$46,0))*$C$34,0),IF(K$45=MAX($G64-1,1),INDEX(Assumptions!$E$44:$E$46,MATCH($C64,Assumptions!$A$44:$A$46,0)),0))*IF(AND($C64="Verified",$C$39=1),0,1)</f>
        <v>0</v>
      </c>
      <c r="L130" s="23" t="n">
        <f aca="false">IF($F64=1,IF(L$45=1,INDEX(Assumptions!$E$44:$E$46,MATCH($C64,Assumptions!$A$44:$A$46,0))*$C$34,0),IF(L$45=MAX($G64-1,1),INDEX(Assumptions!$E$44:$E$46,MATCH($C64,Assumptions!$A$44:$A$46,0)),0))*IF(AND($C64="Verified",$C$39=1),0,1)</f>
        <v>0</v>
      </c>
      <c r="M130" s="23" t="n">
        <f aca="false">IF($F64=1,IF(M$45=1,INDEX(Assumptions!$E$44:$E$46,MATCH($C64,Assumptions!$A$44:$A$46,0))*$C$34,0),IF(M$45=MAX($G64-1,1),INDEX(Assumptions!$E$44:$E$46,MATCH($C64,Assumptions!$A$44:$A$46,0)),0))*IF(AND($C64="Verified",$C$39=1),0,1)</f>
        <v>0</v>
      </c>
      <c r="N130" s="23" t="n">
        <f aca="false">IF($F64=1,IF(N$45=1,INDEX(Assumptions!$E$44:$E$46,MATCH($C64,Assumptions!$A$44:$A$46,0))*$C$34,0),IF(N$45=MAX($G64-1,1),INDEX(Assumptions!$E$44:$E$46,MATCH($C64,Assumptions!$A$44:$A$46,0)),0))*IF(AND($C64="Verified",$C$39=1),0,1)</f>
        <v>0</v>
      </c>
      <c r="O130" s="23" t="n">
        <f aca="false">IF($F64=1,IF(O$45=1,INDEX(Assumptions!$E$44:$E$46,MATCH($C64,Assumptions!$A$44:$A$46,0))*$C$34,0),IF(O$45=MAX($G64-1,1),INDEX(Assumptions!$E$44:$E$46,MATCH($C64,Assumptions!$A$44:$A$46,0)),0))*IF(AND($C64="Verified",$C$39=1),0,1)</f>
        <v>0</v>
      </c>
      <c r="P130" s="23" t="n">
        <f aca="false">IF($F64=1,IF(P$45=1,INDEX(Assumptions!$E$44:$E$46,MATCH($C64,Assumptions!$A$44:$A$46,0))*$C$34,0),IF(P$45=MAX($G64-1,1),INDEX(Assumptions!$E$44:$E$46,MATCH($C64,Assumptions!$A$44:$A$46,0)),0))*IF(AND($C64="Verified",$C$39=1),0,1)</f>
        <v>0</v>
      </c>
      <c r="Q130" s="23" t="n">
        <f aca="false">IF($F64=1,IF(Q$45=1,INDEX(Assumptions!$E$44:$E$46,MATCH($C64,Assumptions!$A$44:$A$46,0))*$C$34,0),IF(Q$45=MAX($G64-1,1),INDEX(Assumptions!$E$44:$E$46,MATCH($C64,Assumptions!$A$44:$A$46,0)),0))*IF(AND($C64="Verified",$C$39=1),0,1)</f>
        <v>0</v>
      </c>
      <c r="R130" s="23" t="n">
        <f aca="false">IF($F64=1,IF(R$45=1,INDEX(Assumptions!$E$44:$E$46,MATCH($C64,Assumptions!$A$44:$A$46,0))*$C$34,0),IF(R$45=MAX($G64-1,1),INDEX(Assumptions!$E$44:$E$46,MATCH($C64,Assumptions!$A$44:$A$46,0)),0))*IF(AND($C64="Verified",$C$39=1),0,1)</f>
        <v>0</v>
      </c>
      <c r="S130" s="23" t="n">
        <f aca="false">IF($F64=1,IF(S$45=1,INDEX(Assumptions!$E$44:$E$46,MATCH($C64,Assumptions!$A$44:$A$46,0))*$C$34,0),IF(S$45=MAX($G64-1,1),INDEX(Assumptions!$E$44:$E$46,MATCH($C64,Assumptions!$A$44:$A$46,0)),0))*IF(AND($C64="Verified",$C$39=1),0,1)</f>
        <v>0</v>
      </c>
      <c r="T130" s="23" t="n">
        <f aca="false">IF($F64=1,IF(T$45=1,INDEX(Assumptions!$E$44:$E$46,MATCH($C64,Assumptions!$A$44:$A$46,0))*$C$34,0),IF(T$45=MAX($G64-1,1),INDEX(Assumptions!$E$44:$E$46,MATCH($C64,Assumptions!$A$44:$A$46,0)),0))*IF(AND($C64="Verified",$C$39=1),0,1)</f>
        <v>0</v>
      </c>
      <c r="U130" s="23" t="n">
        <f aca="false">IF($F64=1,IF(U$45=1,INDEX(Assumptions!$E$44:$E$46,MATCH($C64,Assumptions!$A$44:$A$46,0))*$C$34,0),IF(U$45=MAX($G64-1,1),INDEX(Assumptions!$E$44:$E$46,MATCH($C64,Assumptions!$A$44:$A$46,0)),0))*IF(AND($C64="Verified",$C$39=1),0,1)</f>
        <v>0</v>
      </c>
      <c r="V130" s="23" t="n">
        <f aca="false">IF($F64=1,IF(V$45=1,INDEX(Assumptions!$E$44:$E$46,MATCH($C64,Assumptions!$A$44:$A$46,0))*$C$34,0),IF(V$45=MAX($G64-1,1),INDEX(Assumptions!$E$44:$E$46,MATCH($C64,Assumptions!$A$44:$A$46,0)),0))*IF(AND($C64="Verified",$C$39=1),0,1)</f>
        <v>0</v>
      </c>
      <c r="W130" s="23" t="n">
        <f aca="false">IF($F64=1,IF(W$45=1,INDEX(Assumptions!$E$44:$E$46,MATCH($C64,Assumptions!$A$44:$A$46,0))*$C$34,0),IF(W$45=MAX($G64-1,1),INDEX(Assumptions!$E$44:$E$46,MATCH($C64,Assumptions!$A$44:$A$46,0)),0))*IF(AND($C64="Verified",$C$39=1),0,1)</f>
        <v>0</v>
      </c>
      <c r="X130" s="23" t="n">
        <f aca="false">IF($F64=1,IF(X$45=1,INDEX(Assumptions!$E$44:$E$46,MATCH($C64,Assumptions!$A$44:$A$46,0))*$C$34,0),IF(X$45=MAX($G64-1,1),INDEX(Assumptions!$E$44:$E$46,MATCH($C64,Assumptions!$A$44:$A$46,0)),0))*IF(AND($C64="Verified",$C$39=1),0,1)</f>
        <v>0</v>
      </c>
      <c r="Y130" s="23" t="n">
        <f aca="false">IF($F64=1,IF(Y$45=1,INDEX(Assumptions!$E$44:$E$46,MATCH($C64,Assumptions!$A$44:$A$46,0))*$C$34,0),IF(Y$45=MAX($G64-1,1),INDEX(Assumptions!$E$44:$E$46,MATCH($C64,Assumptions!$A$44:$A$46,0)),0))*IF(AND($C64="Verified",$C$39=1),0,1)</f>
        <v>0</v>
      </c>
    </row>
    <row r="131" customFormat="false" ht="15" hidden="false" customHeight="false" outlineLevel="0" collapsed="false">
      <c r="A131" s="2" t="n">
        <f aca="false">A65</f>
        <v>18</v>
      </c>
      <c r="B131" s="2" t="str">
        <f aca="false">B65</f>
        <v>B</v>
      </c>
      <c r="C131" s="2" t="str">
        <f aca="false">C65</f>
        <v>Verified</v>
      </c>
      <c r="D131" s="2"/>
      <c r="E131" s="2"/>
      <c r="F131" s="2"/>
      <c r="G131" s="2"/>
      <c r="H131" s="23" t="n">
        <f aca="false">IF($F65=1,IF(H$45=1,INDEX(Assumptions!$E$44:$E$46,MATCH($C65,Assumptions!$A$44:$A$46,0))*$C$34,0),IF(H$45=MAX($G65-1,1),INDEX(Assumptions!$E$44:$E$46,MATCH($C65,Assumptions!$A$44:$A$46,0)),0))*IF(AND($C65="Verified",$C$39=1),0,1)</f>
        <v>0</v>
      </c>
      <c r="I131" s="23" t="n">
        <f aca="false">IF($F65=1,IF(I$45=1,INDEX(Assumptions!$E$44:$E$46,MATCH($C65,Assumptions!$A$44:$A$46,0))*$C$34,0),IF(I$45=MAX($G65-1,1),INDEX(Assumptions!$E$44:$E$46,MATCH($C65,Assumptions!$A$44:$A$46,0)),0))*IF(AND($C65="Verified",$C$39=1),0,1)</f>
        <v>0</v>
      </c>
      <c r="J131" s="23" t="n">
        <f aca="false">IF($F65=1,IF(J$45=1,INDEX(Assumptions!$E$44:$E$46,MATCH($C65,Assumptions!$A$44:$A$46,0))*$C$34,0),IF(J$45=MAX($G65-1,1),INDEX(Assumptions!$E$44:$E$46,MATCH($C65,Assumptions!$A$44:$A$46,0)),0))*IF(AND($C65="Verified",$C$39=1),0,1)</f>
        <v>0</v>
      </c>
      <c r="K131" s="23" t="n">
        <f aca="false">IF($F65=1,IF(K$45=1,INDEX(Assumptions!$E$44:$E$46,MATCH($C65,Assumptions!$A$44:$A$46,0))*$C$34,0),IF(K$45=MAX($G65-1,1),INDEX(Assumptions!$E$44:$E$46,MATCH($C65,Assumptions!$A$44:$A$46,0)),0))*IF(AND($C65="Verified",$C$39=1),0,1)</f>
        <v>0</v>
      </c>
      <c r="L131" s="23" t="n">
        <f aca="false">IF($F65=1,IF(L$45=1,INDEX(Assumptions!$E$44:$E$46,MATCH($C65,Assumptions!$A$44:$A$46,0))*$C$34,0),IF(L$45=MAX($G65-1,1),INDEX(Assumptions!$E$44:$E$46,MATCH($C65,Assumptions!$A$44:$A$46,0)),0))*IF(AND($C65="Verified",$C$39=1),0,1)</f>
        <v>0</v>
      </c>
      <c r="M131" s="23" t="n">
        <f aca="false">IF($F65=1,IF(M$45=1,INDEX(Assumptions!$E$44:$E$46,MATCH($C65,Assumptions!$A$44:$A$46,0))*$C$34,0),IF(M$45=MAX($G65-1,1),INDEX(Assumptions!$E$44:$E$46,MATCH($C65,Assumptions!$A$44:$A$46,0)),0))*IF(AND($C65="Verified",$C$39=1),0,1)</f>
        <v>0</v>
      </c>
      <c r="N131" s="23" t="n">
        <f aca="false">IF($F65=1,IF(N$45=1,INDEX(Assumptions!$E$44:$E$46,MATCH($C65,Assumptions!$A$44:$A$46,0))*$C$34,0),IF(N$45=MAX($G65-1,1),INDEX(Assumptions!$E$44:$E$46,MATCH($C65,Assumptions!$A$44:$A$46,0)),0))*IF(AND($C65="Verified",$C$39=1),0,1)</f>
        <v>0</v>
      </c>
      <c r="O131" s="23" t="n">
        <f aca="false">IF($F65=1,IF(O$45=1,INDEX(Assumptions!$E$44:$E$46,MATCH($C65,Assumptions!$A$44:$A$46,0))*$C$34,0),IF(O$45=MAX($G65-1,1),INDEX(Assumptions!$E$44:$E$46,MATCH($C65,Assumptions!$A$44:$A$46,0)),0))*IF(AND($C65="Verified",$C$39=1),0,1)</f>
        <v>0</v>
      </c>
      <c r="P131" s="23" t="n">
        <f aca="false">IF($F65=1,IF(P$45=1,INDEX(Assumptions!$E$44:$E$46,MATCH($C65,Assumptions!$A$44:$A$46,0))*$C$34,0),IF(P$45=MAX($G65-1,1),INDEX(Assumptions!$E$44:$E$46,MATCH($C65,Assumptions!$A$44:$A$46,0)),0))*IF(AND($C65="Verified",$C$39=1),0,1)</f>
        <v>0</v>
      </c>
      <c r="Q131" s="23" t="n">
        <f aca="false">IF($F65=1,IF(Q$45=1,INDEX(Assumptions!$E$44:$E$46,MATCH($C65,Assumptions!$A$44:$A$46,0))*$C$34,0),IF(Q$45=MAX($G65-1,1),INDEX(Assumptions!$E$44:$E$46,MATCH($C65,Assumptions!$A$44:$A$46,0)),0))*IF(AND($C65="Verified",$C$39=1),0,1)</f>
        <v>0</v>
      </c>
      <c r="R131" s="23" t="n">
        <f aca="false">IF($F65=1,IF(R$45=1,INDEX(Assumptions!$E$44:$E$46,MATCH($C65,Assumptions!$A$44:$A$46,0))*$C$34,0),IF(R$45=MAX($G65-1,1),INDEX(Assumptions!$E$44:$E$46,MATCH($C65,Assumptions!$A$44:$A$46,0)),0))*IF(AND($C65="Verified",$C$39=1),0,1)</f>
        <v>0</v>
      </c>
      <c r="S131" s="23" t="n">
        <f aca="false">IF($F65=1,IF(S$45=1,INDEX(Assumptions!$E$44:$E$46,MATCH($C65,Assumptions!$A$44:$A$46,0))*$C$34,0),IF(S$45=MAX($G65-1,1),INDEX(Assumptions!$E$44:$E$46,MATCH($C65,Assumptions!$A$44:$A$46,0)),0))*IF(AND($C65="Verified",$C$39=1),0,1)</f>
        <v>0</v>
      </c>
      <c r="T131" s="23" t="n">
        <f aca="false">IF($F65=1,IF(T$45=1,INDEX(Assumptions!$E$44:$E$46,MATCH($C65,Assumptions!$A$44:$A$46,0))*$C$34,0),IF(T$45=MAX($G65-1,1),INDEX(Assumptions!$E$44:$E$46,MATCH($C65,Assumptions!$A$44:$A$46,0)),0))*IF(AND($C65="Verified",$C$39=1),0,1)</f>
        <v>0</v>
      </c>
      <c r="U131" s="23" t="n">
        <f aca="false">IF($F65=1,IF(U$45=1,INDEX(Assumptions!$E$44:$E$46,MATCH($C65,Assumptions!$A$44:$A$46,0))*$C$34,0),IF(U$45=MAX($G65-1,1),INDEX(Assumptions!$E$44:$E$46,MATCH($C65,Assumptions!$A$44:$A$46,0)),0))*IF(AND($C65="Verified",$C$39=1),0,1)</f>
        <v>0</v>
      </c>
      <c r="V131" s="23" t="n">
        <f aca="false">IF($F65=1,IF(V$45=1,INDEX(Assumptions!$E$44:$E$46,MATCH($C65,Assumptions!$A$44:$A$46,0))*$C$34,0),IF(V$45=MAX($G65-1,1),INDEX(Assumptions!$E$44:$E$46,MATCH($C65,Assumptions!$A$44:$A$46,0)),0))*IF(AND($C65="Verified",$C$39=1),0,1)</f>
        <v>0</v>
      </c>
      <c r="W131" s="23" t="n">
        <f aca="false">IF($F65=1,IF(W$45=1,INDEX(Assumptions!$E$44:$E$46,MATCH($C65,Assumptions!$A$44:$A$46,0))*$C$34,0),IF(W$45=MAX($G65-1,1),INDEX(Assumptions!$E$44:$E$46,MATCH($C65,Assumptions!$A$44:$A$46,0)),0))*IF(AND($C65="Verified",$C$39=1),0,1)</f>
        <v>0</v>
      </c>
      <c r="X131" s="23" t="n">
        <f aca="false">IF($F65=1,IF(X$45=1,INDEX(Assumptions!$E$44:$E$46,MATCH($C65,Assumptions!$A$44:$A$46,0))*$C$34,0),IF(X$45=MAX($G65-1,1),INDEX(Assumptions!$E$44:$E$46,MATCH($C65,Assumptions!$A$44:$A$46,0)),0))*IF(AND($C65="Verified",$C$39=1),0,1)</f>
        <v>0</v>
      </c>
      <c r="Y131" s="23" t="n">
        <f aca="false">IF($F65=1,IF(Y$45=1,INDEX(Assumptions!$E$44:$E$46,MATCH($C65,Assumptions!$A$44:$A$46,0))*$C$34,0),IF(Y$45=MAX($G65-1,1),INDEX(Assumptions!$E$44:$E$46,MATCH($C65,Assumptions!$A$44:$A$46,0)),0))*IF(AND($C65="Verified",$C$39=1),0,1)</f>
        <v>0</v>
      </c>
    </row>
    <row r="132" customFormat="false" ht="15" hidden="false" customHeight="false" outlineLevel="0" collapsed="false">
      <c r="A132" s="2" t="n">
        <f aca="false">A66</f>
        <v>19</v>
      </c>
      <c r="B132" s="2" t="str">
        <f aca="false">B66</f>
        <v>B</v>
      </c>
      <c r="C132" s="2" t="str">
        <f aca="false">C66</f>
        <v>Verified</v>
      </c>
      <c r="D132" s="2"/>
      <c r="E132" s="2"/>
      <c r="F132" s="2"/>
      <c r="G132" s="2"/>
      <c r="H132" s="23" t="n">
        <f aca="false">IF($F66=1,IF(H$45=1,INDEX(Assumptions!$E$44:$E$46,MATCH($C66,Assumptions!$A$44:$A$46,0))*$C$34,0),IF(H$45=MAX($G66-1,1),INDEX(Assumptions!$E$44:$E$46,MATCH($C66,Assumptions!$A$44:$A$46,0)),0))*IF(AND($C66="Verified",$C$39=1),0,1)</f>
        <v>0</v>
      </c>
      <c r="I132" s="23" t="n">
        <f aca="false">IF($F66=1,IF(I$45=1,INDEX(Assumptions!$E$44:$E$46,MATCH($C66,Assumptions!$A$44:$A$46,0))*$C$34,0),IF(I$45=MAX($G66-1,1),INDEX(Assumptions!$E$44:$E$46,MATCH($C66,Assumptions!$A$44:$A$46,0)),0))*IF(AND($C66="Verified",$C$39=1),0,1)</f>
        <v>0</v>
      </c>
      <c r="J132" s="23" t="n">
        <f aca="false">IF($F66=1,IF(J$45=1,INDEX(Assumptions!$E$44:$E$46,MATCH($C66,Assumptions!$A$44:$A$46,0))*$C$34,0),IF(J$45=MAX($G66-1,1),INDEX(Assumptions!$E$44:$E$46,MATCH($C66,Assumptions!$A$44:$A$46,0)),0))*IF(AND($C66="Verified",$C$39=1),0,1)</f>
        <v>0</v>
      </c>
      <c r="K132" s="23" t="n">
        <f aca="false">IF($F66=1,IF(K$45=1,INDEX(Assumptions!$E$44:$E$46,MATCH($C66,Assumptions!$A$44:$A$46,0))*$C$34,0),IF(K$45=MAX($G66-1,1),INDEX(Assumptions!$E$44:$E$46,MATCH($C66,Assumptions!$A$44:$A$46,0)),0))*IF(AND($C66="Verified",$C$39=1),0,1)</f>
        <v>0</v>
      </c>
      <c r="L132" s="23" t="n">
        <f aca="false">IF($F66=1,IF(L$45=1,INDEX(Assumptions!$E$44:$E$46,MATCH($C66,Assumptions!$A$44:$A$46,0))*$C$34,0),IF(L$45=MAX($G66-1,1),INDEX(Assumptions!$E$44:$E$46,MATCH($C66,Assumptions!$A$44:$A$46,0)),0))*IF(AND($C66="Verified",$C$39=1),0,1)</f>
        <v>0</v>
      </c>
      <c r="M132" s="23" t="n">
        <f aca="false">IF($F66=1,IF(M$45=1,INDEX(Assumptions!$E$44:$E$46,MATCH($C66,Assumptions!$A$44:$A$46,0))*$C$34,0),IF(M$45=MAX($G66-1,1),INDEX(Assumptions!$E$44:$E$46,MATCH($C66,Assumptions!$A$44:$A$46,0)),0))*IF(AND($C66="Verified",$C$39=1),0,1)</f>
        <v>0</v>
      </c>
      <c r="N132" s="23" t="n">
        <f aca="false">IF($F66=1,IF(N$45=1,INDEX(Assumptions!$E$44:$E$46,MATCH($C66,Assumptions!$A$44:$A$46,0))*$C$34,0),IF(N$45=MAX($G66-1,1),INDEX(Assumptions!$E$44:$E$46,MATCH($C66,Assumptions!$A$44:$A$46,0)),0))*IF(AND($C66="Verified",$C$39=1),0,1)</f>
        <v>0</v>
      </c>
      <c r="O132" s="23" t="n">
        <f aca="false">IF($F66=1,IF(O$45=1,INDEX(Assumptions!$E$44:$E$46,MATCH($C66,Assumptions!$A$44:$A$46,0))*$C$34,0),IF(O$45=MAX($G66-1,1),INDEX(Assumptions!$E$44:$E$46,MATCH($C66,Assumptions!$A$44:$A$46,0)),0))*IF(AND($C66="Verified",$C$39=1),0,1)</f>
        <v>0</v>
      </c>
      <c r="P132" s="23" t="n">
        <f aca="false">IF($F66=1,IF(P$45=1,INDEX(Assumptions!$E$44:$E$46,MATCH($C66,Assumptions!$A$44:$A$46,0))*$C$34,0),IF(P$45=MAX($G66-1,1),INDEX(Assumptions!$E$44:$E$46,MATCH($C66,Assumptions!$A$44:$A$46,0)),0))*IF(AND($C66="Verified",$C$39=1),0,1)</f>
        <v>0</v>
      </c>
      <c r="Q132" s="23" t="n">
        <f aca="false">IF($F66=1,IF(Q$45=1,INDEX(Assumptions!$E$44:$E$46,MATCH($C66,Assumptions!$A$44:$A$46,0))*$C$34,0),IF(Q$45=MAX($G66-1,1),INDEX(Assumptions!$E$44:$E$46,MATCH($C66,Assumptions!$A$44:$A$46,0)),0))*IF(AND($C66="Verified",$C$39=1),0,1)</f>
        <v>0</v>
      </c>
      <c r="R132" s="23" t="n">
        <f aca="false">IF($F66=1,IF(R$45=1,INDEX(Assumptions!$E$44:$E$46,MATCH($C66,Assumptions!$A$44:$A$46,0))*$C$34,0),IF(R$45=MAX($G66-1,1),INDEX(Assumptions!$E$44:$E$46,MATCH($C66,Assumptions!$A$44:$A$46,0)),0))*IF(AND($C66="Verified",$C$39=1),0,1)</f>
        <v>0</v>
      </c>
      <c r="S132" s="23" t="n">
        <f aca="false">IF($F66=1,IF(S$45=1,INDEX(Assumptions!$E$44:$E$46,MATCH($C66,Assumptions!$A$44:$A$46,0))*$C$34,0),IF(S$45=MAX($G66-1,1),INDEX(Assumptions!$E$44:$E$46,MATCH($C66,Assumptions!$A$44:$A$46,0)),0))*IF(AND($C66="Verified",$C$39=1),0,1)</f>
        <v>0</v>
      </c>
      <c r="T132" s="23" t="n">
        <f aca="false">IF($F66=1,IF(T$45=1,INDEX(Assumptions!$E$44:$E$46,MATCH($C66,Assumptions!$A$44:$A$46,0))*$C$34,0),IF(T$45=MAX($G66-1,1),INDEX(Assumptions!$E$44:$E$46,MATCH($C66,Assumptions!$A$44:$A$46,0)),0))*IF(AND($C66="Verified",$C$39=1),0,1)</f>
        <v>0</v>
      </c>
      <c r="U132" s="23" t="n">
        <f aca="false">IF($F66=1,IF(U$45=1,INDEX(Assumptions!$E$44:$E$46,MATCH($C66,Assumptions!$A$44:$A$46,0))*$C$34,0),IF(U$45=MAX($G66-1,1),INDEX(Assumptions!$E$44:$E$46,MATCH($C66,Assumptions!$A$44:$A$46,0)),0))*IF(AND($C66="Verified",$C$39=1),0,1)</f>
        <v>0</v>
      </c>
      <c r="V132" s="23" t="n">
        <f aca="false">IF($F66=1,IF(V$45=1,INDEX(Assumptions!$E$44:$E$46,MATCH($C66,Assumptions!$A$44:$A$46,0))*$C$34,0),IF(V$45=MAX($G66-1,1),INDEX(Assumptions!$E$44:$E$46,MATCH($C66,Assumptions!$A$44:$A$46,0)),0))*IF(AND($C66="Verified",$C$39=1),0,1)</f>
        <v>0</v>
      </c>
      <c r="W132" s="23" t="n">
        <f aca="false">IF($F66=1,IF(W$45=1,INDEX(Assumptions!$E$44:$E$46,MATCH($C66,Assumptions!$A$44:$A$46,0))*$C$34,0),IF(W$45=MAX($G66-1,1),INDEX(Assumptions!$E$44:$E$46,MATCH($C66,Assumptions!$A$44:$A$46,0)),0))*IF(AND($C66="Verified",$C$39=1),0,1)</f>
        <v>0</v>
      </c>
      <c r="X132" s="23" t="n">
        <f aca="false">IF($F66=1,IF(X$45=1,INDEX(Assumptions!$E$44:$E$46,MATCH($C66,Assumptions!$A$44:$A$46,0))*$C$34,0),IF(X$45=MAX($G66-1,1),INDEX(Assumptions!$E$44:$E$46,MATCH($C66,Assumptions!$A$44:$A$46,0)),0))*IF(AND($C66="Verified",$C$39=1),0,1)</f>
        <v>0</v>
      </c>
      <c r="Y132" s="23" t="n">
        <f aca="false">IF($F66=1,IF(Y$45=1,INDEX(Assumptions!$E$44:$E$46,MATCH($C66,Assumptions!$A$44:$A$46,0))*$C$34,0),IF(Y$45=MAX($G66-1,1),INDEX(Assumptions!$E$44:$E$46,MATCH($C66,Assumptions!$A$44:$A$46,0)),0))*IF(AND($C66="Verified",$C$39=1),0,1)</f>
        <v>0</v>
      </c>
    </row>
    <row r="133" customFormat="false" ht="15" hidden="false" customHeight="false" outlineLevel="0" collapsed="false">
      <c r="A133" s="2" t="n">
        <f aca="false">A67</f>
        <v>20</v>
      </c>
      <c r="B133" s="2" t="str">
        <f aca="false">B67</f>
        <v>B</v>
      </c>
      <c r="C133" s="2" t="str">
        <f aca="false">C67</f>
        <v>Verified</v>
      </c>
      <c r="D133" s="2"/>
      <c r="E133" s="2"/>
      <c r="F133" s="2"/>
      <c r="G133" s="2"/>
      <c r="H133" s="23" t="n">
        <f aca="false">IF($F67=1,IF(H$45=1,INDEX(Assumptions!$E$44:$E$46,MATCH($C67,Assumptions!$A$44:$A$46,0))*$C$34,0),IF(H$45=MAX($G67-1,1),INDEX(Assumptions!$E$44:$E$46,MATCH($C67,Assumptions!$A$44:$A$46,0)),0))*IF(AND($C67="Verified",$C$39=1),0,1)</f>
        <v>0</v>
      </c>
      <c r="I133" s="23" t="n">
        <f aca="false">IF($F67=1,IF(I$45=1,INDEX(Assumptions!$E$44:$E$46,MATCH($C67,Assumptions!$A$44:$A$46,0))*$C$34,0),IF(I$45=MAX($G67-1,1),INDEX(Assumptions!$E$44:$E$46,MATCH($C67,Assumptions!$A$44:$A$46,0)),0))*IF(AND($C67="Verified",$C$39=1),0,1)</f>
        <v>0</v>
      </c>
      <c r="J133" s="23" t="n">
        <f aca="false">IF($F67=1,IF(J$45=1,INDEX(Assumptions!$E$44:$E$46,MATCH($C67,Assumptions!$A$44:$A$46,0))*$C$34,0),IF(J$45=MAX($G67-1,1),INDEX(Assumptions!$E$44:$E$46,MATCH($C67,Assumptions!$A$44:$A$46,0)),0))*IF(AND($C67="Verified",$C$39=1),0,1)</f>
        <v>0</v>
      </c>
      <c r="K133" s="23" t="n">
        <f aca="false">IF($F67=1,IF(K$45=1,INDEX(Assumptions!$E$44:$E$46,MATCH($C67,Assumptions!$A$44:$A$46,0))*$C$34,0),IF(K$45=MAX($G67-1,1),INDEX(Assumptions!$E$44:$E$46,MATCH($C67,Assumptions!$A$44:$A$46,0)),0))*IF(AND($C67="Verified",$C$39=1),0,1)</f>
        <v>0</v>
      </c>
      <c r="L133" s="23" t="n">
        <f aca="false">IF($F67=1,IF(L$45=1,INDEX(Assumptions!$E$44:$E$46,MATCH($C67,Assumptions!$A$44:$A$46,0))*$C$34,0),IF(L$45=MAX($G67-1,1),INDEX(Assumptions!$E$44:$E$46,MATCH($C67,Assumptions!$A$44:$A$46,0)),0))*IF(AND($C67="Verified",$C$39=1),0,1)</f>
        <v>0</v>
      </c>
      <c r="M133" s="23" t="n">
        <f aca="false">IF($F67=1,IF(M$45=1,INDEX(Assumptions!$E$44:$E$46,MATCH($C67,Assumptions!$A$44:$A$46,0))*$C$34,0),IF(M$45=MAX($G67-1,1),INDEX(Assumptions!$E$44:$E$46,MATCH($C67,Assumptions!$A$44:$A$46,0)),0))*IF(AND($C67="Verified",$C$39=1),0,1)</f>
        <v>0</v>
      </c>
      <c r="N133" s="23" t="n">
        <f aca="false">IF($F67=1,IF(N$45=1,INDEX(Assumptions!$E$44:$E$46,MATCH($C67,Assumptions!$A$44:$A$46,0))*$C$34,0),IF(N$45=MAX($G67-1,1),INDEX(Assumptions!$E$44:$E$46,MATCH($C67,Assumptions!$A$44:$A$46,0)),0))*IF(AND($C67="Verified",$C$39=1),0,1)</f>
        <v>0</v>
      </c>
      <c r="O133" s="23" t="n">
        <f aca="false">IF($F67=1,IF(O$45=1,INDEX(Assumptions!$E$44:$E$46,MATCH($C67,Assumptions!$A$44:$A$46,0))*$C$34,0),IF(O$45=MAX($G67-1,1),INDEX(Assumptions!$E$44:$E$46,MATCH($C67,Assumptions!$A$44:$A$46,0)),0))*IF(AND($C67="Verified",$C$39=1),0,1)</f>
        <v>0</v>
      </c>
      <c r="P133" s="23" t="n">
        <f aca="false">IF($F67=1,IF(P$45=1,INDEX(Assumptions!$E$44:$E$46,MATCH($C67,Assumptions!$A$44:$A$46,0))*$C$34,0),IF(P$45=MAX($G67-1,1),INDEX(Assumptions!$E$44:$E$46,MATCH($C67,Assumptions!$A$44:$A$46,0)),0))*IF(AND($C67="Verified",$C$39=1),0,1)</f>
        <v>0</v>
      </c>
      <c r="Q133" s="23" t="n">
        <f aca="false">IF($F67=1,IF(Q$45=1,INDEX(Assumptions!$E$44:$E$46,MATCH($C67,Assumptions!$A$44:$A$46,0))*$C$34,0),IF(Q$45=MAX($G67-1,1),INDEX(Assumptions!$E$44:$E$46,MATCH($C67,Assumptions!$A$44:$A$46,0)),0))*IF(AND($C67="Verified",$C$39=1),0,1)</f>
        <v>0</v>
      </c>
      <c r="R133" s="23" t="n">
        <f aca="false">IF($F67=1,IF(R$45=1,INDEX(Assumptions!$E$44:$E$46,MATCH($C67,Assumptions!$A$44:$A$46,0))*$C$34,0),IF(R$45=MAX($G67-1,1),INDEX(Assumptions!$E$44:$E$46,MATCH($C67,Assumptions!$A$44:$A$46,0)),0))*IF(AND($C67="Verified",$C$39=1),0,1)</f>
        <v>0</v>
      </c>
      <c r="S133" s="23" t="n">
        <f aca="false">IF($F67=1,IF(S$45=1,INDEX(Assumptions!$E$44:$E$46,MATCH($C67,Assumptions!$A$44:$A$46,0))*$C$34,0),IF(S$45=MAX($G67-1,1),INDEX(Assumptions!$E$44:$E$46,MATCH($C67,Assumptions!$A$44:$A$46,0)),0))*IF(AND($C67="Verified",$C$39=1),0,1)</f>
        <v>0</v>
      </c>
      <c r="T133" s="23" t="n">
        <f aca="false">IF($F67=1,IF(T$45=1,INDEX(Assumptions!$E$44:$E$46,MATCH($C67,Assumptions!$A$44:$A$46,0))*$C$34,0),IF(T$45=MAX($G67-1,1),INDEX(Assumptions!$E$44:$E$46,MATCH($C67,Assumptions!$A$44:$A$46,0)),0))*IF(AND($C67="Verified",$C$39=1),0,1)</f>
        <v>0</v>
      </c>
      <c r="U133" s="23" t="n">
        <f aca="false">IF($F67=1,IF(U$45=1,INDEX(Assumptions!$E$44:$E$46,MATCH($C67,Assumptions!$A$44:$A$46,0))*$C$34,0),IF(U$45=MAX($G67-1,1),INDEX(Assumptions!$E$44:$E$46,MATCH($C67,Assumptions!$A$44:$A$46,0)),0))*IF(AND($C67="Verified",$C$39=1),0,1)</f>
        <v>0</v>
      </c>
      <c r="V133" s="23" t="n">
        <f aca="false">IF($F67=1,IF(V$45=1,INDEX(Assumptions!$E$44:$E$46,MATCH($C67,Assumptions!$A$44:$A$46,0))*$C$34,0),IF(V$45=MAX($G67-1,1),INDEX(Assumptions!$E$44:$E$46,MATCH($C67,Assumptions!$A$44:$A$46,0)),0))*IF(AND($C67="Verified",$C$39=1),0,1)</f>
        <v>0</v>
      </c>
      <c r="W133" s="23" t="n">
        <f aca="false">IF($F67=1,IF(W$45=1,INDEX(Assumptions!$E$44:$E$46,MATCH($C67,Assumptions!$A$44:$A$46,0))*$C$34,0),IF(W$45=MAX($G67-1,1),INDEX(Assumptions!$E$44:$E$46,MATCH($C67,Assumptions!$A$44:$A$46,0)),0))*IF(AND($C67="Verified",$C$39=1),0,1)</f>
        <v>0</v>
      </c>
      <c r="X133" s="23" t="n">
        <f aca="false">IF($F67=1,IF(X$45=1,INDEX(Assumptions!$E$44:$E$46,MATCH($C67,Assumptions!$A$44:$A$46,0))*$C$34,0),IF(X$45=MAX($G67-1,1),INDEX(Assumptions!$E$44:$E$46,MATCH($C67,Assumptions!$A$44:$A$46,0)),0))*IF(AND($C67="Verified",$C$39=1),0,1)</f>
        <v>0</v>
      </c>
      <c r="Y133" s="23" t="n">
        <f aca="false">IF($F67=1,IF(Y$45=1,INDEX(Assumptions!$E$44:$E$46,MATCH($C67,Assumptions!$A$44:$A$46,0))*$C$34,0),IF(Y$45=MAX($G67-1,1),INDEX(Assumptions!$E$44:$E$46,MATCH($C67,Assumptions!$A$44:$A$46,0)),0))*IF(AND($C67="Verified",$C$39=1),0,1)</f>
        <v>0</v>
      </c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" hidden="false" customHeight="false" outlineLevel="0" collapsed="false">
      <c r="A135" s="37" t="s">
        <v>202</v>
      </c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customFormat="false" ht="15" hidden="false" customHeight="false" outlineLevel="0" collapsed="false">
      <c r="A136" s="2" t="n">
        <f aca="false">A48</f>
        <v>1</v>
      </c>
      <c r="B136" s="2" t="str">
        <f aca="false">B48</f>
        <v>Pilot</v>
      </c>
      <c r="C136" s="2" t="str">
        <f aca="false">C48</f>
        <v>Assured</v>
      </c>
      <c r="D136" s="2"/>
      <c r="E136" s="2"/>
      <c r="F136" s="2"/>
      <c r="G136" s="2"/>
      <c r="H136" s="24" t="n">
        <f aca="false">H48*($C$30+(INDEX(Assumptions!$F$44:$F$46,MATCH($C48,Assumptions!$A$44:$A$46,0))-$C$30)*MIN(1,H$45/$C$29))</f>
        <v>13.4108333333333</v>
      </c>
      <c r="I136" s="24" t="n">
        <f aca="false">I48*($C$30+(INDEX(Assumptions!$F$44:$F$46,MATCH($C48,Assumptions!$A$44:$A$46,0))-$C$30)*MIN(1,I$45/$C$29))</f>
        <v>14.5138888888889</v>
      </c>
      <c r="J136" s="24" t="n">
        <f aca="false">J48*($C$30+(INDEX(Assumptions!$F$44:$F$46,MATCH($C48,Assumptions!$A$44:$A$46,0))-$C$30)*MIN(1,J$45/$C$29))</f>
        <v>15.6591666666667</v>
      </c>
      <c r="K136" s="24" t="n">
        <f aca="false">K48*($C$30+(INDEX(Assumptions!$F$44:$F$46,MATCH($C48,Assumptions!$A$44:$A$46,0))-$C$30)*MIN(1,K$45/$C$29))</f>
        <v>16.8466666666667</v>
      </c>
      <c r="L136" s="24" t="n">
        <f aca="false">L48*($C$30+(INDEX(Assumptions!$F$44:$F$46,MATCH($C48,Assumptions!$A$44:$A$46,0))-$C$30)*MIN(1,L$45/$C$29))</f>
        <v>17.3533333333333</v>
      </c>
      <c r="M136" s="24" t="n">
        <f aca="false">M48*($C$30+(INDEX(Assumptions!$F$44:$F$46,MATCH($C48,Assumptions!$A$44:$A$46,0))-$C$30)*MIN(1,M$45/$C$29))</f>
        <v>17.86</v>
      </c>
      <c r="N136" s="24" t="n">
        <f aca="false">N48*($C$30+(INDEX(Assumptions!$F$44:$F$46,MATCH($C48,Assumptions!$A$44:$A$46,0))-$C$30)*MIN(1,N$45/$C$29))</f>
        <v>17.86</v>
      </c>
      <c r="O136" s="24" t="n">
        <f aca="false">O48*($C$30+(INDEX(Assumptions!$F$44:$F$46,MATCH($C48,Assumptions!$A$44:$A$46,0))-$C$30)*MIN(1,O$45/$C$29))</f>
        <v>17.86</v>
      </c>
      <c r="P136" s="24" t="n">
        <f aca="false">P48*($C$30+(INDEX(Assumptions!$F$44:$F$46,MATCH($C48,Assumptions!$A$44:$A$46,0))-$C$30)*MIN(1,P$45/$C$29))</f>
        <v>17.86</v>
      </c>
      <c r="Q136" s="24" t="n">
        <f aca="false">Q48*($C$30+(INDEX(Assumptions!$F$44:$F$46,MATCH($C48,Assumptions!$A$44:$A$46,0))-$C$30)*MIN(1,Q$45/$C$29))</f>
        <v>17.86</v>
      </c>
      <c r="R136" s="24" t="n">
        <f aca="false">R48*($C$30+(INDEX(Assumptions!$F$44:$F$46,MATCH($C48,Assumptions!$A$44:$A$46,0))-$C$30)*MIN(1,R$45/$C$29))</f>
        <v>17.86</v>
      </c>
      <c r="S136" s="24" t="n">
        <f aca="false">S48*($C$30+(INDEX(Assumptions!$F$44:$F$46,MATCH($C48,Assumptions!$A$44:$A$46,0))-$C$30)*MIN(1,S$45/$C$29))</f>
        <v>17.86</v>
      </c>
      <c r="T136" s="24" t="n">
        <f aca="false">T48*($C$30+(INDEX(Assumptions!$F$44:$F$46,MATCH($C48,Assumptions!$A$44:$A$46,0))-$C$30)*MIN(1,T$45/$C$29))</f>
        <v>17.86</v>
      </c>
      <c r="U136" s="24" t="n">
        <f aca="false">U48*($C$30+(INDEX(Assumptions!$F$44:$F$46,MATCH($C48,Assumptions!$A$44:$A$46,0))-$C$30)*MIN(1,U$45/$C$29))</f>
        <v>17.86</v>
      </c>
      <c r="V136" s="24" t="n">
        <f aca="false">V48*($C$30+(INDEX(Assumptions!$F$44:$F$46,MATCH($C48,Assumptions!$A$44:$A$46,0))-$C$30)*MIN(1,V$45/$C$29))</f>
        <v>17.86</v>
      </c>
      <c r="W136" s="24" t="n">
        <f aca="false">W48*($C$30+(INDEX(Assumptions!$F$44:$F$46,MATCH($C48,Assumptions!$A$44:$A$46,0))-$C$30)*MIN(1,W$45/$C$29))</f>
        <v>17.86</v>
      </c>
      <c r="X136" s="24" t="n">
        <f aca="false">X48*($C$30+(INDEX(Assumptions!$F$44:$F$46,MATCH($C48,Assumptions!$A$44:$A$46,0))-$C$30)*MIN(1,X$45/$C$29))</f>
        <v>17.86</v>
      </c>
      <c r="Y136" s="24" t="n">
        <f aca="false">Y48*($C$30+(INDEX(Assumptions!$F$44:$F$46,MATCH($C48,Assumptions!$A$44:$A$46,0))-$C$30)*MIN(1,Y$45/$C$29))</f>
        <v>17.86</v>
      </c>
    </row>
    <row r="137" customFormat="false" ht="15" hidden="false" customHeight="false" outlineLevel="0" collapsed="false">
      <c r="A137" s="2" t="n">
        <f aca="false">A49</f>
        <v>2</v>
      </c>
      <c r="B137" s="2" t="str">
        <f aca="false">B49</f>
        <v>Pilot</v>
      </c>
      <c r="C137" s="2" t="str">
        <f aca="false">C49</f>
        <v>Assured</v>
      </c>
      <c r="D137" s="2"/>
      <c r="E137" s="2"/>
      <c r="F137" s="2"/>
      <c r="G137" s="2"/>
      <c r="H137" s="24" t="n">
        <f aca="false">H49*($C$30+(INDEX(Assumptions!$F$44:$F$46,MATCH($C49,Assumptions!$A$44:$A$46,0))-$C$30)*MIN(1,H$45/$C$29))</f>
        <v>13.4108333333333</v>
      </c>
      <c r="I137" s="24" t="n">
        <f aca="false">I49*($C$30+(INDEX(Assumptions!$F$44:$F$46,MATCH($C49,Assumptions!$A$44:$A$46,0))-$C$30)*MIN(1,I$45/$C$29))</f>
        <v>14.5138888888889</v>
      </c>
      <c r="J137" s="24" t="n">
        <f aca="false">J49*($C$30+(INDEX(Assumptions!$F$44:$F$46,MATCH($C49,Assumptions!$A$44:$A$46,0))-$C$30)*MIN(1,J$45/$C$29))</f>
        <v>15.6591666666667</v>
      </c>
      <c r="K137" s="24" t="n">
        <f aca="false">K49*($C$30+(INDEX(Assumptions!$F$44:$F$46,MATCH($C49,Assumptions!$A$44:$A$46,0))-$C$30)*MIN(1,K$45/$C$29))</f>
        <v>16.8466666666667</v>
      </c>
      <c r="L137" s="24" t="n">
        <f aca="false">L49*($C$30+(INDEX(Assumptions!$F$44:$F$46,MATCH($C49,Assumptions!$A$44:$A$46,0))-$C$30)*MIN(1,L$45/$C$29))</f>
        <v>17.3533333333333</v>
      </c>
      <c r="M137" s="24" t="n">
        <f aca="false">M49*($C$30+(INDEX(Assumptions!$F$44:$F$46,MATCH($C49,Assumptions!$A$44:$A$46,0))-$C$30)*MIN(1,M$45/$C$29))</f>
        <v>17.86</v>
      </c>
      <c r="N137" s="24" t="n">
        <f aca="false">N49*($C$30+(INDEX(Assumptions!$F$44:$F$46,MATCH($C49,Assumptions!$A$44:$A$46,0))-$C$30)*MIN(1,N$45/$C$29))</f>
        <v>17.86</v>
      </c>
      <c r="O137" s="24" t="n">
        <f aca="false">O49*($C$30+(INDEX(Assumptions!$F$44:$F$46,MATCH($C49,Assumptions!$A$44:$A$46,0))-$C$30)*MIN(1,O$45/$C$29))</f>
        <v>17.86</v>
      </c>
      <c r="P137" s="24" t="n">
        <f aca="false">P49*($C$30+(INDEX(Assumptions!$F$44:$F$46,MATCH($C49,Assumptions!$A$44:$A$46,0))-$C$30)*MIN(1,P$45/$C$29))</f>
        <v>17.86</v>
      </c>
      <c r="Q137" s="24" t="n">
        <f aca="false">Q49*($C$30+(INDEX(Assumptions!$F$44:$F$46,MATCH($C49,Assumptions!$A$44:$A$46,0))-$C$30)*MIN(1,Q$45/$C$29))</f>
        <v>17.86</v>
      </c>
      <c r="R137" s="24" t="n">
        <f aca="false">R49*($C$30+(INDEX(Assumptions!$F$44:$F$46,MATCH($C49,Assumptions!$A$44:$A$46,0))-$C$30)*MIN(1,R$45/$C$29))</f>
        <v>17.86</v>
      </c>
      <c r="S137" s="24" t="n">
        <f aca="false">S49*($C$30+(INDEX(Assumptions!$F$44:$F$46,MATCH($C49,Assumptions!$A$44:$A$46,0))-$C$30)*MIN(1,S$45/$C$29))</f>
        <v>17.86</v>
      </c>
      <c r="T137" s="24" t="n">
        <f aca="false">T49*($C$30+(INDEX(Assumptions!$F$44:$F$46,MATCH($C49,Assumptions!$A$44:$A$46,0))-$C$30)*MIN(1,T$45/$C$29))</f>
        <v>17.86</v>
      </c>
      <c r="U137" s="24" t="n">
        <f aca="false">U49*($C$30+(INDEX(Assumptions!$F$44:$F$46,MATCH($C49,Assumptions!$A$44:$A$46,0))-$C$30)*MIN(1,U$45/$C$29))</f>
        <v>17.86</v>
      </c>
      <c r="V137" s="24" t="n">
        <f aca="false">V49*($C$30+(INDEX(Assumptions!$F$44:$F$46,MATCH($C49,Assumptions!$A$44:$A$46,0))-$C$30)*MIN(1,V$45/$C$29))</f>
        <v>17.86</v>
      </c>
      <c r="W137" s="24" t="n">
        <f aca="false">W49*($C$30+(INDEX(Assumptions!$F$44:$F$46,MATCH($C49,Assumptions!$A$44:$A$46,0))-$C$30)*MIN(1,W$45/$C$29))</f>
        <v>17.86</v>
      </c>
      <c r="X137" s="24" t="n">
        <f aca="false">X49*($C$30+(INDEX(Assumptions!$F$44:$F$46,MATCH($C49,Assumptions!$A$44:$A$46,0))-$C$30)*MIN(1,X$45/$C$29))</f>
        <v>17.86</v>
      </c>
      <c r="Y137" s="24" t="n">
        <f aca="false">Y49*($C$30+(INDEX(Assumptions!$F$44:$F$46,MATCH($C49,Assumptions!$A$44:$A$46,0))-$C$30)*MIN(1,Y$45/$C$29))</f>
        <v>17.86</v>
      </c>
    </row>
    <row r="138" customFormat="false" ht="15" hidden="false" customHeight="false" outlineLevel="0" collapsed="false">
      <c r="A138" s="2" t="n">
        <f aca="false">A50</f>
        <v>3</v>
      </c>
      <c r="B138" s="2" t="str">
        <f aca="false">B50</f>
        <v>Pilot</v>
      </c>
      <c r="C138" s="2" t="str">
        <f aca="false">C50</f>
        <v>Assured</v>
      </c>
      <c r="D138" s="2"/>
      <c r="E138" s="2"/>
      <c r="F138" s="2"/>
      <c r="G138" s="2"/>
      <c r="H138" s="24" t="n">
        <f aca="false">H50*($C$30+(INDEX(Assumptions!$F$44:$F$46,MATCH($C50,Assumptions!$A$44:$A$46,0))-$C$30)*MIN(1,H$45/$C$29))</f>
        <v>13.4108333333333</v>
      </c>
      <c r="I138" s="24" t="n">
        <f aca="false">I50*($C$30+(INDEX(Assumptions!$F$44:$F$46,MATCH($C50,Assumptions!$A$44:$A$46,0))-$C$30)*MIN(1,I$45/$C$29))</f>
        <v>14.5138888888889</v>
      </c>
      <c r="J138" s="24" t="n">
        <f aca="false">J50*($C$30+(INDEX(Assumptions!$F$44:$F$46,MATCH($C50,Assumptions!$A$44:$A$46,0))-$C$30)*MIN(1,J$45/$C$29))</f>
        <v>15.6591666666667</v>
      </c>
      <c r="K138" s="24" t="n">
        <f aca="false">K50*($C$30+(INDEX(Assumptions!$F$44:$F$46,MATCH($C50,Assumptions!$A$44:$A$46,0))-$C$30)*MIN(1,K$45/$C$29))</f>
        <v>16.8466666666667</v>
      </c>
      <c r="L138" s="24" t="n">
        <f aca="false">L50*($C$30+(INDEX(Assumptions!$F$44:$F$46,MATCH($C50,Assumptions!$A$44:$A$46,0))-$C$30)*MIN(1,L$45/$C$29))</f>
        <v>17.3533333333333</v>
      </c>
      <c r="M138" s="24" t="n">
        <f aca="false">M50*($C$30+(INDEX(Assumptions!$F$44:$F$46,MATCH($C50,Assumptions!$A$44:$A$46,0))-$C$30)*MIN(1,M$45/$C$29))</f>
        <v>17.86</v>
      </c>
      <c r="N138" s="24" t="n">
        <f aca="false">N50*($C$30+(INDEX(Assumptions!$F$44:$F$46,MATCH($C50,Assumptions!$A$44:$A$46,0))-$C$30)*MIN(1,N$45/$C$29))</f>
        <v>17.86</v>
      </c>
      <c r="O138" s="24" t="n">
        <f aca="false">O50*($C$30+(INDEX(Assumptions!$F$44:$F$46,MATCH($C50,Assumptions!$A$44:$A$46,0))-$C$30)*MIN(1,O$45/$C$29))</f>
        <v>17.86</v>
      </c>
      <c r="P138" s="24" t="n">
        <f aca="false">P50*($C$30+(INDEX(Assumptions!$F$44:$F$46,MATCH($C50,Assumptions!$A$44:$A$46,0))-$C$30)*MIN(1,P$45/$C$29))</f>
        <v>17.86</v>
      </c>
      <c r="Q138" s="24" t="n">
        <f aca="false">Q50*($C$30+(INDEX(Assumptions!$F$44:$F$46,MATCH($C50,Assumptions!$A$44:$A$46,0))-$C$30)*MIN(1,Q$45/$C$29))</f>
        <v>17.86</v>
      </c>
      <c r="R138" s="24" t="n">
        <f aca="false">R50*($C$30+(INDEX(Assumptions!$F$44:$F$46,MATCH($C50,Assumptions!$A$44:$A$46,0))-$C$30)*MIN(1,R$45/$C$29))</f>
        <v>17.86</v>
      </c>
      <c r="S138" s="24" t="n">
        <f aca="false">S50*($C$30+(INDEX(Assumptions!$F$44:$F$46,MATCH($C50,Assumptions!$A$44:$A$46,0))-$C$30)*MIN(1,S$45/$C$29))</f>
        <v>17.86</v>
      </c>
      <c r="T138" s="24" t="n">
        <f aca="false">T50*($C$30+(INDEX(Assumptions!$F$44:$F$46,MATCH($C50,Assumptions!$A$44:$A$46,0))-$C$30)*MIN(1,T$45/$C$29))</f>
        <v>17.86</v>
      </c>
      <c r="U138" s="24" t="n">
        <f aca="false">U50*($C$30+(INDEX(Assumptions!$F$44:$F$46,MATCH($C50,Assumptions!$A$44:$A$46,0))-$C$30)*MIN(1,U$45/$C$29))</f>
        <v>17.86</v>
      </c>
      <c r="V138" s="24" t="n">
        <f aca="false">V50*($C$30+(INDEX(Assumptions!$F$44:$F$46,MATCH($C50,Assumptions!$A$44:$A$46,0))-$C$30)*MIN(1,V$45/$C$29))</f>
        <v>17.86</v>
      </c>
      <c r="W138" s="24" t="n">
        <f aca="false">W50*($C$30+(INDEX(Assumptions!$F$44:$F$46,MATCH($C50,Assumptions!$A$44:$A$46,0))-$C$30)*MIN(1,W$45/$C$29))</f>
        <v>17.86</v>
      </c>
      <c r="X138" s="24" t="n">
        <f aca="false">X50*($C$30+(INDEX(Assumptions!$F$44:$F$46,MATCH($C50,Assumptions!$A$44:$A$46,0))-$C$30)*MIN(1,X$45/$C$29))</f>
        <v>17.86</v>
      </c>
      <c r="Y138" s="24" t="n">
        <f aca="false">Y50*($C$30+(INDEX(Assumptions!$F$44:$F$46,MATCH($C50,Assumptions!$A$44:$A$46,0))-$C$30)*MIN(1,Y$45/$C$29))</f>
        <v>17.86</v>
      </c>
    </row>
    <row r="139" customFormat="false" ht="15" hidden="false" customHeight="false" outlineLevel="0" collapsed="false">
      <c r="A139" s="2" t="n">
        <f aca="false">A51</f>
        <v>4</v>
      </c>
      <c r="B139" s="2" t="str">
        <f aca="false">B51</f>
        <v>Pilot</v>
      </c>
      <c r="C139" s="2" t="str">
        <f aca="false">C51</f>
        <v>Assured</v>
      </c>
      <c r="D139" s="2"/>
      <c r="E139" s="2"/>
      <c r="F139" s="2"/>
      <c r="G139" s="2"/>
      <c r="H139" s="24" t="n">
        <f aca="false">H51*($C$30+(INDEX(Assumptions!$F$44:$F$46,MATCH($C51,Assumptions!$A$44:$A$46,0))-$C$30)*MIN(1,H$45/$C$29))</f>
        <v>13.4108333333333</v>
      </c>
      <c r="I139" s="24" t="n">
        <f aca="false">I51*($C$30+(INDEX(Assumptions!$F$44:$F$46,MATCH($C51,Assumptions!$A$44:$A$46,0))-$C$30)*MIN(1,I$45/$C$29))</f>
        <v>14.5138888888889</v>
      </c>
      <c r="J139" s="24" t="n">
        <f aca="false">J51*($C$30+(INDEX(Assumptions!$F$44:$F$46,MATCH($C51,Assumptions!$A$44:$A$46,0))-$C$30)*MIN(1,J$45/$C$29))</f>
        <v>15.6591666666667</v>
      </c>
      <c r="K139" s="24" t="n">
        <f aca="false">K51*($C$30+(INDEX(Assumptions!$F$44:$F$46,MATCH($C51,Assumptions!$A$44:$A$46,0))-$C$30)*MIN(1,K$45/$C$29))</f>
        <v>16.8466666666667</v>
      </c>
      <c r="L139" s="24" t="n">
        <f aca="false">L51*($C$30+(INDEX(Assumptions!$F$44:$F$46,MATCH($C51,Assumptions!$A$44:$A$46,0))-$C$30)*MIN(1,L$45/$C$29))</f>
        <v>17.3533333333333</v>
      </c>
      <c r="M139" s="24" t="n">
        <f aca="false">M51*($C$30+(INDEX(Assumptions!$F$44:$F$46,MATCH($C51,Assumptions!$A$44:$A$46,0))-$C$30)*MIN(1,M$45/$C$29))</f>
        <v>17.86</v>
      </c>
      <c r="N139" s="24" t="n">
        <f aca="false">N51*($C$30+(INDEX(Assumptions!$F$44:$F$46,MATCH($C51,Assumptions!$A$44:$A$46,0))-$C$30)*MIN(1,N$45/$C$29))</f>
        <v>17.86</v>
      </c>
      <c r="O139" s="24" t="n">
        <f aca="false">O51*($C$30+(INDEX(Assumptions!$F$44:$F$46,MATCH($C51,Assumptions!$A$44:$A$46,0))-$C$30)*MIN(1,O$45/$C$29))</f>
        <v>17.86</v>
      </c>
      <c r="P139" s="24" t="n">
        <f aca="false">P51*($C$30+(INDEX(Assumptions!$F$44:$F$46,MATCH($C51,Assumptions!$A$44:$A$46,0))-$C$30)*MIN(1,P$45/$C$29))</f>
        <v>17.86</v>
      </c>
      <c r="Q139" s="24" t="n">
        <f aca="false">Q51*($C$30+(INDEX(Assumptions!$F$44:$F$46,MATCH($C51,Assumptions!$A$44:$A$46,0))-$C$30)*MIN(1,Q$45/$C$29))</f>
        <v>17.86</v>
      </c>
      <c r="R139" s="24" t="n">
        <f aca="false">R51*($C$30+(INDEX(Assumptions!$F$44:$F$46,MATCH($C51,Assumptions!$A$44:$A$46,0))-$C$30)*MIN(1,R$45/$C$29))</f>
        <v>17.86</v>
      </c>
      <c r="S139" s="24" t="n">
        <f aca="false">S51*($C$30+(INDEX(Assumptions!$F$44:$F$46,MATCH($C51,Assumptions!$A$44:$A$46,0))-$C$30)*MIN(1,S$45/$C$29))</f>
        <v>17.86</v>
      </c>
      <c r="T139" s="24" t="n">
        <f aca="false">T51*($C$30+(INDEX(Assumptions!$F$44:$F$46,MATCH($C51,Assumptions!$A$44:$A$46,0))-$C$30)*MIN(1,T$45/$C$29))</f>
        <v>17.86</v>
      </c>
      <c r="U139" s="24" t="n">
        <f aca="false">U51*($C$30+(INDEX(Assumptions!$F$44:$F$46,MATCH($C51,Assumptions!$A$44:$A$46,0))-$C$30)*MIN(1,U$45/$C$29))</f>
        <v>17.86</v>
      </c>
      <c r="V139" s="24" t="n">
        <f aca="false">V51*($C$30+(INDEX(Assumptions!$F$44:$F$46,MATCH($C51,Assumptions!$A$44:$A$46,0))-$C$30)*MIN(1,V$45/$C$29))</f>
        <v>17.86</v>
      </c>
      <c r="W139" s="24" t="n">
        <f aca="false">W51*($C$30+(INDEX(Assumptions!$F$44:$F$46,MATCH($C51,Assumptions!$A$44:$A$46,0))-$C$30)*MIN(1,W$45/$C$29))</f>
        <v>17.86</v>
      </c>
      <c r="X139" s="24" t="n">
        <f aca="false">X51*($C$30+(INDEX(Assumptions!$F$44:$F$46,MATCH($C51,Assumptions!$A$44:$A$46,0))-$C$30)*MIN(1,X$45/$C$29))</f>
        <v>17.86</v>
      </c>
      <c r="Y139" s="24" t="n">
        <f aca="false">Y51*($C$30+(INDEX(Assumptions!$F$44:$F$46,MATCH($C51,Assumptions!$A$44:$A$46,0))-$C$30)*MIN(1,Y$45/$C$29))</f>
        <v>17.86</v>
      </c>
    </row>
    <row r="140" customFormat="false" ht="15" hidden="false" customHeight="false" outlineLevel="0" collapsed="false">
      <c r="A140" s="2" t="n">
        <f aca="false">A52</f>
        <v>5</v>
      </c>
      <c r="B140" s="2" t="str">
        <f aca="false">B52</f>
        <v>A</v>
      </c>
      <c r="C140" s="2" t="str">
        <f aca="false">C52</f>
        <v>Assured</v>
      </c>
      <c r="D140" s="2"/>
      <c r="E140" s="2"/>
      <c r="F140" s="2"/>
      <c r="G140" s="2"/>
      <c r="H140" s="24" t="n">
        <f aca="false">H52*($C$30+(INDEX(Assumptions!$F$44:$F$46,MATCH($C52,Assumptions!$A$44:$A$46,0))-$C$30)*MIN(1,H$45/$C$29))</f>
        <v>0</v>
      </c>
      <c r="I140" s="24" t="n">
        <f aca="false">I52*($C$30+(INDEX(Assumptions!$F$44:$F$46,MATCH($C52,Assumptions!$A$44:$A$46,0))-$C$30)*MIN(1,I$45/$C$29))</f>
        <v>0</v>
      </c>
      <c r="J140" s="24" t="n">
        <f aca="false">J52*($C$30+(INDEX(Assumptions!$F$44:$F$46,MATCH($C52,Assumptions!$A$44:$A$46,0))-$C$30)*MIN(1,J$45/$C$29))</f>
        <v>0</v>
      </c>
      <c r="K140" s="24" t="n">
        <f aca="false">K52*($C$30+(INDEX(Assumptions!$F$44:$F$46,MATCH($C52,Assumptions!$A$44:$A$46,0))-$C$30)*MIN(1,K$45/$C$29))</f>
        <v>0</v>
      </c>
      <c r="L140" s="24" t="n">
        <f aca="false">L52*($C$30+(INDEX(Assumptions!$F$44:$F$46,MATCH($C52,Assumptions!$A$44:$A$46,0))-$C$30)*MIN(1,L$45/$C$29))</f>
        <v>4.06068</v>
      </c>
      <c r="M140" s="24" t="n">
        <f aca="false">M52*($C$30+(INDEX(Assumptions!$F$44:$F$46,MATCH($C52,Assumptions!$A$44:$A$46,0))-$C$30)*MIN(1,M$45/$C$29))</f>
        <v>8.35848</v>
      </c>
      <c r="N140" s="24" t="n">
        <f aca="false">N52*($C$30+(INDEX(Assumptions!$F$44:$F$46,MATCH($C52,Assumptions!$A$44:$A$46,0))-$C$30)*MIN(1,N$45/$C$29))</f>
        <v>11.84118</v>
      </c>
      <c r="O140" s="24" t="n">
        <f aca="false">O52*($C$30+(INDEX(Assumptions!$F$44:$F$46,MATCH($C52,Assumptions!$A$44:$A$46,0))-$C$30)*MIN(1,O$45/$C$29))</f>
        <v>13.9308</v>
      </c>
      <c r="P140" s="24" t="n">
        <f aca="false">P52*($C$30+(INDEX(Assumptions!$F$44:$F$46,MATCH($C52,Assumptions!$A$44:$A$46,0))-$C$30)*MIN(1,P$45/$C$29))</f>
        <v>13.9308</v>
      </c>
      <c r="Q140" s="24" t="n">
        <f aca="false">Q52*($C$30+(INDEX(Assumptions!$F$44:$F$46,MATCH($C52,Assumptions!$A$44:$A$46,0))-$C$30)*MIN(1,Q$45/$C$29))</f>
        <v>13.9308</v>
      </c>
      <c r="R140" s="24" t="n">
        <f aca="false">R52*($C$30+(INDEX(Assumptions!$F$44:$F$46,MATCH($C52,Assumptions!$A$44:$A$46,0))-$C$30)*MIN(1,R$45/$C$29))</f>
        <v>13.9308</v>
      </c>
      <c r="S140" s="24" t="n">
        <f aca="false">S52*($C$30+(INDEX(Assumptions!$F$44:$F$46,MATCH($C52,Assumptions!$A$44:$A$46,0))-$C$30)*MIN(1,S$45/$C$29))</f>
        <v>13.9308</v>
      </c>
      <c r="T140" s="24" t="n">
        <f aca="false">T52*($C$30+(INDEX(Assumptions!$F$44:$F$46,MATCH($C52,Assumptions!$A$44:$A$46,0))-$C$30)*MIN(1,T$45/$C$29))</f>
        <v>13.9308</v>
      </c>
      <c r="U140" s="24" t="n">
        <f aca="false">U52*($C$30+(INDEX(Assumptions!$F$44:$F$46,MATCH($C52,Assumptions!$A$44:$A$46,0))-$C$30)*MIN(1,U$45/$C$29))</f>
        <v>13.9308</v>
      </c>
      <c r="V140" s="24" t="n">
        <f aca="false">V52*($C$30+(INDEX(Assumptions!$F$44:$F$46,MATCH($C52,Assumptions!$A$44:$A$46,0))-$C$30)*MIN(1,V$45/$C$29))</f>
        <v>13.9308</v>
      </c>
      <c r="W140" s="24" t="n">
        <f aca="false">W52*($C$30+(INDEX(Assumptions!$F$44:$F$46,MATCH($C52,Assumptions!$A$44:$A$46,0))-$C$30)*MIN(1,W$45/$C$29))</f>
        <v>13.9308</v>
      </c>
      <c r="X140" s="24" t="n">
        <f aca="false">X52*($C$30+(INDEX(Assumptions!$F$44:$F$46,MATCH($C52,Assumptions!$A$44:$A$46,0))-$C$30)*MIN(1,X$45/$C$29))</f>
        <v>13.9308</v>
      </c>
      <c r="Y140" s="24" t="n">
        <f aca="false">Y52*($C$30+(INDEX(Assumptions!$F$44:$F$46,MATCH($C52,Assumptions!$A$44:$A$46,0))-$C$30)*MIN(1,Y$45/$C$29))</f>
        <v>13.9308</v>
      </c>
    </row>
    <row r="141" customFormat="false" ht="15" hidden="false" customHeight="false" outlineLevel="0" collapsed="false">
      <c r="A141" s="2" t="n">
        <f aca="false">A53</f>
        <v>6</v>
      </c>
      <c r="B141" s="2" t="str">
        <f aca="false">B53</f>
        <v>A</v>
      </c>
      <c r="C141" s="2" t="str">
        <f aca="false">C53</f>
        <v>Assured</v>
      </c>
      <c r="D141" s="2"/>
      <c r="E141" s="2"/>
      <c r="F141" s="2"/>
      <c r="G141" s="2"/>
      <c r="H141" s="24" t="n">
        <f aca="false">H53*($C$30+(INDEX(Assumptions!$F$44:$F$46,MATCH($C53,Assumptions!$A$44:$A$46,0))-$C$30)*MIN(1,H$45/$C$29))</f>
        <v>0</v>
      </c>
      <c r="I141" s="24" t="n">
        <f aca="false">I53*($C$30+(INDEX(Assumptions!$F$44:$F$46,MATCH($C53,Assumptions!$A$44:$A$46,0))-$C$30)*MIN(1,I$45/$C$29))</f>
        <v>0</v>
      </c>
      <c r="J141" s="24" t="n">
        <f aca="false">J53*($C$30+(INDEX(Assumptions!$F$44:$F$46,MATCH($C53,Assumptions!$A$44:$A$46,0))-$C$30)*MIN(1,J$45/$C$29))</f>
        <v>0</v>
      </c>
      <c r="K141" s="24" t="n">
        <f aca="false">K53*($C$30+(INDEX(Assumptions!$F$44:$F$46,MATCH($C53,Assumptions!$A$44:$A$46,0))-$C$30)*MIN(1,K$45/$C$29))</f>
        <v>0</v>
      </c>
      <c r="L141" s="24" t="n">
        <f aca="false">L53*($C$30+(INDEX(Assumptions!$F$44:$F$46,MATCH($C53,Assumptions!$A$44:$A$46,0))-$C$30)*MIN(1,L$45/$C$29))</f>
        <v>4.06068</v>
      </c>
      <c r="M141" s="24" t="n">
        <f aca="false">M53*($C$30+(INDEX(Assumptions!$F$44:$F$46,MATCH($C53,Assumptions!$A$44:$A$46,0))-$C$30)*MIN(1,M$45/$C$29))</f>
        <v>8.35848</v>
      </c>
      <c r="N141" s="24" t="n">
        <f aca="false">N53*($C$30+(INDEX(Assumptions!$F$44:$F$46,MATCH($C53,Assumptions!$A$44:$A$46,0))-$C$30)*MIN(1,N$45/$C$29))</f>
        <v>11.84118</v>
      </c>
      <c r="O141" s="24" t="n">
        <f aca="false">O53*($C$30+(INDEX(Assumptions!$F$44:$F$46,MATCH($C53,Assumptions!$A$44:$A$46,0))-$C$30)*MIN(1,O$45/$C$29))</f>
        <v>13.9308</v>
      </c>
      <c r="P141" s="24" t="n">
        <f aca="false">P53*($C$30+(INDEX(Assumptions!$F$44:$F$46,MATCH($C53,Assumptions!$A$44:$A$46,0))-$C$30)*MIN(1,P$45/$C$29))</f>
        <v>13.9308</v>
      </c>
      <c r="Q141" s="24" t="n">
        <f aca="false">Q53*($C$30+(INDEX(Assumptions!$F$44:$F$46,MATCH($C53,Assumptions!$A$44:$A$46,0))-$C$30)*MIN(1,Q$45/$C$29))</f>
        <v>13.9308</v>
      </c>
      <c r="R141" s="24" t="n">
        <f aca="false">R53*($C$30+(INDEX(Assumptions!$F$44:$F$46,MATCH($C53,Assumptions!$A$44:$A$46,0))-$C$30)*MIN(1,R$45/$C$29))</f>
        <v>13.9308</v>
      </c>
      <c r="S141" s="24" t="n">
        <f aca="false">S53*($C$30+(INDEX(Assumptions!$F$44:$F$46,MATCH($C53,Assumptions!$A$44:$A$46,0))-$C$30)*MIN(1,S$45/$C$29))</f>
        <v>13.9308</v>
      </c>
      <c r="T141" s="24" t="n">
        <f aca="false">T53*($C$30+(INDEX(Assumptions!$F$44:$F$46,MATCH($C53,Assumptions!$A$44:$A$46,0))-$C$30)*MIN(1,T$45/$C$29))</f>
        <v>13.9308</v>
      </c>
      <c r="U141" s="24" t="n">
        <f aca="false">U53*($C$30+(INDEX(Assumptions!$F$44:$F$46,MATCH($C53,Assumptions!$A$44:$A$46,0))-$C$30)*MIN(1,U$45/$C$29))</f>
        <v>13.9308</v>
      </c>
      <c r="V141" s="24" t="n">
        <f aca="false">V53*($C$30+(INDEX(Assumptions!$F$44:$F$46,MATCH($C53,Assumptions!$A$44:$A$46,0))-$C$30)*MIN(1,V$45/$C$29))</f>
        <v>13.9308</v>
      </c>
      <c r="W141" s="24" t="n">
        <f aca="false">W53*($C$30+(INDEX(Assumptions!$F$44:$F$46,MATCH($C53,Assumptions!$A$44:$A$46,0))-$C$30)*MIN(1,W$45/$C$29))</f>
        <v>13.9308</v>
      </c>
      <c r="X141" s="24" t="n">
        <f aca="false">X53*($C$30+(INDEX(Assumptions!$F$44:$F$46,MATCH($C53,Assumptions!$A$44:$A$46,0))-$C$30)*MIN(1,X$45/$C$29))</f>
        <v>13.9308</v>
      </c>
      <c r="Y141" s="24" t="n">
        <f aca="false">Y53*($C$30+(INDEX(Assumptions!$F$44:$F$46,MATCH($C53,Assumptions!$A$44:$A$46,0))-$C$30)*MIN(1,Y$45/$C$29))</f>
        <v>13.9308</v>
      </c>
    </row>
    <row r="142" customFormat="false" ht="15" hidden="false" customHeight="false" outlineLevel="0" collapsed="false">
      <c r="A142" s="2" t="n">
        <f aca="false">A54</f>
        <v>7</v>
      </c>
      <c r="B142" s="2" t="str">
        <f aca="false">B54</f>
        <v>A</v>
      </c>
      <c r="C142" s="2" t="str">
        <f aca="false">C54</f>
        <v>Assured</v>
      </c>
      <c r="D142" s="2"/>
      <c r="E142" s="2"/>
      <c r="F142" s="2"/>
      <c r="G142" s="2"/>
      <c r="H142" s="24" t="n">
        <f aca="false">H54*($C$30+(INDEX(Assumptions!$F$44:$F$46,MATCH($C54,Assumptions!$A$44:$A$46,0))-$C$30)*MIN(1,H$45/$C$29))</f>
        <v>0</v>
      </c>
      <c r="I142" s="24" t="n">
        <f aca="false">I54*($C$30+(INDEX(Assumptions!$F$44:$F$46,MATCH($C54,Assumptions!$A$44:$A$46,0))-$C$30)*MIN(1,I$45/$C$29))</f>
        <v>0</v>
      </c>
      <c r="J142" s="24" t="n">
        <f aca="false">J54*($C$30+(INDEX(Assumptions!$F$44:$F$46,MATCH($C54,Assumptions!$A$44:$A$46,0))-$C$30)*MIN(1,J$45/$C$29))</f>
        <v>0</v>
      </c>
      <c r="K142" s="24" t="n">
        <f aca="false">K54*($C$30+(INDEX(Assumptions!$F$44:$F$46,MATCH($C54,Assumptions!$A$44:$A$46,0))-$C$30)*MIN(1,K$45/$C$29))</f>
        <v>0</v>
      </c>
      <c r="L142" s="24" t="n">
        <f aca="false">L54*($C$30+(INDEX(Assumptions!$F$44:$F$46,MATCH($C54,Assumptions!$A$44:$A$46,0))-$C$30)*MIN(1,L$45/$C$29))</f>
        <v>0</v>
      </c>
      <c r="M142" s="24" t="n">
        <f aca="false">M54*($C$30+(INDEX(Assumptions!$F$44:$F$46,MATCH($C54,Assumptions!$A$44:$A$46,0))-$C$30)*MIN(1,M$45/$C$29))</f>
        <v>4.17924</v>
      </c>
      <c r="N142" s="24" t="n">
        <f aca="false">N54*($C$30+(INDEX(Assumptions!$F$44:$F$46,MATCH($C54,Assumptions!$A$44:$A$46,0))-$C$30)*MIN(1,N$45/$C$29))</f>
        <v>8.35848</v>
      </c>
      <c r="O142" s="24" t="n">
        <f aca="false">O54*($C$30+(INDEX(Assumptions!$F$44:$F$46,MATCH($C54,Assumptions!$A$44:$A$46,0))-$C$30)*MIN(1,O$45/$C$29))</f>
        <v>11.84118</v>
      </c>
      <c r="P142" s="24" t="n">
        <f aca="false">P54*($C$30+(INDEX(Assumptions!$F$44:$F$46,MATCH($C54,Assumptions!$A$44:$A$46,0))-$C$30)*MIN(1,P$45/$C$29))</f>
        <v>13.9308</v>
      </c>
      <c r="Q142" s="24" t="n">
        <f aca="false">Q54*($C$30+(INDEX(Assumptions!$F$44:$F$46,MATCH($C54,Assumptions!$A$44:$A$46,0))-$C$30)*MIN(1,Q$45/$C$29))</f>
        <v>13.9308</v>
      </c>
      <c r="R142" s="24" t="n">
        <f aca="false">R54*($C$30+(INDEX(Assumptions!$F$44:$F$46,MATCH($C54,Assumptions!$A$44:$A$46,0))-$C$30)*MIN(1,R$45/$C$29))</f>
        <v>13.9308</v>
      </c>
      <c r="S142" s="24" t="n">
        <f aca="false">S54*($C$30+(INDEX(Assumptions!$F$44:$F$46,MATCH($C54,Assumptions!$A$44:$A$46,0))-$C$30)*MIN(1,S$45/$C$29))</f>
        <v>13.9308</v>
      </c>
      <c r="T142" s="24" t="n">
        <f aca="false">T54*($C$30+(INDEX(Assumptions!$F$44:$F$46,MATCH($C54,Assumptions!$A$44:$A$46,0))-$C$30)*MIN(1,T$45/$C$29))</f>
        <v>13.9308</v>
      </c>
      <c r="U142" s="24" t="n">
        <f aca="false">U54*($C$30+(INDEX(Assumptions!$F$44:$F$46,MATCH($C54,Assumptions!$A$44:$A$46,0))-$C$30)*MIN(1,U$45/$C$29))</f>
        <v>13.9308</v>
      </c>
      <c r="V142" s="24" t="n">
        <f aca="false">V54*($C$30+(INDEX(Assumptions!$F$44:$F$46,MATCH($C54,Assumptions!$A$44:$A$46,0))-$C$30)*MIN(1,V$45/$C$29))</f>
        <v>13.9308</v>
      </c>
      <c r="W142" s="24" t="n">
        <f aca="false">W54*($C$30+(INDEX(Assumptions!$F$44:$F$46,MATCH($C54,Assumptions!$A$44:$A$46,0))-$C$30)*MIN(1,W$45/$C$29))</f>
        <v>13.9308</v>
      </c>
      <c r="X142" s="24" t="n">
        <f aca="false">X54*($C$30+(INDEX(Assumptions!$F$44:$F$46,MATCH($C54,Assumptions!$A$44:$A$46,0))-$C$30)*MIN(1,X$45/$C$29))</f>
        <v>13.9308</v>
      </c>
      <c r="Y142" s="24" t="n">
        <f aca="false">Y54*($C$30+(INDEX(Assumptions!$F$44:$F$46,MATCH($C54,Assumptions!$A$44:$A$46,0))-$C$30)*MIN(1,Y$45/$C$29))</f>
        <v>13.9308</v>
      </c>
    </row>
    <row r="143" customFormat="false" ht="15" hidden="false" customHeight="false" outlineLevel="0" collapsed="false">
      <c r="A143" s="2" t="n">
        <f aca="false">A55</f>
        <v>8</v>
      </c>
      <c r="B143" s="2" t="str">
        <f aca="false">B55</f>
        <v>A</v>
      </c>
      <c r="C143" s="2" t="str">
        <f aca="false">C55</f>
        <v>Assured</v>
      </c>
      <c r="D143" s="2"/>
      <c r="E143" s="2"/>
      <c r="F143" s="2"/>
      <c r="G143" s="2"/>
      <c r="H143" s="24" t="n">
        <f aca="false">H55*($C$30+(INDEX(Assumptions!$F$44:$F$46,MATCH($C55,Assumptions!$A$44:$A$46,0))-$C$30)*MIN(1,H$45/$C$29))</f>
        <v>0</v>
      </c>
      <c r="I143" s="24" t="n">
        <f aca="false">I55*($C$30+(INDEX(Assumptions!$F$44:$F$46,MATCH($C55,Assumptions!$A$44:$A$46,0))-$C$30)*MIN(1,I$45/$C$29))</f>
        <v>0</v>
      </c>
      <c r="J143" s="24" t="n">
        <f aca="false">J55*($C$30+(INDEX(Assumptions!$F$44:$F$46,MATCH($C55,Assumptions!$A$44:$A$46,0))-$C$30)*MIN(1,J$45/$C$29))</f>
        <v>0</v>
      </c>
      <c r="K143" s="24" t="n">
        <f aca="false">K55*($C$30+(INDEX(Assumptions!$F$44:$F$46,MATCH($C55,Assumptions!$A$44:$A$46,0))-$C$30)*MIN(1,K$45/$C$29))</f>
        <v>0</v>
      </c>
      <c r="L143" s="24" t="n">
        <f aca="false">L55*($C$30+(INDEX(Assumptions!$F$44:$F$46,MATCH($C55,Assumptions!$A$44:$A$46,0))-$C$30)*MIN(1,L$45/$C$29))</f>
        <v>0</v>
      </c>
      <c r="M143" s="24" t="n">
        <f aca="false">M55*($C$30+(INDEX(Assumptions!$F$44:$F$46,MATCH($C55,Assumptions!$A$44:$A$46,0))-$C$30)*MIN(1,M$45/$C$29))</f>
        <v>4.17924</v>
      </c>
      <c r="N143" s="24" t="n">
        <f aca="false">N55*($C$30+(INDEX(Assumptions!$F$44:$F$46,MATCH($C55,Assumptions!$A$44:$A$46,0))-$C$30)*MIN(1,N$45/$C$29))</f>
        <v>8.35848</v>
      </c>
      <c r="O143" s="24" t="n">
        <f aca="false">O55*($C$30+(INDEX(Assumptions!$F$44:$F$46,MATCH($C55,Assumptions!$A$44:$A$46,0))-$C$30)*MIN(1,O$45/$C$29))</f>
        <v>11.84118</v>
      </c>
      <c r="P143" s="24" t="n">
        <f aca="false">P55*($C$30+(INDEX(Assumptions!$F$44:$F$46,MATCH($C55,Assumptions!$A$44:$A$46,0))-$C$30)*MIN(1,P$45/$C$29))</f>
        <v>13.9308</v>
      </c>
      <c r="Q143" s="24" t="n">
        <f aca="false">Q55*($C$30+(INDEX(Assumptions!$F$44:$F$46,MATCH($C55,Assumptions!$A$44:$A$46,0))-$C$30)*MIN(1,Q$45/$C$29))</f>
        <v>13.9308</v>
      </c>
      <c r="R143" s="24" t="n">
        <f aca="false">R55*($C$30+(INDEX(Assumptions!$F$44:$F$46,MATCH($C55,Assumptions!$A$44:$A$46,0))-$C$30)*MIN(1,R$45/$C$29))</f>
        <v>13.9308</v>
      </c>
      <c r="S143" s="24" t="n">
        <f aca="false">S55*($C$30+(INDEX(Assumptions!$F$44:$F$46,MATCH($C55,Assumptions!$A$44:$A$46,0))-$C$30)*MIN(1,S$45/$C$29))</f>
        <v>13.9308</v>
      </c>
      <c r="T143" s="24" t="n">
        <f aca="false">T55*($C$30+(INDEX(Assumptions!$F$44:$F$46,MATCH($C55,Assumptions!$A$44:$A$46,0))-$C$30)*MIN(1,T$45/$C$29))</f>
        <v>13.9308</v>
      </c>
      <c r="U143" s="24" t="n">
        <f aca="false">U55*($C$30+(INDEX(Assumptions!$F$44:$F$46,MATCH($C55,Assumptions!$A$44:$A$46,0))-$C$30)*MIN(1,U$45/$C$29))</f>
        <v>13.9308</v>
      </c>
      <c r="V143" s="24" t="n">
        <f aca="false">V55*($C$30+(INDEX(Assumptions!$F$44:$F$46,MATCH($C55,Assumptions!$A$44:$A$46,0))-$C$30)*MIN(1,V$45/$C$29))</f>
        <v>13.9308</v>
      </c>
      <c r="W143" s="24" t="n">
        <f aca="false">W55*($C$30+(INDEX(Assumptions!$F$44:$F$46,MATCH($C55,Assumptions!$A$44:$A$46,0))-$C$30)*MIN(1,W$45/$C$29))</f>
        <v>13.9308</v>
      </c>
      <c r="X143" s="24" t="n">
        <f aca="false">X55*($C$30+(INDEX(Assumptions!$F$44:$F$46,MATCH($C55,Assumptions!$A$44:$A$46,0))-$C$30)*MIN(1,X$45/$C$29))</f>
        <v>13.9308</v>
      </c>
      <c r="Y143" s="24" t="n">
        <f aca="false">Y55*($C$30+(INDEX(Assumptions!$F$44:$F$46,MATCH($C55,Assumptions!$A$44:$A$46,0))-$C$30)*MIN(1,Y$45/$C$29))</f>
        <v>13.9308</v>
      </c>
    </row>
    <row r="144" customFormat="false" ht="15" hidden="false" customHeight="false" outlineLevel="0" collapsed="false">
      <c r="A144" s="2" t="n">
        <f aca="false">A56</f>
        <v>9</v>
      </c>
      <c r="B144" s="2" t="str">
        <f aca="false">B56</f>
        <v>A</v>
      </c>
      <c r="C144" s="2" t="str">
        <f aca="false">C56</f>
        <v>Assured</v>
      </c>
      <c r="D144" s="2"/>
      <c r="E144" s="2"/>
      <c r="F144" s="2"/>
      <c r="G144" s="2"/>
      <c r="H144" s="24" t="n">
        <f aca="false">H56*($C$30+(INDEX(Assumptions!$F$44:$F$46,MATCH($C56,Assumptions!$A$44:$A$46,0))-$C$30)*MIN(1,H$45/$C$29))</f>
        <v>0</v>
      </c>
      <c r="I144" s="24" t="n">
        <f aca="false">I56*($C$30+(INDEX(Assumptions!$F$44:$F$46,MATCH($C56,Assumptions!$A$44:$A$46,0))-$C$30)*MIN(1,I$45/$C$29))</f>
        <v>0</v>
      </c>
      <c r="J144" s="24" t="n">
        <f aca="false">J56*($C$30+(INDEX(Assumptions!$F$44:$F$46,MATCH($C56,Assumptions!$A$44:$A$46,0))-$C$30)*MIN(1,J$45/$C$29))</f>
        <v>0</v>
      </c>
      <c r="K144" s="24" t="n">
        <f aca="false">K56*($C$30+(INDEX(Assumptions!$F$44:$F$46,MATCH($C56,Assumptions!$A$44:$A$46,0))-$C$30)*MIN(1,K$45/$C$29))</f>
        <v>0</v>
      </c>
      <c r="L144" s="24" t="n">
        <f aca="false">L56*($C$30+(INDEX(Assumptions!$F$44:$F$46,MATCH($C56,Assumptions!$A$44:$A$46,0))-$C$30)*MIN(1,L$45/$C$29))</f>
        <v>0</v>
      </c>
      <c r="M144" s="24" t="n">
        <f aca="false">M56*($C$30+(INDEX(Assumptions!$F$44:$F$46,MATCH($C56,Assumptions!$A$44:$A$46,0))-$C$30)*MIN(1,M$45/$C$29))</f>
        <v>0</v>
      </c>
      <c r="N144" s="24" t="n">
        <f aca="false">N56*($C$30+(INDEX(Assumptions!$F$44:$F$46,MATCH($C56,Assumptions!$A$44:$A$46,0))-$C$30)*MIN(1,N$45/$C$29))</f>
        <v>4.17924</v>
      </c>
      <c r="O144" s="24" t="n">
        <f aca="false">O56*($C$30+(INDEX(Assumptions!$F$44:$F$46,MATCH($C56,Assumptions!$A$44:$A$46,0))-$C$30)*MIN(1,O$45/$C$29))</f>
        <v>8.35848</v>
      </c>
      <c r="P144" s="24" t="n">
        <f aca="false">P56*($C$30+(INDEX(Assumptions!$F$44:$F$46,MATCH($C56,Assumptions!$A$44:$A$46,0))-$C$30)*MIN(1,P$45/$C$29))</f>
        <v>11.84118</v>
      </c>
      <c r="Q144" s="24" t="n">
        <f aca="false">Q56*($C$30+(INDEX(Assumptions!$F$44:$F$46,MATCH($C56,Assumptions!$A$44:$A$46,0))-$C$30)*MIN(1,Q$45/$C$29))</f>
        <v>13.9308</v>
      </c>
      <c r="R144" s="24" t="n">
        <f aca="false">R56*($C$30+(INDEX(Assumptions!$F$44:$F$46,MATCH($C56,Assumptions!$A$44:$A$46,0))-$C$30)*MIN(1,R$45/$C$29))</f>
        <v>13.9308</v>
      </c>
      <c r="S144" s="24" t="n">
        <f aca="false">S56*($C$30+(INDEX(Assumptions!$F$44:$F$46,MATCH($C56,Assumptions!$A$44:$A$46,0))-$C$30)*MIN(1,S$45/$C$29))</f>
        <v>13.9308</v>
      </c>
      <c r="T144" s="24" t="n">
        <f aca="false">T56*($C$30+(INDEX(Assumptions!$F$44:$F$46,MATCH($C56,Assumptions!$A$44:$A$46,0))-$C$30)*MIN(1,T$45/$C$29))</f>
        <v>13.9308</v>
      </c>
      <c r="U144" s="24" t="n">
        <f aca="false">U56*($C$30+(INDEX(Assumptions!$F$44:$F$46,MATCH($C56,Assumptions!$A$44:$A$46,0))-$C$30)*MIN(1,U$45/$C$29))</f>
        <v>13.9308</v>
      </c>
      <c r="V144" s="24" t="n">
        <f aca="false">V56*($C$30+(INDEX(Assumptions!$F$44:$F$46,MATCH($C56,Assumptions!$A$44:$A$46,0))-$C$30)*MIN(1,V$45/$C$29))</f>
        <v>13.9308</v>
      </c>
      <c r="W144" s="24" t="n">
        <f aca="false">W56*($C$30+(INDEX(Assumptions!$F$44:$F$46,MATCH($C56,Assumptions!$A$44:$A$46,0))-$C$30)*MIN(1,W$45/$C$29))</f>
        <v>13.9308</v>
      </c>
      <c r="X144" s="24" t="n">
        <f aca="false">X56*($C$30+(INDEX(Assumptions!$F$44:$F$46,MATCH($C56,Assumptions!$A$44:$A$46,0))-$C$30)*MIN(1,X$45/$C$29))</f>
        <v>13.9308</v>
      </c>
      <c r="Y144" s="24" t="n">
        <f aca="false">Y56*($C$30+(INDEX(Assumptions!$F$44:$F$46,MATCH($C56,Assumptions!$A$44:$A$46,0))-$C$30)*MIN(1,Y$45/$C$29))</f>
        <v>13.9308</v>
      </c>
    </row>
    <row r="145" customFormat="false" ht="15" hidden="false" customHeight="false" outlineLevel="0" collapsed="false">
      <c r="A145" s="2" t="n">
        <f aca="false">A57</f>
        <v>10</v>
      </c>
      <c r="B145" s="2" t="str">
        <f aca="false">B57</f>
        <v>C</v>
      </c>
      <c r="C145" s="2" t="str">
        <f aca="false">C57</f>
        <v>Assured</v>
      </c>
      <c r="D145" s="2"/>
      <c r="E145" s="2"/>
      <c r="F145" s="2"/>
      <c r="G145" s="2"/>
      <c r="H145" s="24" t="n">
        <f aca="false">H57*($C$30+(INDEX(Assumptions!$F$44:$F$46,MATCH($C57,Assumptions!$A$44:$A$46,0))-$C$30)*MIN(1,H$45/$C$29))</f>
        <v>0</v>
      </c>
      <c r="I145" s="24" t="n">
        <f aca="false">I57*($C$30+(INDEX(Assumptions!$F$44:$F$46,MATCH($C57,Assumptions!$A$44:$A$46,0))-$C$30)*MIN(1,I$45/$C$29))</f>
        <v>0</v>
      </c>
      <c r="J145" s="24" t="n">
        <f aca="false">J57*($C$30+(INDEX(Assumptions!$F$44:$F$46,MATCH($C57,Assumptions!$A$44:$A$46,0))-$C$30)*MIN(1,J$45/$C$29))</f>
        <v>0</v>
      </c>
      <c r="K145" s="24" t="n">
        <f aca="false">K57*($C$30+(INDEX(Assumptions!$F$44:$F$46,MATCH($C57,Assumptions!$A$44:$A$46,0))-$C$30)*MIN(1,K$45/$C$29))</f>
        <v>0</v>
      </c>
      <c r="L145" s="24" t="n">
        <f aca="false">L57*($C$30+(INDEX(Assumptions!$F$44:$F$46,MATCH($C57,Assumptions!$A$44:$A$46,0))-$C$30)*MIN(1,L$45/$C$29))</f>
        <v>0</v>
      </c>
      <c r="M145" s="24" t="n">
        <f aca="false">M57*($C$30+(INDEX(Assumptions!$F$44:$F$46,MATCH($C57,Assumptions!$A$44:$A$46,0))-$C$30)*MIN(1,M$45/$C$29))</f>
        <v>0</v>
      </c>
      <c r="N145" s="24" t="n">
        <f aca="false">N57*($C$30+(INDEX(Assumptions!$F$44:$F$46,MATCH($C57,Assumptions!$A$44:$A$46,0))-$C$30)*MIN(1,N$45/$C$29))</f>
        <v>0</v>
      </c>
      <c r="O145" s="24" t="n">
        <f aca="false">O57*($C$30+(INDEX(Assumptions!$F$44:$F$46,MATCH($C57,Assumptions!$A$44:$A$46,0))-$C$30)*MIN(1,O$45/$C$29))</f>
        <v>4.52751</v>
      </c>
      <c r="P145" s="24" t="n">
        <f aca="false">P57*($C$30+(INDEX(Assumptions!$F$44:$F$46,MATCH($C57,Assumptions!$A$44:$A$46,0))-$C$30)*MIN(1,P$45/$C$29))</f>
        <v>9.05502</v>
      </c>
      <c r="Q145" s="24" t="n">
        <f aca="false">Q57*($C$30+(INDEX(Assumptions!$F$44:$F$46,MATCH($C57,Assumptions!$A$44:$A$46,0))-$C$30)*MIN(1,Q$45/$C$29))</f>
        <v>12.827945</v>
      </c>
      <c r="R145" s="24" t="n">
        <f aca="false">R57*($C$30+(INDEX(Assumptions!$F$44:$F$46,MATCH($C57,Assumptions!$A$44:$A$46,0))-$C$30)*MIN(1,R$45/$C$29))</f>
        <v>15.0917</v>
      </c>
      <c r="S145" s="24" t="n">
        <f aca="false">S57*($C$30+(INDEX(Assumptions!$F$44:$F$46,MATCH($C57,Assumptions!$A$44:$A$46,0))-$C$30)*MIN(1,S$45/$C$29))</f>
        <v>15.0917</v>
      </c>
      <c r="T145" s="24" t="n">
        <f aca="false">T57*($C$30+(INDEX(Assumptions!$F$44:$F$46,MATCH($C57,Assumptions!$A$44:$A$46,0))-$C$30)*MIN(1,T$45/$C$29))</f>
        <v>15.0917</v>
      </c>
      <c r="U145" s="24" t="n">
        <f aca="false">U57*($C$30+(INDEX(Assumptions!$F$44:$F$46,MATCH($C57,Assumptions!$A$44:$A$46,0))-$C$30)*MIN(1,U$45/$C$29))</f>
        <v>15.0917</v>
      </c>
      <c r="V145" s="24" t="n">
        <f aca="false">V57*($C$30+(INDEX(Assumptions!$F$44:$F$46,MATCH($C57,Assumptions!$A$44:$A$46,0))-$C$30)*MIN(1,V$45/$C$29))</f>
        <v>15.0917</v>
      </c>
      <c r="W145" s="24" t="n">
        <f aca="false">W57*($C$30+(INDEX(Assumptions!$F$44:$F$46,MATCH($C57,Assumptions!$A$44:$A$46,0))-$C$30)*MIN(1,W$45/$C$29))</f>
        <v>15.0917</v>
      </c>
      <c r="X145" s="24" t="n">
        <f aca="false">X57*($C$30+(INDEX(Assumptions!$F$44:$F$46,MATCH($C57,Assumptions!$A$44:$A$46,0))-$C$30)*MIN(1,X$45/$C$29))</f>
        <v>15.0917</v>
      </c>
      <c r="Y145" s="24" t="n">
        <f aca="false">Y57*($C$30+(INDEX(Assumptions!$F$44:$F$46,MATCH($C57,Assumptions!$A$44:$A$46,0))-$C$30)*MIN(1,Y$45/$C$29))</f>
        <v>15.0917</v>
      </c>
    </row>
    <row r="146" customFormat="false" ht="15" hidden="false" customHeight="false" outlineLevel="0" collapsed="false">
      <c r="A146" s="2" t="n">
        <f aca="false">A58</f>
        <v>11</v>
      </c>
      <c r="B146" s="2" t="str">
        <f aca="false">B58</f>
        <v>C</v>
      </c>
      <c r="C146" s="2" t="str">
        <f aca="false">C58</f>
        <v>Assured</v>
      </c>
      <c r="D146" s="2"/>
      <c r="E146" s="2"/>
      <c r="F146" s="2"/>
      <c r="G146" s="2"/>
      <c r="H146" s="24" t="n">
        <f aca="false">H58*($C$30+(INDEX(Assumptions!$F$44:$F$46,MATCH($C58,Assumptions!$A$44:$A$46,0))-$C$30)*MIN(1,H$45/$C$29))</f>
        <v>0</v>
      </c>
      <c r="I146" s="24" t="n">
        <f aca="false">I58*($C$30+(INDEX(Assumptions!$F$44:$F$46,MATCH($C58,Assumptions!$A$44:$A$46,0))-$C$30)*MIN(1,I$45/$C$29))</f>
        <v>0</v>
      </c>
      <c r="J146" s="24" t="n">
        <f aca="false">J58*($C$30+(INDEX(Assumptions!$F$44:$F$46,MATCH($C58,Assumptions!$A$44:$A$46,0))-$C$30)*MIN(1,J$45/$C$29))</f>
        <v>0</v>
      </c>
      <c r="K146" s="24" t="n">
        <f aca="false">K58*($C$30+(INDEX(Assumptions!$F$44:$F$46,MATCH($C58,Assumptions!$A$44:$A$46,0))-$C$30)*MIN(1,K$45/$C$29))</f>
        <v>0</v>
      </c>
      <c r="L146" s="24" t="n">
        <f aca="false">L58*($C$30+(INDEX(Assumptions!$F$44:$F$46,MATCH($C58,Assumptions!$A$44:$A$46,0))-$C$30)*MIN(1,L$45/$C$29))</f>
        <v>0</v>
      </c>
      <c r="M146" s="24" t="n">
        <f aca="false">M58*($C$30+(INDEX(Assumptions!$F$44:$F$46,MATCH($C58,Assumptions!$A$44:$A$46,0))-$C$30)*MIN(1,M$45/$C$29))</f>
        <v>0</v>
      </c>
      <c r="N146" s="24" t="n">
        <f aca="false">N58*($C$30+(INDEX(Assumptions!$F$44:$F$46,MATCH($C58,Assumptions!$A$44:$A$46,0))-$C$30)*MIN(1,N$45/$C$29))</f>
        <v>0</v>
      </c>
      <c r="O146" s="24" t="n">
        <f aca="false">O58*($C$30+(INDEX(Assumptions!$F$44:$F$46,MATCH($C58,Assumptions!$A$44:$A$46,0))-$C$30)*MIN(1,O$45/$C$29))</f>
        <v>0</v>
      </c>
      <c r="P146" s="24" t="n">
        <f aca="false">P58*($C$30+(INDEX(Assumptions!$F$44:$F$46,MATCH($C58,Assumptions!$A$44:$A$46,0))-$C$30)*MIN(1,P$45/$C$29))</f>
        <v>4.52751</v>
      </c>
      <c r="Q146" s="24" t="n">
        <f aca="false">Q58*($C$30+(INDEX(Assumptions!$F$44:$F$46,MATCH($C58,Assumptions!$A$44:$A$46,0))-$C$30)*MIN(1,Q$45/$C$29))</f>
        <v>9.05502</v>
      </c>
      <c r="R146" s="24" t="n">
        <f aca="false">R58*($C$30+(INDEX(Assumptions!$F$44:$F$46,MATCH($C58,Assumptions!$A$44:$A$46,0))-$C$30)*MIN(1,R$45/$C$29))</f>
        <v>12.827945</v>
      </c>
      <c r="S146" s="24" t="n">
        <f aca="false">S58*($C$30+(INDEX(Assumptions!$F$44:$F$46,MATCH($C58,Assumptions!$A$44:$A$46,0))-$C$30)*MIN(1,S$45/$C$29))</f>
        <v>15.0917</v>
      </c>
      <c r="T146" s="24" t="n">
        <f aca="false">T58*($C$30+(INDEX(Assumptions!$F$44:$F$46,MATCH($C58,Assumptions!$A$44:$A$46,0))-$C$30)*MIN(1,T$45/$C$29))</f>
        <v>15.0917</v>
      </c>
      <c r="U146" s="24" t="n">
        <f aca="false">U58*($C$30+(INDEX(Assumptions!$F$44:$F$46,MATCH($C58,Assumptions!$A$44:$A$46,0))-$C$30)*MIN(1,U$45/$C$29))</f>
        <v>15.0917</v>
      </c>
      <c r="V146" s="24" t="n">
        <f aca="false">V58*($C$30+(INDEX(Assumptions!$F$44:$F$46,MATCH($C58,Assumptions!$A$44:$A$46,0))-$C$30)*MIN(1,V$45/$C$29))</f>
        <v>15.0917</v>
      </c>
      <c r="W146" s="24" t="n">
        <f aca="false">W58*($C$30+(INDEX(Assumptions!$F$44:$F$46,MATCH($C58,Assumptions!$A$44:$A$46,0))-$C$30)*MIN(1,W$45/$C$29))</f>
        <v>15.0917</v>
      </c>
      <c r="X146" s="24" t="n">
        <f aca="false">X58*($C$30+(INDEX(Assumptions!$F$44:$F$46,MATCH($C58,Assumptions!$A$44:$A$46,0))-$C$30)*MIN(1,X$45/$C$29))</f>
        <v>15.0917</v>
      </c>
      <c r="Y146" s="24" t="n">
        <f aca="false">Y58*($C$30+(INDEX(Assumptions!$F$44:$F$46,MATCH($C58,Assumptions!$A$44:$A$46,0))-$C$30)*MIN(1,Y$45/$C$29))</f>
        <v>15.0917</v>
      </c>
    </row>
    <row r="147" customFormat="false" ht="15" hidden="false" customHeight="false" outlineLevel="0" collapsed="false">
      <c r="A147" s="2" t="n">
        <f aca="false">A59</f>
        <v>12</v>
      </c>
      <c r="B147" s="2" t="str">
        <f aca="false">B59</f>
        <v>C</v>
      </c>
      <c r="C147" s="2" t="str">
        <f aca="false">C59</f>
        <v>Assured</v>
      </c>
      <c r="D147" s="2"/>
      <c r="E147" s="2"/>
      <c r="F147" s="2"/>
      <c r="G147" s="2"/>
      <c r="H147" s="24" t="n">
        <f aca="false">H59*($C$30+(INDEX(Assumptions!$F$44:$F$46,MATCH($C59,Assumptions!$A$44:$A$46,0))-$C$30)*MIN(1,H$45/$C$29))</f>
        <v>0</v>
      </c>
      <c r="I147" s="24" t="n">
        <f aca="false">I59*($C$30+(INDEX(Assumptions!$F$44:$F$46,MATCH($C59,Assumptions!$A$44:$A$46,0))-$C$30)*MIN(1,I$45/$C$29))</f>
        <v>0</v>
      </c>
      <c r="J147" s="24" t="n">
        <f aca="false">J59*($C$30+(INDEX(Assumptions!$F$44:$F$46,MATCH($C59,Assumptions!$A$44:$A$46,0))-$C$30)*MIN(1,J$45/$C$29))</f>
        <v>0</v>
      </c>
      <c r="K147" s="24" t="n">
        <f aca="false">K59*($C$30+(INDEX(Assumptions!$F$44:$F$46,MATCH($C59,Assumptions!$A$44:$A$46,0))-$C$30)*MIN(1,K$45/$C$29))</f>
        <v>0</v>
      </c>
      <c r="L147" s="24" t="n">
        <f aca="false">L59*($C$30+(INDEX(Assumptions!$F$44:$F$46,MATCH($C59,Assumptions!$A$44:$A$46,0))-$C$30)*MIN(1,L$45/$C$29))</f>
        <v>0</v>
      </c>
      <c r="M147" s="24" t="n">
        <f aca="false">M59*($C$30+(INDEX(Assumptions!$F$44:$F$46,MATCH($C59,Assumptions!$A$44:$A$46,0))-$C$30)*MIN(1,M$45/$C$29))</f>
        <v>0</v>
      </c>
      <c r="N147" s="24" t="n">
        <f aca="false">N59*($C$30+(INDEX(Assumptions!$F$44:$F$46,MATCH($C59,Assumptions!$A$44:$A$46,0))-$C$30)*MIN(1,N$45/$C$29))</f>
        <v>0</v>
      </c>
      <c r="O147" s="24" t="n">
        <f aca="false">O59*($C$30+(INDEX(Assumptions!$F$44:$F$46,MATCH($C59,Assumptions!$A$44:$A$46,0))-$C$30)*MIN(1,O$45/$C$29))</f>
        <v>0</v>
      </c>
      <c r="P147" s="24" t="n">
        <f aca="false">P59*($C$30+(INDEX(Assumptions!$F$44:$F$46,MATCH($C59,Assumptions!$A$44:$A$46,0))-$C$30)*MIN(1,P$45/$C$29))</f>
        <v>4.52751</v>
      </c>
      <c r="Q147" s="24" t="n">
        <f aca="false">Q59*($C$30+(INDEX(Assumptions!$F$44:$F$46,MATCH($C59,Assumptions!$A$44:$A$46,0))-$C$30)*MIN(1,Q$45/$C$29))</f>
        <v>9.05502</v>
      </c>
      <c r="R147" s="24" t="n">
        <f aca="false">R59*($C$30+(INDEX(Assumptions!$F$44:$F$46,MATCH($C59,Assumptions!$A$44:$A$46,0))-$C$30)*MIN(1,R$45/$C$29))</f>
        <v>12.827945</v>
      </c>
      <c r="S147" s="24" t="n">
        <f aca="false">S59*($C$30+(INDEX(Assumptions!$F$44:$F$46,MATCH($C59,Assumptions!$A$44:$A$46,0))-$C$30)*MIN(1,S$45/$C$29))</f>
        <v>15.0917</v>
      </c>
      <c r="T147" s="24" t="n">
        <f aca="false">T59*($C$30+(INDEX(Assumptions!$F$44:$F$46,MATCH($C59,Assumptions!$A$44:$A$46,0))-$C$30)*MIN(1,T$45/$C$29))</f>
        <v>15.0917</v>
      </c>
      <c r="U147" s="24" t="n">
        <f aca="false">U59*($C$30+(INDEX(Assumptions!$F$44:$F$46,MATCH($C59,Assumptions!$A$44:$A$46,0))-$C$30)*MIN(1,U$45/$C$29))</f>
        <v>15.0917</v>
      </c>
      <c r="V147" s="24" t="n">
        <f aca="false">V59*($C$30+(INDEX(Assumptions!$F$44:$F$46,MATCH($C59,Assumptions!$A$44:$A$46,0))-$C$30)*MIN(1,V$45/$C$29))</f>
        <v>15.0917</v>
      </c>
      <c r="W147" s="24" t="n">
        <f aca="false">W59*($C$30+(INDEX(Assumptions!$F$44:$F$46,MATCH($C59,Assumptions!$A$44:$A$46,0))-$C$30)*MIN(1,W$45/$C$29))</f>
        <v>15.0917</v>
      </c>
      <c r="X147" s="24" t="n">
        <f aca="false">X59*($C$30+(INDEX(Assumptions!$F$44:$F$46,MATCH($C59,Assumptions!$A$44:$A$46,0))-$C$30)*MIN(1,X$45/$C$29))</f>
        <v>15.0917</v>
      </c>
      <c r="Y147" s="24" t="n">
        <f aca="false">Y59*($C$30+(INDEX(Assumptions!$F$44:$F$46,MATCH($C59,Assumptions!$A$44:$A$46,0))-$C$30)*MIN(1,Y$45/$C$29))</f>
        <v>15.0917</v>
      </c>
    </row>
    <row r="148" customFormat="false" ht="15" hidden="false" customHeight="false" outlineLevel="0" collapsed="false">
      <c r="A148" s="2" t="n">
        <f aca="false">A60</f>
        <v>13</v>
      </c>
      <c r="B148" s="2" t="str">
        <f aca="false">B60</f>
        <v>C</v>
      </c>
      <c r="C148" s="2" t="str">
        <f aca="false">C60</f>
        <v>Assured</v>
      </c>
      <c r="D148" s="2"/>
      <c r="E148" s="2"/>
      <c r="F148" s="2"/>
      <c r="G148" s="2"/>
      <c r="H148" s="24" t="n">
        <f aca="false">H60*($C$30+(INDEX(Assumptions!$F$44:$F$46,MATCH($C60,Assumptions!$A$44:$A$46,0))-$C$30)*MIN(1,H$45/$C$29))</f>
        <v>0</v>
      </c>
      <c r="I148" s="24" t="n">
        <f aca="false">I60*($C$30+(INDEX(Assumptions!$F$44:$F$46,MATCH($C60,Assumptions!$A$44:$A$46,0))-$C$30)*MIN(1,I$45/$C$29))</f>
        <v>0</v>
      </c>
      <c r="J148" s="24" t="n">
        <f aca="false">J60*($C$30+(INDEX(Assumptions!$F$44:$F$46,MATCH($C60,Assumptions!$A$44:$A$46,0))-$C$30)*MIN(1,J$45/$C$29))</f>
        <v>0</v>
      </c>
      <c r="K148" s="24" t="n">
        <f aca="false">K60*($C$30+(INDEX(Assumptions!$F$44:$F$46,MATCH($C60,Assumptions!$A$44:$A$46,0))-$C$30)*MIN(1,K$45/$C$29))</f>
        <v>0</v>
      </c>
      <c r="L148" s="24" t="n">
        <f aca="false">L60*($C$30+(INDEX(Assumptions!$F$44:$F$46,MATCH($C60,Assumptions!$A$44:$A$46,0))-$C$30)*MIN(1,L$45/$C$29))</f>
        <v>0</v>
      </c>
      <c r="M148" s="24" t="n">
        <f aca="false">M60*($C$30+(INDEX(Assumptions!$F$44:$F$46,MATCH($C60,Assumptions!$A$44:$A$46,0))-$C$30)*MIN(1,M$45/$C$29))</f>
        <v>0</v>
      </c>
      <c r="N148" s="24" t="n">
        <f aca="false">N60*($C$30+(INDEX(Assumptions!$F$44:$F$46,MATCH($C60,Assumptions!$A$44:$A$46,0))-$C$30)*MIN(1,N$45/$C$29))</f>
        <v>0</v>
      </c>
      <c r="O148" s="24" t="n">
        <f aca="false">O60*($C$30+(INDEX(Assumptions!$F$44:$F$46,MATCH($C60,Assumptions!$A$44:$A$46,0))-$C$30)*MIN(1,O$45/$C$29))</f>
        <v>0</v>
      </c>
      <c r="P148" s="24" t="n">
        <f aca="false">P60*($C$30+(INDEX(Assumptions!$F$44:$F$46,MATCH($C60,Assumptions!$A$44:$A$46,0))-$C$30)*MIN(1,P$45/$C$29))</f>
        <v>0</v>
      </c>
      <c r="Q148" s="24" t="n">
        <f aca="false">Q60*($C$30+(INDEX(Assumptions!$F$44:$F$46,MATCH($C60,Assumptions!$A$44:$A$46,0))-$C$30)*MIN(1,Q$45/$C$29))</f>
        <v>4.52751</v>
      </c>
      <c r="R148" s="24" t="n">
        <f aca="false">R60*($C$30+(INDEX(Assumptions!$F$44:$F$46,MATCH($C60,Assumptions!$A$44:$A$46,0))-$C$30)*MIN(1,R$45/$C$29))</f>
        <v>9.05502</v>
      </c>
      <c r="S148" s="24" t="n">
        <f aca="false">S60*($C$30+(INDEX(Assumptions!$F$44:$F$46,MATCH($C60,Assumptions!$A$44:$A$46,0))-$C$30)*MIN(1,S$45/$C$29))</f>
        <v>12.827945</v>
      </c>
      <c r="T148" s="24" t="n">
        <f aca="false">T60*($C$30+(INDEX(Assumptions!$F$44:$F$46,MATCH($C60,Assumptions!$A$44:$A$46,0))-$C$30)*MIN(1,T$45/$C$29))</f>
        <v>15.0917</v>
      </c>
      <c r="U148" s="24" t="n">
        <f aca="false">U60*($C$30+(INDEX(Assumptions!$F$44:$F$46,MATCH($C60,Assumptions!$A$44:$A$46,0))-$C$30)*MIN(1,U$45/$C$29))</f>
        <v>15.0917</v>
      </c>
      <c r="V148" s="24" t="n">
        <f aca="false">V60*($C$30+(INDEX(Assumptions!$F$44:$F$46,MATCH($C60,Assumptions!$A$44:$A$46,0))-$C$30)*MIN(1,V$45/$C$29))</f>
        <v>15.0917</v>
      </c>
      <c r="W148" s="24" t="n">
        <f aca="false">W60*($C$30+(INDEX(Assumptions!$F$44:$F$46,MATCH($C60,Assumptions!$A$44:$A$46,0))-$C$30)*MIN(1,W$45/$C$29))</f>
        <v>15.0917</v>
      </c>
      <c r="X148" s="24" t="n">
        <f aca="false">X60*($C$30+(INDEX(Assumptions!$F$44:$F$46,MATCH($C60,Assumptions!$A$44:$A$46,0))-$C$30)*MIN(1,X$45/$C$29))</f>
        <v>15.0917</v>
      </c>
      <c r="Y148" s="24" t="n">
        <f aca="false">Y60*($C$30+(INDEX(Assumptions!$F$44:$F$46,MATCH($C60,Assumptions!$A$44:$A$46,0))-$C$30)*MIN(1,Y$45/$C$29))</f>
        <v>15.0917</v>
      </c>
    </row>
    <row r="149" customFormat="false" ht="15" hidden="false" customHeight="false" outlineLevel="0" collapsed="false">
      <c r="A149" s="2" t="n">
        <f aca="false">A61</f>
        <v>14</v>
      </c>
      <c r="B149" s="2" t="str">
        <f aca="false">B61</f>
        <v>B</v>
      </c>
      <c r="C149" s="2" t="str">
        <f aca="false">C61</f>
        <v>Connect</v>
      </c>
      <c r="D149" s="2"/>
      <c r="E149" s="2"/>
      <c r="F149" s="2"/>
      <c r="G149" s="2"/>
      <c r="H149" s="24" t="n">
        <f aca="false">H61*($C$30+(INDEX(Assumptions!$F$44:$F$46,MATCH($C61,Assumptions!$A$44:$A$46,0))-$C$30)*MIN(1,H$45/$C$29))</f>
        <v>0</v>
      </c>
      <c r="I149" s="24" t="n">
        <f aca="false">I61*($C$30+(INDEX(Assumptions!$F$44:$F$46,MATCH($C61,Assumptions!$A$44:$A$46,0))-$C$30)*MIN(1,I$45/$C$29))</f>
        <v>0</v>
      </c>
      <c r="J149" s="24" t="n">
        <f aca="false">J61*($C$30+(INDEX(Assumptions!$F$44:$F$46,MATCH($C61,Assumptions!$A$44:$A$46,0))-$C$30)*MIN(1,J$45/$C$29))</f>
        <v>0</v>
      </c>
      <c r="K149" s="24" t="n">
        <f aca="false">K61*($C$30+(INDEX(Assumptions!$F$44:$F$46,MATCH($C61,Assumptions!$A$44:$A$46,0))-$C$30)*MIN(1,K$45/$C$29))</f>
        <v>0</v>
      </c>
      <c r="L149" s="24" t="n">
        <f aca="false">L61*($C$30+(INDEX(Assumptions!$F$44:$F$46,MATCH($C61,Assumptions!$A$44:$A$46,0))-$C$30)*MIN(1,L$45/$C$29))</f>
        <v>0</v>
      </c>
      <c r="M149" s="24" t="n">
        <f aca="false">M61*($C$30+(INDEX(Assumptions!$F$44:$F$46,MATCH($C61,Assumptions!$A$44:$A$46,0))-$C$30)*MIN(1,M$45/$C$29))</f>
        <v>0</v>
      </c>
      <c r="N149" s="24" t="n">
        <f aca="false">N61*($C$30+(INDEX(Assumptions!$F$44:$F$46,MATCH($C61,Assumptions!$A$44:$A$46,0))-$C$30)*MIN(1,N$45/$C$29))</f>
        <v>0</v>
      </c>
      <c r="O149" s="24" t="n">
        <f aca="false">O61*($C$30+(INDEX(Assumptions!$F$44:$F$46,MATCH($C61,Assumptions!$A$44:$A$46,0))-$C$30)*MIN(1,O$45/$C$29))</f>
        <v>0</v>
      </c>
      <c r="P149" s="24" t="n">
        <f aca="false">P61*($C$30+(INDEX(Assumptions!$F$44:$F$46,MATCH($C61,Assumptions!$A$44:$A$46,0))-$C$30)*MIN(1,P$45/$C$29))</f>
        <v>0</v>
      </c>
      <c r="Q149" s="24" t="n">
        <f aca="false">Q61*($C$30+(INDEX(Assumptions!$F$44:$F$46,MATCH($C61,Assumptions!$A$44:$A$46,0))-$C$30)*MIN(1,Q$45/$C$29))</f>
        <v>0</v>
      </c>
      <c r="R149" s="24" t="n">
        <f aca="false">R61*($C$30+(INDEX(Assumptions!$F$44:$F$46,MATCH($C61,Assumptions!$A$44:$A$46,0))-$C$30)*MIN(1,R$45/$C$29))</f>
        <v>4.77945</v>
      </c>
      <c r="S149" s="24" t="n">
        <f aca="false">S61*($C$30+(INDEX(Assumptions!$F$44:$F$46,MATCH($C61,Assumptions!$A$44:$A$46,0))-$C$30)*MIN(1,S$45/$C$29))</f>
        <v>9.5589</v>
      </c>
      <c r="T149" s="24" t="n">
        <f aca="false">T61*($C$30+(INDEX(Assumptions!$F$44:$F$46,MATCH($C61,Assumptions!$A$44:$A$46,0))-$C$30)*MIN(1,T$45/$C$29))</f>
        <v>13.541775</v>
      </c>
      <c r="U149" s="24" t="n">
        <f aca="false">U61*($C$30+(INDEX(Assumptions!$F$44:$F$46,MATCH($C61,Assumptions!$A$44:$A$46,0))-$C$30)*MIN(1,U$45/$C$29))</f>
        <v>15.9315</v>
      </c>
      <c r="V149" s="24" t="n">
        <f aca="false">V61*($C$30+(INDEX(Assumptions!$F$44:$F$46,MATCH($C61,Assumptions!$A$44:$A$46,0))-$C$30)*MIN(1,V$45/$C$29))</f>
        <v>15.9315</v>
      </c>
      <c r="W149" s="24" t="n">
        <f aca="false">W61*($C$30+(INDEX(Assumptions!$F$44:$F$46,MATCH($C61,Assumptions!$A$44:$A$46,0))-$C$30)*MIN(1,W$45/$C$29))</f>
        <v>15.9315</v>
      </c>
      <c r="X149" s="24" t="n">
        <f aca="false">X61*($C$30+(INDEX(Assumptions!$F$44:$F$46,MATCH($C61,Assumptions!$A$44:$A$46,0))-$C$30)*MIN(1,X$45/$C$29))</f>
        <v>15.9315</v>
      </c>
      <c r="Y149" s="24" t="n">
        <f aca="false">Y61*($C$30+(INDEX(Assumptions!$F$44:$F$46,MATCH($C61,Assumptions!$A$44:$A$46,0))-$C$30)*MIN(1,Y$45/$C$29))</f>
        <v>15.9315</v>
      </c>
    </row>
    <row r="150" customFormat="false" ht="15" hidden="false" customHeight="false" outlineLevel="0" collapsed="false">
      <c r="A150" s="2" t="n">
        <f aca="false">A62</f>
        <v>15</v>
      </c>
      <c r="B150" s="2" t="str">
        <f aca="false">B62</f>
        <v>B</v>
      </c>
      <c r="C150" s="2" t="str">
        <f aca="false">C62</f>
        <v>Connect</v>
      </c>
      <c r="D150" s="2"/>
      <c r="E150" s="2"/>
      <c r="F150" s="2"/>
      <c r="G150" s="2"/>
      <c r="H150" s="24" t="n">
        <f aca="false">H62*($C$30+(INDEX(Assumptions!$F$44:$F$46,MATCH($C62,Assumptions!$A$44:$A$46,0))-$C$30)*MIN(1,H$45/$C$29))</f>
        <v>0</v>
      </c>
      <c r="I150" s="24" t="n">
        <f aca="false">I62*($C$30+(INDEX(Assumptions!$F$44:$F$46,MATCH($C62,Assumptions!$A$44:$A$46,0))-$C$30)*MIN(1,I$45/$C$29))</f>
        <v>0</v>
      </c>
      <c r="J150" s="24" t="n">
        <f aca="false">J62*($C$30+(INDEX(Assumptions!$F$44:$F$46,MATCH($C62,Assumptions!$A$44:$A$46,0))-$C$30)*MIN(1,J$45/$C$29))</f>
        <v>0</v>
      </c>
      <c r="K150" s="24" t="n">
        <f aca="false">K62*($C$30+(INDEX(Assumptions!$F$44:$F$46,MATCH($C62,Assumptions!$A$44:$A$46,0))-$C$30)*MIN(1,K$45/$C$29))</f>
        <v>0</v>
      </c>
      <c r="L150" s="24" t="n">
        <f aca="false">L62*($C$30+(INDEX(Assumptions!$F$44:$F$46,MATCH($C62,Assumptions!$A$44:$A$46,0))-$C$30)*MIN(1,L$45/$C$29))</f>
        <v>0</v>
      </c>
      <c r="M150" s="24" t="n">
        <f aca="false">M62*($C$30+(INDEX(Assumptions!$F$44:$F$46,MATCH($C62,Assumptions!$A$44:$A$46,0))-$C$30)*MIN(1,M$45/$C$29))</f>
        <v>0</v>
      </c>
      <c r="N150" s="24" t="n">
        <f aca="false">N62*($C$30+(INDEX(Assumptions!$F$44:$F$46,MATCH($C62,Assumptions!$A$44:$A$46,0))-$C$30)*MIN(1,N$45/$C$29))</f>
        <v>0</v>
      </c>
      <c r="O150" s="24" t="n">
        <f aca="false">O62*($C$30+(INDEX(Assumptions!$F$44:$F$46,MATCH($C62,Assumptions!$A$44:$A$46,0))-$C$30)*MIN(1,O$45/$C$29))</f>
        <v>0</v>
      </c>
      <c r="P150" s="24" t="n">
        <f aca="false">P62*($C$30+(INDEX(Assumptions!$F$44:$F$46,MATCH($C62,Assumptions!$A$44:$A$46,0))-$C$30)*MIN(1,P$45/$C$29))</f>
        <v>0</v>
      </c>
      <c r="Q150" s="24" t="n">
        <f aca="false">Q62*($C$30+(INDEX(Assumptions!$F$44:$F$46,MATCH($C62,Assumptions!$A$44:$A$46,0))-$C$30)*MIN(1,Q$45/$C$29))</f>
        <v>0</v>
      </c>
      <c r="R150" s="24" t="n">
        <f aca="false">R62*($C$30+(INDEX(Assumptions!$F$44:$F$46,MATCH($C62,Assumptions!$A$44:$A$46,0))-$C$30)*MIN(1,R$45/$C$29))</f>
        <v>0</v>
      </c>
      <c r="S150" s="24" t="n">
        <f aca="false">S62*($C$30+(INDEX(Assumptions!$F$44:$F$46,MATCH($C62,Assumptions!$A$44:$A$46,0))-$C$30)*MIN(1,S$45/$C$29))</f>
        <v>4.77945</v>
      </c>
      <c r="T150" s="24" t="n">
        <f aca="false">T62*($C$30+(INDEX(Assumptions!$F$44:$F$46,MATCH($C62,Assumptions!$A$44:$A$46,0))-$C$30)*MIN(1,T$45/$C$29))</f>
        <v>9.5589</v>
      </c>
      <c r="U150" s="24" t="n">
        <f aca="false">U62*($C$30+(INDEX(Assumptions!$F$44:$F$46,MATCH($C62,Assumptions!$A$44:$A$46,0))-$C$30)*MIN(1,U$45/$C$29))</f>
        <v>13.541775</v>
      </c>
      <c r="V150" s="24" t="n">
        <f aca="false">V62*($C$30+(INDEX(Assumptions!$F$44:$F$46,MATCH($C62,Assumptions!$A$44:$A$46,0))-$C$30)*MIN(1,V$45/$C$29))</f>
        <v>15.9315</v>
      </c>
      <c r="W150" s="24" t="n">
        <f aca="false">W62*($C$30+(INDEX(Assumptions!$F$44:$F$46,MATCH($C62,Assumptions!$A$44:$A$46,0))-$C$30)*MIN(1,W$45/$C$29))</f>
        <v>15.9315</v>
      </c>
      <c r="X150" s="24" t="n">
        <f aca="false">X62*($C$30+(INDEX(Assumptions!$F$44:$F$46,MATCH($C62,Assumptions!$A$44:$A$46,0))-$C$30)*MIN(1,X$45/$C$29))</f>
        <v>15.9315</v>
      </c>
      <c r="Y150" s="24" t="n">
        <f aca="false">Y62*($C$30+(INDEX(Assumptions!$F$44:$F$46,MATCH($C62,Assumptions!$A$44:$A$46,0))-$C$30)*MIN(1,Y$45/$C$29))</f>
        <v>15.9315</v>
      </c>
    </row>
    <row r="151" customFormat="false" ht="15" hidden="false" customHeight="false" outlineLevel="0" collapsed="false">
      <c r="A151" s="2" t="n">
        <f aca="false">A63</f>
        <v>16</v>
      </c>
      <c r="B151" s="2" t="str">
        <f aca="false">B63</f>
        <v>B</v>
      </c>
      <c r="C151" s="2" t="str">
        <f aca="false">C63</f>
        <v>Connect</v>
      </c>
      <c r="D151" s="2"/>
      <c r="E151" s="2"/>
      <c r="F151" s="2"/>
      <c r="G151" s="2"/>
      <c r="H151" s="24" t="n">
        <f aca="false">H63*($C$30+(INDEX(Assumptions!$F$44:$F$46,MATCH($C63,Assumptions!$A$44:$A$46,0))-$C$30)*MIN(1,H$45/$C$29))</f>
        <v>0</v>
      </c>
      <c r="I151" s="24" t="n">
        <f aca="false">I63*($C$30+(INDEX(Assumptions!$F$44:$F$46,MATCH($C63,Assumptions!$A$44:$A$46,0))-$C$30)*MIN(1,I$45/$C$29))</f>
        <v>0</v>
      </c>
      <c r="J151" s="24" t="n">
        <f aca="false">J63*($C$30+(INDEX(Assumptions!$F$44:$F$46,MATCH($C63,Assumptions!$A$44:$A$46,0))-$C$30)*MIN(1,J$45/$C$29))</f>
        <v>0</v>
      </c>
      <c r="K151" s="24" t="n">
        <f aca="false">K63*($C$30+(INDEX(Assumptions!$F$44:$F$46,MATCH($C63,Assumptions!$A$44:$A$46,0))-$C$30)*MIN(1,K$45/$C$29))</f>
        <v>0</v>
      </c>
      <c r="L151" s="24" t="n">
        <f aca="false">L63*($C$30+(INDEX(Assumptions!$F$44:$F$46,MATCH($C63,Assumptions!$A$44:$A$46,0))-$C$30)*MIN(1,L$45/$C$29))</f>
        <v>0</v>
      </c>
      <c r="M151" s="24" t="n">
        <f aca="false">M63*($C$30+(INDEX(Assumptions!$F$44:$F$46,MATCH($C63,Assumptions!$A$44:$A$46,0))-$C$30)*MIN(1,M$45/$C$29))</f>
        <v>0</v>
      </c>
      <c r="N151" s="24" t="n">
        <f aca="false">N63*($C$30+(INDEX(Assumptions!$F$44:$F$46,MATCH($C63,Assumptions!$A$44:$A$46,0))-$C$30)*MIN(1,N$45/$C$29))</f>
        <v>0</v>
      </c>
      <c r="O151" s="24" t="n">
        <f aca="false">O63*($C$30+(INDEX(Assumptions!$F$44:$F$46,MATCH($C63,Assumptions!$A$44:$A$46,0))-$C$30)*MIN(1,O$45/$C$29))</f>
        <v>0</v>
      </c>
      <c r="P151" s="24" t="n">
        <f aca="false">P63*($C$30+(INDEX(Assumptions!$F$44:$F$46,MATCH($C63,Assumptions!$A$44:$A$46,0))-$C$30)*MIN(1,P$45/$C$29))</f>
        <v>0</v>
      </c>
      <c r="Q151" s="24" t="n">
        <f aca="false">Q63*($C$30+(INDEX(Assumptions!$F$44:$F$46,MATCH($C63,Assumptions!$A$44:$A$46,0))-$C$30)*MIN(1,Q$45/$C$29))</f>
        <v>0</v>
      </c>
      <c r="R151" s="24" t="n">
        <f aca="false">R63*($C$30+(INDEX(Assumptions!$F$44:$F$46,MATCH($C63,Assumptions!$A$44:$A$46,0))-$C$30)*MIN(1,R$45/$C$29))</f>
        <v>0</v>
      </c>
      <c r="S151" s="24" t="n">
        <f aca="false">S63*($C$30+(INDEX(Assumptions!$F$44:$F$46,MATCH($C63,Assumptions!$A$44:$A$46,0))-$C$30)*MIN(1,S$45/$C$29))</f>
        <v>0</v>
      </c>
      <c r="T151" s="24" t="n">
        <f aca="false">T63*($C$30+(INDEX(Assumptions!$F$44:$F$46,MATCH($C63,Assumptions!$A$44:$A$46,0))-$C$30)*MIN(1,T$45/$C$29))</f>
        <v>4.77945</v>
      </c>
      <c r="U151" s="24" t="n">
        <f aca="false">U63*($C$30+(INDEX(Assumptions!$F$44:$F$46,MATCH($C63,Assumptions!$A$44:$A$46,0))-$C$30)*MIN(1,U$45/$C$29))</f>
        <v>9.5589</v>
      </c>
      <c r="V151" s="24" t="n">
        <f aca="false">V63*($C$30+(INDEX(Assumptions!$F$44:$F$46,MATCH($C63,Assumptions!$A$44:$A$46,0))-$C$30)*MIN(1,V$45/$C$29))</f>
        <v>13.541775</v>
      </c>
      <c r="W151" s="24" t="n">
        <f aca="false">W63*($C$30+(INDEX(Assumptions!$F$44:$F$46,MATCH($C63,Assumptions!$A$44:$A$46,0))-$C$30)*MIN(1,W$45/$C$29))</f>
        <v>15.9315</v>
      </c>
      <c r="X151" s="24" t="n">
        <f aca="false">X63*($C$30+(INDEX(Assumptions!$F$44:$F$46,MATCH($C63,Assumptions!$A$44:$A$46,0))-$C$30)*MIN(1,X$45/$C$29))</f>
        <v>15.9315</v>
      </c>
      <c r="Y151" s="24" t="n">
        <f aca="false">Y63*($C$30+(INDEX(Assumptions!$F$44:$F$46,MATCH($C63,Assumptions!$A$44:$A$46,0))-$C$30)*MIN(1,Y$45/$C$29))</f>
        <v>15.9315</v>
      </c>
    </row>
    <row r="152" customFormat="false" ht="15" hidden="false" customHeight="false" outlineLevel="0" collapsed="false">
      <c r="A152" s="2" t="n">
        <f aca="false">A64</f>
        <v>17</v>
      </c>
      <c r="B152" s="2" t="str">
        <f aca="false">B64</f>
        <v>B</v>
      </c>
      <c r="C152" s="2" t="str">
        <f aca="false">C64</f>
        <v>Verified</v>
      </c>
      <c r="D152" s="2"/>
      <c r="E152" s="2"/>
      <c r="F152" s="2"/>
      <c r="G152" s="2"/>
      <c r="H152" s="24" t="n">
        <f aca="false">H64*($C$30+(INDEX(Assumptions!$F$44:$F$46,MATCH($C64,Assumptions!$A$44:$A$46,0))-$C$30)*MIN(1,H$45/$C$29))</f>
        <v>0</v>
      </c>
      <c r="I152" s="24" t="n">
        <f aca="false">I64*($C$30+(INDEX(Assumptions!$F$44:$F$46,MATCH($C64,Assumptions!$A$44:$A$46,0))-$C$30)*MIN(1,I$45/$C$29))</f>
        <v>0</v>
      </c>
      <c r="J152" s="24" t="n">
        <f aca="false">J64*($C$30+(INDEX(Assumptions!$F$44:$F$46,MATCH($C64,Assumptions!$A$44:$A$46,0))-$C$30)*MIN(1,J$45/$C$29))</f>
        <v>0</v>
      </c>
      <c r="K152" s="24" t="n">
        <f aca="false">K64*($C$30+(INDEX(Assumptions!$F$44:$F$46,MATCH($C64,Assumptions!$A$44:$A$46,0))-$C$30)*MIN(1,K$45/$C$29))</f>
        <v>0</v>
      </c>
      <c r="L152" s="24" t="n">
        <f aca="false">L64*($C$30+(INDEX(Assumptions!$F$44:$F$46,MATCH($C64,Assumptions!$A$44:$A$46,0))-$C$30)*MIN(1,L$45/$C$29))</f>
        <v>0</v>
      </c>
      <c r="M152" s="24" t="n">
        <f aca="false">M64*($C$30+(INDEX(Assumptions!$F$44:$F$46,MATCH($C64,Assumptions!$A$44:$A$46,0))-$C$30)*MIN(1,M$45/$C$29))</f>
        <v>0</v>
      </c>
      <c r="N152" s="24" t="n">
        <f aca="false">N64*($C$30+(INDEX(Assumptions!$F$44:$F$46,MATCH($C64,Assumptions!$A$44:$A$46,0))-$C$30)*MIN(1,N$45/$C$29))</f>
        <v>0</v>
      </c>
      <c r="O152" s="24" t="n">
        <f aca="false">O64*($C$30+(INDEX(Assumptions!$F$44:$F$46,MATCH($C64,Assumptions!$A$44:$A$46,0))-$C$30)*MIN(1,O$45/$C$29))</f>
        <v>0</v>
      </c>
      <c r="P152" s="24" t="n">
        <f aca="false">P64*($C$30+(INDEX(Assumptions!$F$44:$F$46,MATCH($C64,Assumptions!$A$44:$A$46,0))-$C$30)*MIN(1,P$45/$C$29))</f>
        <v>0</v>
      </c>
      <c r="Q152" s="24" t="n">
        <f aca="false">Q64*($C$30+(INDEX(Assumptions!$F$44:$F$46,MATCH($C64,Assumptions!$A$44:$A$46,0))-$C$30)*MIN(1,Q$45/$C$29))</f>
        <v>0</v>
      </c>
      <c r="R152" s="24" t="n">
        <f aca="false">R64*($C$30+(INDEX(Assumptions!$F$44:$F$46,MATCH($C64,Assumptions!$A$44:$A$46,0))-$C$30)*MIN(1,R$45/$C$29))</f>
        <v>0</v>
      </c>
      <c r="S152" s="24" t="n">
        <f aca="false">S64*($C$30+(INDEX(Assumptions!$F$44:$F$46,MATCH($C64,Assumptions!$A$44:$A$46,0))-$C$30)*MIN(1,S$45/$C$29))</f>
        <v>0</v>
      </c>
      <c r="T152" s="24" t="n">
        <f aca="false">T64*($C$30+(INDEX(Assumptions!$F$44:$F$46,MATCH($C64,Assumptions!$A$44:$A$46,0))-$C$30)*MIN(1,T$45/$C$29))</f>
        <v>0</v>
      </c>
      <c r="U152" s="24" t="n">
        <f aca="false">U64*($C$30+(INDEX(Assumptions!$F$44:$F$46,MATCH($C64,Assumptions!$A$44:$A$46,0))-$C$30)*MIN(1,U$45/$C$29))</f>
        <v>0</v>
      </c>
      <c r="V152" s="24" t="n">
        <f aca="false">V64*($C$30+(INDEX(Assumptions!$F$44:$F$46,MATCH($C64,Assumptions!$A$44:$A$46,0))-$C$30)*MIN(1,V$45/$C$29))</f>
        <v>0</v>
      </c>
      <c r="W152" s="24" t="n">
        <f aca="false">W64*($C$30+(INDEX(Assumptions!$F$44:$F$46,MATCH($C64,Assumptions!$A$44:$A$46,0))-$C$30)*MIN(1,W$45/$C$29))</f>
        <v>0</v>
      </c>
      <c r="X152" s="24" t="n">
        <f aca="false">X64*($C$30+(INDEX(Assumptions!$F$44:$F$46,MATCH($C64,Assumptions!$A$44:$A$46,0))-$C$30)*MIN(1,X$45/$C$29))</f>
        <v>0</v>
      </c>
      <c r="Y152" s="24" t="n">
        <f aca="false">Y64*($C$30+(INDEX(Assumptions!$F$44:$F$46,MATCH($C64,Assumptions!$A$44:$A$46,0))-$C$30)*MIN(1,Y$45/$C$29))</f>
        <v>0</v>
      </c>
    </row>
    <row r="153" customFormat="false" ht="15" hidden="false" customHeight="false" outlineLevel="0" collapsed="false">
      <c r="A153" s="2" t="n">
        <f aca="false">A65</f>
        <v>18</v>
      </c>
      <c r="B153" s="2" t="str">
        <f aca="false">B65</f>
        <v>B</v>
      </c>
      <c r="C153" s="2" t="str">
        <f aca="false">C65</f>
        <v>Verified</v>
      </c>
      <c r="D153" s="2"/>
      <c r="E153" s="2"/>
      <c r="F153" s="2"/>
      <c r="G153" s="2"/>
      <c r="H153" s="24" t="n">
        <f aca="false">H65*($C$30+(INDEX(Assumptions!$F$44:$F$46,MATCH($C65,Assumptions!$A$44:$A$46,0))-$C$30)*MIN(1,H$45/$C$29))</f>
        <v>0</v>
      </c>
      <c r="I153" s="24" t="n">
        <f aca="false">I65*($C$30+(INDEX(Assumptions!$F$44:$F$46,MATCH($C65,Assumptions!$A$44:$A$46,0))-$C$30)*MIN(1,I$45/$C$29))</f>
        <v>0</v>
      </c>
      <c r="J153" s="24" t="n">
        <f aca="false">J65*($C$30+(INDEX(Assumptions!$F$44:$F$46,MATCH($C65,Assumptions!$A$44:$A$46,0))-$C$30)*MIN(1,J$45/$C$29))</f>
        <v>0</v>
      </c>
      <c r="K153" s="24" t="n">
        <f aca="false">K65*($C$30+(INDEX(Assumptions!$F$44:$F$46,MATCH($C65,Assumptions!$A$44:$A$46,0))-$C$30)*MIN(1,K$45/$C$29))</f>
        <v>0</v>
      </c>
      <c r="L153" s="24" t="n">
        <f aca="false">L65*($C$30+(INDEX(Assumptions!$F$44:$F$46,MATCH($C65,Assumptions!$A$44:$A$46,0))-$C$30)*MIN(1,L$45/$C$29))</f>
        <v>0</v>
      </c>
      <c r="M153" s="24" t="n">
        <f aca="false">M65*($C$30+(INDEX(Assumptions!$F$44:$F$46,MATCH($C65,Assumptions!$A$44:$A$46,0))-$C$30)*MIN(1,M$45/$C$29))</f>
        <v>0</v>
      </c>
      <c r="N153" s="24" t="n">
        <f aca="false">N65*($C$30+(INDEX(Assumptions!$F$44:$F$46,MATCH($C65,Assumptions!$A$44:$A$46,0))-$C$30)*MIN(1,N$45/$C$29))</f>
        <v>0</v>
      </c>
      <c r="O153" s="24" t="n">
        <f aca="false">O65*($C$30+(INDEX(Assumptions!$F$44:$F$46,MATCH($C65,Assumptions!$A$44:$A$46,0))-$C$30)*MIN(1,O$45/$C$29))</f>
        <v>0</v>
      </c>
      <c r="P153" s="24" t="n">
        <f aca="false">P65*($C$30+(INDEX(Assumptions!$F$44:$F$46,MATCH($C65,Assumptions!$A$44:$A$46,0))-$C$30)*MIN(1,P$45/$C$29))</f>
        <v>0</v>
      </c>
      <c r="Q153" s="24" t="n">
        <f aca="false">Q65*($C$30+(INDEX(Assumptions!$F$44:$F$46,MATCH($C65,Assumptions!$A$44:$A$46,0))-$C$30)*MIN(1,Q$45/$C$29))</f>
        <v>0</v>
      </c>
      <c r="R153" s="24" t="n">
        <f aca="false">R65*($C$30+(INDEX(Assumptions!$F$44:$F$46,MATCH($C65,Assumptions!$A$44:$A$46,0))-$C$30)*MIN(1,R$45/$C$29))</f>
        <v>0</v>
      </c>
      <c r="S153" s="24" t="n">
        <f aca="false">S65*($C$30+(INDEX(Assumptions!$F$44:$F$46,MATCH($C65,Assumptions!$A$44:$A$46,0))-$C$30)*MIN(1,S$45/$C$29))</f>
        <v>0</v>
      </c>
      <c r="T153" s="24" t="n">
        <f aca="false">T65*($C$30+(INDEX(Assumptions!$F$44:$F$46,MATCH($C65,Assumptions!$A$44:$A$46,0))-$C$30)*MIN(1,T$45/$C$29))</f>
        <v>0</v>
      </c>
      <c r="U153" s="24" t="n">
        <f aca="false">U65*($C$30+(INDEX(Assumptions!$F$44:$F$46,MATCH($C65,Assumptions!$A$44:$A$46,0))-$C$30)*MIN(1,U$45/$C$29))</f>
        <v>0</v>
      </c>
      <c r="V153" s="24" t="n">
        <f aca="false">V65*($C$30+(INDEX(Assumptions!$F$44:$F$46,MATCH($C65,Assumptions!$A$44:$A$46,0))-$C$30)*MIN(1,V$45/$C$29))</f>
        <v>0</v>
      </c>
      <c r="W153" s="24" t="n">
        <f aca="false">W65*($C$30+(INDEX(Assumptions!$F$44:$F$46,MATCH($C65,Assumptions!$A$44:$A$46,0))-$C$30)*MIN(1,W$45/$C$29))</f>
        <v>0</v>
      </c>
      <c r="X153" s="24" t="n">
        <f aca="false">X65*($C$30+(INDEX(Assumptions!$F$44:$F$46,MATCH($C65,Assumptions!$A$44:$A$46,0))-$C$30)*MIN(1,X$45/$C$29))</f>
        <v>0</v>
      </c>
      <c r="Y153" s="24" t="n">
        <f aca="false">Y65*($C$30+(INDEX(Assumptions!$F$44:$F$46,MATCH($C65,Assumptions!$A$44:$A$46,0))-$C$30)*MIN(1,Y$45/$C$29))</f>
        <v>0</v>
      </c>
    </row>
    <row r="154" customFormat="false" ht="15" hidden="false" customHeight="false" outlineLevel="0" collapsed="false">
      <c r="A154" s="2" t="n">
        <f aca="false">A66</f>
        <v>19</v>
      </c>
      <c r="B154" s="2" t="str">
        <f aca="false">B66</f>
        <v>B</v>
      </c>
      <c r="C154" s="2" t="str">
        <f aca="false">C66</f>
        <v>Verified</v>
      </c>
      <c r="D154" s="2"/>
      <c r="E154" s="2"/>
      <c r="F154" s="2"/>
      <c r="G154" s="2"/>
      <c r="H154" s="24" t="n">
        <f aca="false">H66*($C$30+(INDEX(Assumptions!$F$44:$F$46,MATCH($C66,Assumptions!$A$44:$A$46,0))-$C$30)*MIN(1,H$45/$C$29))</f>
        <v>0</v>
      </c>
      <c r="I154" s="24" t="n">
        <f aca="false">I66*($C$30+(INDEX(Assumptions!$F$44:$F$46,MATCH($C66,Assumptions!$A$44:$A$46,0))-$C$30)*MIN(1,I$45/$C$29))</f>
        <v>0</v>
      </c>
      <c r="J154" s="24" t="n">
        <f aca="false">J66*($C$30+(INDEX(Assumptions!$F$44:$F$46,MATCH($C66,Assumptions!$A$44:$A$46,0))-$C$30)*MIN(1,J$45/$C$29))</f>
        <v>0</v>
      </c>
      <c r="K154" s="24" t="n">
        <f aca="false">K66*($C$30+(INDEX(Assumptions!$F$44:$F$46,MATCH($C66,Assumptions!$A$44:$A$46,0))-$C$30)*MIN(1,K$45/$C$29))</f>
        <v>0</v>
      </c>
      <c r="L154" s="24" t="n">
        <f aca="false">L66*($C$30+(INDEX(Assumptions!$F$44:$F$46,MATCH($C66,Assumptions!$A$44:$A$46,0))-$C$30)*MIN(1,L$45/$C$29))</f>
        <v>0</v>
      </c>
      <c r="M154" s="24" t="n">
        <f aca="false">M66*($C$30+(INDEX(Assumptions!$F$44:$F$46,MATCH($C66,Assumptions!$A$44:$A$46,0))-$C$30)*MIN(1,M$45/$C$29))</f>
        <v>0</v>
      </c>
      <c r="N154" s="24" t="n">
        <f aca="false">N66*($C$30+(INDEX(Assumptions!$F$44:$F$46,MATCH($C66,Assumptions!$A$44:$A$46,0))-$C$30)*MIN(1,N$45/$C$29))</f>
        <v>0</v>
      </c>
      <c r="O154" s="24" t="n">
        <f aca="false">O66*($C$30+(INDEX(Assumptions!$F$44:$F$46,MATCH($C66,Assumptions!$A$44:$A$46,0))-$C$30)*MIN(1,O$45/$C$29))</f>
        <v>0</v>
      </c>
      <c r="P154" s="24" t="n">
        <f aca="false">P66*($C$30+(INDEX(Assumptions!$F$44:$F$46,MATCH($C66,Assumptions!$A$44:$A$46,0))-$C$30)*MIN(1,P$45/$C$29))</f>
        <v>0</v>
      </c>
      <c r="Q154" s="24" t="n">
        <f aca="false">Q66*($C$30+(INDEX(Assumptions!$F$44:$F$46,MATCH($C66,Assumptions!$A$44:$A$46,0))-$C$30)*MIN(1,Q$45/$C$29))</f>
        <v>0</v>
      </c>
      <c r="R154" s="24" t="n">
        <f aca="false">R66*($C$30+(INDEX(Assumptions!$F$44:$F$46,MATCH($C66,Assumptions!$A$44:$A$46,0))-$C$30)*MIN(1,R$45/$C$29))</f>
        <v>0</v>
      </c>
      <c r="S154" s="24" t="n">
        <f aca="false">S66*($C$30+(INDEX(Assumptions!$F$44:$F$46,MATCH($C66,Assumptions!$A$44:$A$46,0))-$C$30)*MIN(1,S$45/$C$29))</f>
        <v>0</v>
      </c>
      <c r="T154" s="24" t="n">
        <f aca="false">T66*($C$30+(INDEX(Assumptions!$F$44:$F$46,MATCH($C66,Assumptions!$A$44:$A$46,0))-$C$30)*MIN(1,T$45/$C$29))</f>
        <v>0</v>
      </c>
      <c r="U154" s="24" t="n">
        <f aca="false">U66*($C$30+(INDEX(Assumptions!$F$44:$F$46,MATCH($C66,Assumptions!$A$44:$A$46,0))-$C$30)*MIN(1,U$45/$C$29))</f>
        <v>0</v>
      </c>
      <c r="V154" s="24" t="n">
        <f aca="false">V66*($C$30+(INDEX(Assumptions!$F$44:$F$46,MATCH($C66,Assumptions!$A$44:$A$46,0))-$C$30)*MIN(1,V$45/$C$29))</f>
        <v>0</v>
      </c>
      <c r="W154" s="24" t="n">
        <f aca="false">W66*($C$30+(INDEX(Assumptions!$F$44:$F$46,MATCH($C66,Assumptions!$A$44:$A$46,0))-$C$30)*MIN(1,W$45/$C$29))</f>
        <v>0</v>
      </c>
      <c r="X154" s="24" t="n">
        <f aca="false">X66*($C$30+(INDEX(Assumptions!$F$44:$F$46,MATCH($C66,Assumptions!$A$44:$A$46,0))-$C$30)*MIN(1,X$45/$C$29))</f>
        <v>0</v>
      </c>
      <c r="Y154" s="24" t="n">
        <f aca="false">Y66*($C$30+(INDEX(Assumptions!$F$44:$F$46,MATCH($C66,Assumptions!$A$44:$A$46,0))-$C$30)*MIN(1,Y$45/$C$29))</f>
        <v>0</v>
      </c>
    </row>
    <row r="155" customFormat="false" ht="15" hidden="false" customHeight="false" outlineLevel="0" collapsed="false">
      <c r="A155" s="2" t="n">
        <f aca="false">A67</f>
        <v>20</v>
      </c>
      <c r="B155" s="2" t="str">
        <f aca="false">B67</f>
        <v>B</v>
      </c>
      <c r="C155" s="2" t="str">
        <f aca="false">C67</f>
        <v>Verified</v>
      </c>
      <c r="D155" s="2"/>
      <c r="E155" s="2"/>
      <c r="F155" s="2"/>
      <c r="G155" s="2"/>
      <c r="H155" s="24" t="n">
        <f aca="false">H67*($C$30+(INDEX(Assumptions!$F$44:$F$46,MATCH($C67,Assumptions!$A$44:$A$46,0))-$C$30)*MIN(1,H$45/$C$29))</f>
        <v>0</v>
      </c>
      <c r="I155" s="24" t="n">
        <f aca="false">I67*($C$30+(INDEX(Assumptions!$F$44:$F$46,MATCH($C67,Assumptions!$A$44:$A$46,0))-$C$30)*MIN(1,I$45/$C$29))</f>
        <v>0</v>
      </c>
      <c r="J155" s="24" t="n">
        <f aca="false">J67*($C$30+(INDEX(Assumptions!$F$44:$F$46,MATCH($C67,Assumptions!$A$44:$A$46,0))-$C$30)*MIN(1,J$45/$C$29))</f>
        <v>0</v>
      </c>
      <c r="K155" s="24" t="n">
        <f aca="false">K67*($C$30+(INDEX(Assumptions!$F$44:$F$46,MATCH($C67,Assumptions!$A$44:$A$46,0))-$C$30)*MIN(1,K$45/$C$29))</f>
        <v>0</v>
      </c>
      <c r="L155" s="24" t="n">
        <f aca="false">L67*($C$30+(INDEX(Assumptions!$F$44:$F$46,MATCH($C67,Assumptions!$A$44:$A$46,0))-$C$30)*MIN(1,L$45/$C$29))</f>
        <v>0</v>
      </c>
      <c r="M155" s="24" t="n">
        <f aca="false">M67*($C$30+(INDEX(Assumptions!$F$44:$F$46,MATCH($C67,Assumptions!$A$44:$A$46,0))-$C$30)*MIN(1,M$45/$C$29))</f>
        <v>0</v>
      </c>
      <c r="N155" s="24" t="n">
        <f aca="false">N67*($C$30+(INDEX(Assumptions!$F$44:$F$46,MATCH($C67,Assumptions!$A$44:$A$46,0))-$C$30)*MIN(1,N$45/$C$29))</f>
        <v>0</v>
      </c>
      <c r="O155" s="24" t="n">
        <f aca="false">O67*($C$30+(INDEX(Assumptions!$F$44:$F$46,MATCH($C67,Assumptions!$A$44:$A$46,0))-$C$30)*MIN(1,O$45/$C$29))</f>
        <v>0</v>
      </c>
      <c r="P155" s="24" t="n">
        <f aca="false">P67*($C$30+(INDEX(Assumptions!$F$44:$F$46,MATCH($C67,Assumptions!$A$44:$A$46,0))-$C$30)*MIN(1,P$45/$C$29))</f>
        <v>0</v>
      </c>
      <c r="Q155" s="24" t="n">
        <f aca="false">Q67*($C$30+(INDEX(Assumptions!$F$44:$F$46,MATCH($C67,Assumptions!$A$44:$A$46,0))-$C$30)*MIN(1,Q$45/$C$29))</f>
        <v>0</v>
      </c>
      <c r="R155" s="24" t="n">
        <f aca="false">R67*($C$30+(INDEX(Assumptions!$F$44:$F$46,MATCH($C67,Assumptions!$A$44:$A$46,0))-$C$30)*MIN(1,R$45/$C$29))</f>
        <v>0</v>
      </c>
      <c r="S155" s="24" t="n">
        <f aca="false">S67*($C$30+(INDEX(Assumptions!$F$44:$F$46,MATCH($C67,Assumptions!$A$44:$A$46,0))-$C$30)*MIN(1,S$45/$C$29))</f>
        <v>0</v>
      </c>
      <c r="T155" s="24" t="n">
        <f aca="false">T67*($C$30+(INDEX(Assumptions!$F$44:$F$46,MATCH($C67,Assumptions!$A$44:$A$46,0))-$C$30)*MIN(1,T$45/$C$29))</f>
        <v>0</v>
      </c>
      <c r="U155" s="24" t="n">
        <f aca="false">U67*($C$30+(INDEX(Assumptions!$F$44:$F$46,MATCH($C67,Assumptions!$A$44:$A$46,0))-$C$30)*MIN(1,U$45/$C$29))</f>
        <v>0</v>
      </c>
      <c r="V155" s="24" t="n">
        <f aca="false">V67*($C$30+(INDEX(Assumptions!$F$44:$F$46,MATCH($C67,Assumptions!$A$44:$A$46,0))-$C$30)*MIN(1,V$45/$C$29))</f>
        <v>0</v>
      </c>
      <c r="W155" s="24" t="n">
        <f aca="false">W67*($C$30+(INDEX(Assumptions!$F$44:$F$46,MATCH($C67,Assumptions!$A$44:$A$46,0))-$C$30)*MIN(1,W$45/$C$29))</f>
        <v>0</v>
      </c>
      <c r="X155" s="24" t="n">
        <f aca="false">X67*($C$30+(INDEX(Assumptions!$F$44:$F$46,MATCH($C67,Assumptions!$A$44:$A$46,0))-$C$30)*MIN(1,X$45/$C$29))</f>
        <v>0</v>
      </c>
      <c r="Y155" s="24" t="n">
        <f aca="false">Y67*($C$30+(INDEX(Assumptions!$F$44:$F$46,MATCH($C67,Assumptions!$A$44:$A$46,0))-$C$30)*MIN(1,Y$45/$C$29))</f>
        <v>0</v>
      </c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" hidden="false" customHeight="false" outlineLevel="0" collapsed="false">
      <c r="A157" s="37" t="s">
        <v>203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customFormat="false" ht="15" hidden="false" customHeight="false" outlineLevel="0" collapsed="false">
      <c r="A158" s="5" t="s">
        <v>204</v>
      </c>
      <c r="B158" s="2"/>
      <c r="C158" s="2"/>
      <c r="D158" s="2"/>
      <c r="E158" s="2"/>
      <c r="F158" s="2"/>
      <c r="G158" s="2"/>
      <c r="H158" s="26" t="n">
        <f aca="false">COUNTIF($G$48:$G$67,"&lt;="&amp;H$45)</f>
        <v>4</v>
      </c>
      <c r="I158" s="26" t="n">
        <f aca="false">COUNTIF($G$48:$G$67,"&lt;="&amp;I$45)</f>
        <v>4</v>
      </c>
      <c r="J158" s="26" t="n">
        <f aca="false">COUNTIF($G$48:$G$67,"&lt;="&amp;J$45)</f>
        <v>4</v>
      </c>
      <c r="K158" s="26" t="n">
        <f aca="false">COUNTIF($G$48:$G$67,"&lt;="&amp;K$45)</f>
        <v>4</v>
      </c>
      <c r="L158" s="26" t="n">
        <f aca="false">COUNTIF($G$48:$G$67,"&lt;="&amp;L$45)</f>
        <v>6</v>
      </c>
      <c r="M158" s="26" t="n">
        <f aca="false">COUNTIF($G$48:$G$67,"&lt;="&amp;M$45)</f>
        <v>8</v>
      </c>
      <c r="N158" s="26" t="n">
        <f aca="false">COUNTIF($G$48:$G$67,"&lt;="&amp;N$45)</f>
        <v>9</v>
      </c>
      <c r="O158" s="26" t="n">
        <f aca="false">COUNTIF($G$48:$G$67,"&lt;="&amp;O$45)</f>
        <v>10</v>
      </c>
      <c r="P158" s="26" t="n">
        <f aca="false">COUNTIF($G$48:$G$67,"&lt;="&amp;P$45)</f>
        <v>12</v>
      </c>
      <c r="Q158" s="26" t="n">
        <f aca="false">COUNTIF($G$48:$G$67,"&lt;="&amp;Q$45)</f>
        <v>13</v>
      </c>
      <c r="R158" s="26" t="n">
        <f aca="false">COUNTIF($G$48:$G$67,"&lt;="&amp;R$45)</f>
        <v>14</v>
      </c>
      <c r="S158" s="26" t="n">
        <f aca="false">COUNTIF($G$48:$G$67,"&lt;="&amp;S$45)</f>
        <v>15</v>
      </c>
      <c r="T158" s="26" t="n">
        <f aca="false">COUNTIF($G$48:$G$67,"&lt;="&amp;T$45)</f>
        <v>16</v>
      </c>
      <c r="U158" s="26" t="n">
        <f aca="false">COUNTIF($G$48:$G$67,"&lt;="&amp;U$45)</f>
        <v>17</v>
      </c>
      <c r="V158" s="26" t="n">
        <f aca="false">COUNTIF($G$48:$G$67,"&lt;="&amp;V$45)</f>
        <v>18</v>
      </c>
      <c r="W158" s="26" t="n">
        <f aca="false">COUNTIF($G$48:$G$67,"&lt;="&amp;W$45)</f>
        <v>20</v>
      </c>
      <c r="X158" s="26" t="n">
        <f aca="false">COUNTIF($G$48:$G$67,"&lt;="&amp;X$45)</f>
        <v>20</v>
      </c>
      <c r="Y158" s="26" t="n">
        <f aca="false">COUNTIF($G$48:$G$67,"&lt;="&amp;Y$45)</f>
        <v>20</v>
      </c>
    </row>
    <row r="159" customFormat="false" ht="15" hidden="false" customHeight="false" outlineLevel="0" collapsed="false">
      <c r="A159" s="5" t="s">
        <v>205</v>
      </c>
      <c r="B159" s="2"/>
      <c r="C159" s="2"/>
      <c r="D159" s="2"/>
      <c r="E159" s="2"/>
      <c r="F159" s="2"/>
      <c r="G159" s="2"/>
      <c r="H159" s="26" t="n">
        <f aca="false">SUM(H48:H67)</f>
        <v>66.5</v>
      </c>
      <c r="I159" s="26" t="n">
        <f aca="false">SUM(I48:I67)</f>
        <v>69.6666666666667</v>
      </c>
      <c r="J159" s="26" t="n">
        <f aca="false">SUM(J48:J67)</f>
        <v>72.8333333333333</v>
      </c>
      <c r="K159" s="26" t="n">
        <f aca="false">SUM(K48:K67)</f>
        <v>76</v>
      </c>
      <c r="L159" s="26" t="n">
        <f aca="false">SUM(L48:L67)</f>
        <v>84.892</v>
      </c>
      <c r="M159" s="26" t="n">
        <f aca="false">SUM(M48:M67)</f>
        <v>102.676</v>
      </c>
      <c r="N159" s="26" t="n">
        <f aca="false">SUM(N48:N67)</f>
        <v>123.424</v>
      </c>
      <c r="O159" s="26" t="n">
        <f aca="false">SUM(O48:O67)</f>
        <v>144.5425</v>
      </c>
      <c r="P159" s="26" t="n">
        <f aca="false">SUM(P48:P67)</f>
        <v>167.143</v>
      </c>
      <c r="Q159" s="26" t="n">
        <f aca="false">SUM(Q48:Q67)</f>
        <v>187.82925</v>
      </c>
      <c r="R159" s="26" t="n">
        <f aca="false">SUM(R48:R67)</f>
        <v>208.639</v>
      </c>
      <c r="S159" s="26" t="n">
        <f aca="false">SUM(S48:S67)</f>
        <v>228.58425</v>
      </c>
      <c r="T159" s="26" t="n">
        <f aca="false">SUM(T48:T67)</f>
        <v>246.73875</v>
      </c>
      <c r="U159" s="26" t="n">
        <f aca="false">SUM(U48:U67)</f>
        <v>259.70625</v>
      </c>
      <c r="V159" s="26" t="n">
        <f aca="false">SUM(V48:V67)</f>
        <v>267.11625</v>
      </c>
      <c r="W159" s="26" t="n">
        <f aca="false">SUM(W48:W67)</f>
        <v>269.895</v>
      </c>
      <c r="X159" s="26" t="n">
        <f aca="false">SUM(X48:X67)</f>
        <v>269.895</v>
      </c>
      <c r="Y159" s="26" t="n">
        <f aca="false">SUM(Y48:Y67)</f>
        <v>269.895</v>
      </c>
    </row>
    <row r="160" customFormat="false" ht="15" hidden="false" customHeight="false" outlineLevel="0" collapsed="false">
      <c r="A160" s="5" t="s">
        <v>206</v>
      </c>
      <c r="B160" s="2"/>
      <c r="C160" s="2"/>
      <c r="D160" s="2"/>
      <c r="E160" s="2"/>
      <c r="F160" s="2"/>
      <c r="G160" s="2"/>
      <c r="H160" s="26" t="n">
        <f aca="false">H159</f>
        <v>66.5</v>
      </c>
      <c r="I160" s="26" t="n">
        <f aca="false">H160+I159</f>
        <v>136.166666666667</v>
      </c>
      <c r="J160" s="26" t="n">
        <f aca="false">I160+J159</f>
        <v>209</v>
      </c>
      <c r="K160" s="26" t="n">
        <f aca="false">J160+K159</f>
        <v>285</v>
      </c>
      <c r="L160" s="26" t="n">
        <f aca="false">K160+L159</f>
        <v>369.892</v>
      </c>
      <c r="M160" s="26" t="n">
        <f aca="false">L160+M159</f>
        <v>472.568</v>
      </c>
      <c r="N160" s="26" t="n">
        <f aca="false">M160+N159</f>
        <v>595.992</v>
      </c>
      <c r="O160" s="26" t="n">
        <f aca="false">N160+O159</f>
        <v>740.5345</v>
      </c>
      <c r="P160" s="26" t="n">
        <f aca="false">O160+P159</f>
        <v>907.6775</v>
      </c>
      <c r="Q160" s="26" t="n">
        <f aca="false">P160+Q159</f>
        <v>1095.50675</v>
      </c>
      <c r="R160" s="26" t="n">
        <f aca="false">Q160+R159</f>
        <v>1304.14575</v>
      </c>
      <c r="S160" s="26" t="n">
        <f aca="false">R160+S159</f>
        <v>1532.73</v>
      </c>
      <c r="T160" s="26" t="n">
        <f aca="false">S160+T159</f>
        <v>1779.46875</v>
      </c>
      <c r="U160" s="26" t="n">
        <f aca="false">T160+U159</f>
        <v>2039.175</v>
      </c>
      <c r="V160" s="26" t="n">
        <f aca="false">U160+V159</f>
        <v>2306.29125</v>
      </c>
      <c r="W160" s="26" t="n">
        <f aca="false">V160+W159</f>
        <v>2576.18625</v>
      </c>
      <c r="X160" s="26" t="n">
        <f aca="false">W160+X159</f>
        <v>2846.08125</v>
      </c>
      <c r="Y160" s="26" t="n">
        <f aca="false">X160+Y159</f>
        <v>3115.97625</v>
      </c>
    </row>
    <row r="161" customFormat="false" ht="15" hidden="false" customHeight="false" outlineLevel="0" collapsed="false">
      <c r="A161" s="5" t="s">
        <v>207</v>
      </c>
      <c r="B161" s="2"/>
      <c r="C161" s="2"/>
      <c r="D161" s="2"/>
      <c r="E161" s="2"/>
      <c r="F161" s="2"/>
      <c r="G161" s="2"/>
      <c r="H161" s="23" t="n">
        <f aca="false">SUMPRODUCT(H48:H67,$D$48:$D$67)*$C$13</f>
        <v>508725</v>
      </c>
      <c r="I161" s="23" t="n">
        <f aca="false">SUMPRODUCT(I48:I67,$D$48:$D$67)*$C$13</f>
        <v>532950</v>
      </c>
      <c r="J161" s="23" t="n">
        <f aca="false">SUMPRODUCT(J48:J67,$D$48:$D$67)*$C$13</f>
        <v>557175</v>
      </c>
      <c r="K161" s="23" t="n">
        <f aca="false">SUMPRODUCT(K48:K67,$D$48:$D$67)*$C$13</f>
        <v>581400</v>
      </c>
      <c r="L161" s="23" t="n">
        <f aca="false">SUMPRODUCT(L48:L67,$D$48:$D$67)*$C$13</f>
        <v>677433.6</v>
      </c>
      <c r="M161" s="23" t="n">
        <f aca="false">SUMPRODUCT(M48:M67,$D$48:$D$67)*$C$13</f>
        <v>869500.8</v>
      </c>
      <c r="N161" s="23" t="n">
        <f aca="false">SUMPRODUCT(N48:N67,$D$48:$D$67)*$C$13</f>
        <v>1093579.2</v>
      </c>
      <c r="O161" s="23" t="n">
        <f aca="false">SUMPRODUCT(O48:O67,$D$48:$D$67)*$C$13</f>
        <v>1304319.6</v>
      </c>
      <c r="P161" s="23" t="n">
        <f aca="false">SUMPRODUCT(P48:P67,$D$48:$D$67)*$C$13</f>
        <v>1496386.8</v>
      </c>
      <c r="Q161" s="23" t="n">
        <f aca="false">SUMPRODUCT(Q48:Q67,$D$48:$D$67)*$C$13</f>
        <v>1653330.6</v>
      </c>
      <c r="R161" s="23" t="n">
        <f aca="false">SUMPRODUCT(R48:R67,$D$48:$D$67)*$C$13</f>
        <v>1795658.175</v>
      </c>
      <c r="S161" s="23" t="n">
        <f aca="false">SUMPRODUCT(S48:S67,$D$48:$D$67)*$C$13</f>
        <v>1924258.725</v>
      </c>
      <c r="T161" s="23" t="n">
        <f aca="false">SUMPRODUCT(T48:T67,$D$48:$D$67)*$C$13</f>
        <v>2033713.6875</v>
      </c>
      <c r="U161" s="23" t="n">
        <f aca="false">SUMPRODUCT(U48:U67,$D$48:$D$67)*$C$13</f>
        <v>2109573.5625</v>
      </c>
      <c r="V161" s="23" t="n">
        <f aca="false">SUMPRODUCT(V48:V67,$D$48:$D$67)*$C$13</f>
        <v>2152922.0625</v>
      </c>
      <c r="W161" s="23" t="n">
        <f aca="false">SUMPRODUCT(W48:W67,$D$48:$D$67)*$C$13</f>
        <v>2169177.75</v>
      </c>
      <c r="X161" s="23" t="n">
        <f aca="false">SUMPRODUCT(X48:X67,$D$48:$D$67)*$C$13</f>
        <v>2169177.75</v>
      </c>
      <c r="Y161" s="23" t="n">
        <f aca="false">SUMPRODUCT(Y48:Y67,$D$48:$D$67)*$C$13</f>
        <v>2169177.75</v>
      </c>
    </row>
    <row r="162" customFormat="false" ht="15" hidden="false" customHeight="false" outlineLevel="0" collapsed="false">
      <c r="A162" s="5" t="s">
        <v>208</v>
      </c>
      <c r="B162" s="2"/>
      <c r="C162" s="2"/>
      <c r="D162" s="2"/>
      <c r="E162" s="2"/>
      <c r="F162" s="2"/>
      <c r="G162" s="2"/>
      <c r="H162" s="23" t="n">
        <f aca="false">SUM(H70:H89)</f>
        <v>161520.1875</v>
      </c>
      <c r="I162" s="23" t="n">
        <f aca="false">SUM(I70:I89)</f>
        <v>169211.625</v>
      </c>
      <c r="J162" s="23" t="n">
        <f aca="false">SUM(J70:J89)</f>
        <v>176903.0625</v>
      </c>
      <c r="K162" s="23" t="n">
        <f aca="false">SUM(K70:K89)</f>
        <v>184594.5</v>
      </c>
      <c r="L162" s="23" t="n">
        <f aca="false">SUM(L70:L89)</f>
        <v>215085.168</v>
      </c>
      <c r="M162" s="23" t="n">
        <f aca="false">SUM(M70:M89)</f>
        <v>276066.504</v>
      </c>
      <c r="N162" s="23" t="n">
        <f aca="false">SUM(N70:N89)</f>
        <v>347211.396</v>
      </c>
      <c r="O162" s="23" t="n">
        <f aca="false">SUM(O70:O89)</f>
        <v>414121.473</v>
      </c>
      <c r="P162" s="23" t="n">
        <f aca="false">SUM(P70:P89)</f>
        <v>475102.809</v>
      </c>
      <c r="Q162" s="23" t="n">
        <f aca="false">SUM(Q70:Q89)</f>
        <v>524932.4655</v>
      </c>
      <c r="R162" s="23" t="n">
        <f aca="false">SUM(R70:R89)</f>
        <v>574400.019</v>
      </c>
      <c r="S162" s="23" t="n">
        <f aca="false">SUM(S70:S89)</f>
        <v>611787.7905</v>
      </c>
      <c r="T162" s="23" t="n">
        <f aca="false">SUM(T70:T89)</f>
        <v>636662.295</v>
      </c>
      <c r="U162" s="23" t="n">
        <f aca="false">SUM(U70:U89)</f>
        <v>642731.085</v>
      </c>
      <c r="V162" s="23" t="n">
        <f aca="false">SUM(V70:V89)</f>
        <v>646198.965</v>
      </c>
      <c r="W162" s="23" t="n">
        <f aca="false">SUM(W70:W89)</f>
        <v>647499.42</v>
      </c>
      <c r="X162" s="23" t="n">
        <f aca="false">SUM(X70:X89)</f>
        <v>647499.42</v>
      </c>
      <c r="Y162" s="23" t="n">
        <f aca="false">SUM(Y70:Y89)</f>
        <v>647499.42</v>
      </c>
    </row>
    <row r="163" customFormat="false" ht="15" hidden="false" customHeight="false" outlineLevel="0" collapsed="false">
      <c r="A163" s="5" t="s">
        <v>209</v>
      </c>
      <c r="B163" s="2"/>
      <c r="C163" s="2"/>
      <c r="D163" s="2"/>
      <c r="E163" s="2"/>
      <c r="F163" s="2"/>
      <c r="G163" s="2"/>
      <c r="H163" s="28" t="n">
        <f aca="false">IF(H161=0,0,H162/H161)</f>
        <v>0.3175</v>
      </c>
      <c r="I163" s="28" t="n">
        <f aca="false">IF(I161=0,0,I162/I161)</f>
        <v>0.3175</v>
      </c>
      <c r="J163" s="28" t="n">
        <f aca="false">IF(J161=0,0,J162/J161)</f>
        <v>0.3175</v>
      </c>
      <c r="K163" s="28" t="n">
        <f aca="false">IF(K161=0,0,K162/K161)</f>
        <v>0.3175</v>
      </c>
      <c r="L163" s="28" t="n">
        <f aca="false">IF(L161=0,0,L162/L161)</f>
        <v>0.3175</v>
      </c>
      <c r="M163" s="28" t="n">
        <f aca="false">IF(M161=0,0,M162/M161)</f>
        <v>0.3175</v>
      </c>
      <c r="N163" s="28" t="n">
        <f aca="false">IF(N161=0,0,N162/N161)</f>
        <v>0.3175</v>
      </c>
      <c r="O163" s="28" t="n">
        <f aca="false">IF(O161=0,0,O162/O161)</f>
        <v>0.3175</v>
      </c>
      <c r="P163" s="28" t="n">
        <f aca="false">IF(P161=0,0,P162/P161)</f>
        <v>0.3175</v>
      </c>
      <c r="Q163" s="28" t="n">
        <f aca="false">IF(Q161=0,0,Q162/Q161)</f>
        <v>0.3175</v>
      </c>
      <c r="R163" s="28" t="n">
        <f aca="false">IF(R161=0,0,R162/R161)</f>
        <v>0.319882718769679</v>
      </c>
      <c r="S163" s="28" t="n">
        <f aca="false">IF(S161=0,0,S162/S161)</f>
        <v>0.317934268688323</v>
      </c>
      <c r="T163" s="28" t="n">
        <f aca="false">IF(T161=0,0,T162/T161)</f>
        <v>0.313054044388439</v>
      </c>
      <c r="U163" s="28" t="n">
        <f aca="false">IF(U161=0,0,U162/U161)</f>
        <v>0.304673464071249</v>
      </c>
      <c r="V163" s="28" t="n">
        <f aca="false">IF(V161=0,0,V162/V161)</f>
        <v>0.300149724997302</v>
      </c>
      <c r="W163" s="28" t="n">
        <f aca="false">IF(W161=0,0,W162/W161)</f>
        <v>0.298499936208547</v>
      </c>
      <c r="X163" s="28" t="n">
        <f aca="false">IF(X161=0,0,X162/X161)</f>
        <v>0.298499936208547</v>
      </c>
      <c r="Y163" s="28" t="n">
        <f aca="false">IF(Y161=0,0,Y162/Y161)</f>
        <v>0.298499936208547</v>
      </c>
    </row>
    <row r="164" customFormat="false" ht="15" hidden="false" customHeight="false" outlineLevel="0" collapsed="false">
      <c r="A164" s="5" t="s">
        <v>210</v>
      </c>
      <c r="B164" s="2"/>
      <c r="C164" s="2"/>
      <c r="D164" s="2"/>
      <c r="E164" s="2"/>
      <c r="F164" s="2"/>
      <c r="G164" s="2"/>
      <c r="H164" s="23" t="n">
        <f aca="false">SUM(H92:H111)</f>
        <v>89775</v>
      </c>
      <c r="I164" s="23" t="n">
        <f aca="false">SUM(I92:I111)</f>
        <v>94050</v>
      </c>
      <c r="J164" s="23" t="n">
        <f aca="false">SUM(J92:J111)</f>
        <v>98325</v>
      </c>
      <c r="K164" s="23" t="n">
        <f aca="false">SUM(K92:K111)</f>
        <v>102600</v>
      </c>
      <c r="L164" s="23" t="n">
        <f aca="false">SUM(L92:L111)</f>
        <v>114604.2</v>
      </c>
      <c r="M164" s="23" t="n">
        <f aca="false">SUM(M92:M111)</f>
        <v>138612.6</v>
      </c>
      <c r="N164" s="23" t="n">
        <f aca="false">SUM(N92:N111)</f>
        <v>166622.4</v>
      </c>
      <c r="O164" s="23" t="n">
        <f aca="false">SUM(O92:O111)</f>
        <v>195132.375</v>
      </c>
      <c r="P164" s="23" t="n">
        <f aca="false">SUM(P92:P111)</f>
        <v>225643.05</v>
      </c>
      <c r="Q164" s="23" t="n">
        <f aca="false">SUM(Q92:Q111)</f>
        <v>225395.1</v>
      </c>
      <c r="R164" s="23" t="n">
        <f aca="false">SUM(R92:R111)</f>
        <v>245920.8</v>
      </c>
      <c r="S164" s="23" t="n">
        <f aca="false">SUM(S92:S111)</f>
        <v>260963.1</v>
      </c>
      <c r="T164" s="23" t="n">
        <f aca="false">SUM(T92:T111)</f>
        <v>270151.5</v>
      </c>
      <c r="U164" s="23" t="n">
        <f aca="false">SUM(U92:U111)</f>
        <v>275338.5</v>
      </c>
      <c r="V164" s="23" t="n">
        <f aca="false">SUM(V92:V111)</f>
        <v>278302.5</v>
      </c>
      <c r="W164" s="23" t="n">
        <f aca="false">SUM(W92:W111)</f>
        <v>279414</v>
      </c>
      <c r="X164" s="23" t="n">
        <f aca="false">SUM(X92:X111)</f>
        <v>279414</v>
      </c>
      <c r="Y164" s="23" t="n">
        <f aca="false">SUM(Y92:Y111)</f>
        <v>279414</v>
      </c>
    </row>
    <row r="165" customFormat="false" ht="15" hidden="false" customHeight="false" outlineLevel="0" collapsed="false">
      <c r="A165" s="5" t="s">
        <v>211</v>
      </c>
      <c r="B165" s="2"/>
      <c r="C165" s="2"/>
      <c r="D165" s="2"/>
      <c r="E165" s="2"/>
      <c r="F165" s="2"/>
      <c r="G165" s="2"/>
      <c r="H165" s="23" t="n">
        <f aca="false">H162-H164</f>
        <v>71745.1875</v>
      </c>
      <c r="I165" s="23" t="n">
        <f aca="false">I162-I164</f>
        <v>75161.625</v>
      </c>
      <c r="J165" s="23" t="n">
        <f aca="false">J162-J164</f>
        <v>78578.0625</v>
      </c>
      <c r="K165" s="23" t="n">
        <f aca="false">K162-K164</f>
        <v>81994.5</v>
      </c>
      <c r="L165" s="23" t="n">
        <f aca="false">L162-L164</f>
        <v>100480.968</v>
      </c>
      <c r="M165" s="23" t="n">
        <f aca="false">M162-M164</f>
        <v>137453.904</v>
      </c>
      <c r="N165" s="23" t="n">
        <f aca="false">N162-N164</f>
        <v>180588.996</v>
      </c>
      <c r="O165" s="23" t="n">
        <f aca="false">O162-O164</f>
        <v>218989.098</v>
      </c>
      <c r="P165" s="23" t="n">
        <f aca="false">P162-P164</f>
        <v>249459.759</v>
      </c>
      <c r="Q165" s="23" t="n">
        <f aca="false">Q162-Q164</f>
        <v>299537.3655</v>
      </c>
      <c r="R165" s="23" t="n">
        <f aca="false">R162-R164</f>
        <v>328479.219</v>
      </c>
      <c r="S165" s="23" t="n">
        <f aca="false">S162-S164</f>
        <v>350824.6905</v>
      </c>
      <c r="T165" s="23" t="n">
        <f aca="false">T162-T164</f>
        <v>366510.795</v>
      </c>
      <c r="U165" s="23" t="n">
        <f aca="false">U162-U164</f>
        <v>367392.585</v>
      </c>
      <c r="V165" s="23" t="n">
        <f aca="false">V162-V164</f>
        <v>367896.465</v>
      </c>
      <c r="W165" s="23" t="n">
        <f aca="false">W162-W164</f>
        <v>368085.42</v>
      </c>
      <c r="X165" s="23" t="n">
        <f aca="false">X162-X164</f>
        <v>368085.42</v>
      </c>
      <c r="Y165" s="23" t="n">
        <f aca="false">Y162-Y164</f>
        <v>368085.42</v>
      </c>
    </row>
    <row r="166" customFormat="false" ht="15" hidden="false" customHeight="false" outlineLevel="0" collapsed="false">
      <c r="A166" s="5" t="s">
        <v>212</v>
      </c>
      <c r="B166" s="2"/>
      <c r="C166" s="2"/>
      <c r="D166" s="2"/>
      <c r="E166" s="2"/>
      <c r="F166" s="2"/>
      <c r="G166" s="2"/>
      <c r="H166" s="23" t="n">
        <f aca="false">IF(H159=0,0,H165/H159)</f>
        <v>1078.875</v>
      </c>
      <c r="I166" s="23" t="n">
        <f aca="false">IF(I159=0,0,I165/I159)</f>
        <v>1078.875</v>
      </c>
      <c r="J166" s="23" t="n">
        <f aca="false">IF(J159=0,0,J165/J159)</f>
        <v>1078.875</v>
      </c>
      <c r="K166" s="23" t="n">
        <f aca="false">IF(K159=0,0,K165/K159)</f>
        <v>1078.875</v>
      </c>
      <c r="L166" s="23" t="n">
        <f aca="false">IF(L159=0,0,L165/L159)</f>
        <v>1183.63294538944</v>
      </c>
      <c r="M166" s="23" t="n">
        <f aca="false">IF(M159=0,0,M165/M159)</f>
        <v>1338.71502590674</v>
      </c>
      <c r="N166" s="23" t="n">
        <f aca="false">IF(N159=0,0,N165/N159)</f>
        <v>1463.15948275862</v>
      </c>
      <c r="O166" s="23" t="n">
        <f aca="false">IF(O159=0,0,O165/O159)</f>
        <v>1515.04988498193</v>
      </c>
      <c r="P166" s="23" t="n">
        <f aca="false">IF(P159=0,0,P165/P159)</f>
        <v>1492.49300898034</v>
      </c>
      <c r="Q166" s="23" t="n">
        <f aca="false">IF(Q159=0,0,Q165/Q159)</f>
        <v>1594.73226614066</v>
      </c>
      <c r="R166" s="23" t="n">
        <f aca="false">IF(R159=0,0,R165/R159)</f>
        <v>1574.39030574341</v>
      </c>
      <c r="S166" s="23" t="n">
        <f aca="false">IF(S159=0,0,S165/S159)</f>
        <v>1534.77192982456</v>
      </c>
      <c r="T166" s="23" t="n">
        <f aca="false">IF(T159=0,0,T165/T159)</f>
        <v>1485.42049029591</v>
      </c>
      <c r="U166" s="23" t="n">
        <f aca="false">IF(U159=0,0,U165/U159)</f>
        <v>1414.64668255</v>
      </c>
      <c r="V166" s="23" t="n">
        <f aca="false">IF(V159=0,0,V165/V159)</f>
        <v>1377.28971936376</v>
      </c>
      <c r="W166" s="23" t="n">
        <f aca="false">IF(W159=0,0,W165/W159)</f>
        <v>1363.80970377369</v>
      </c>
      <c r="X166" s="23" t="n">
        <f aca="false">IF(X159=0,0,X165/X159)</f>
        <v>1363.80970377369</v>
      </c>
      <c r="Y166" s="23" t="n">
        <f aca="false">IF(Y159=0,0,Y165/Y159)</f>
        <v>1363.80970377369</v>
      </c>
    </row>
    <row r="167" customFormat="false" ht="15" hidden="false" customHeight="false" outlineLevel="0" collapsed="false">
      <c r="A167" s="5" t="s">
        <v>213</v>
      </c>
      <c r="B167" s="2"/>
      <c r="C167" s="2"/>
      <c r="D167" s="2"/>
      <c r="E167" s="2"/>
      <c r="F167" s="2"/>
      <c r="G167" s="2"/>
      <c r="H167" s="23" t="n">
        <f aca="false">($C$17+IF(H$45&gt;=$C$19,$C$18,0)+$C$20*((H$45&gt;=$C$21+$C$15)+(H$45&gt;=$C$22+$C$15)+(H$45&gt;=$C$23+$C$15)*(H$45&lt;$C$40)))*$C$16</f>
        <v>414000</v>
      </c>
      <c r="I167" s="23" t="n">
        <f aca="false">($C$17+IF(I$45&gt;=$C$19,$C$18,0)+$C$20*((I$45&gt;=$C$21+$C$15)+(I$45&gt;=$C$22+$C$15)+(I$45&gt;=$C$23+$C$15)*(I$45&lt;$C$40)))*$C$16</f>
        <v>460000</v>
      </c>
      <c r="J167" s="23" t="n">
        <f aca="false">($C$17+IF(J$45&gt;=$C$19,$C$18,0)+$C$20*((J$45&gt;=$C$21+$C$15)+(J$45&gt;=$C$22+$C$15)+(J$45&gt;=$C$23+$C$15)*(J$45&lt;$C$40)))*$C$16</f>
        <v>460000</v>
      </c>
      <c r="K167" s="23" t="n">
        <f aca="false">($C$17+IF(K$45&gt;=$C$19,$C$18,0)+$C$20*((K$45&gt;=$C$21+$C$15)+(K$45&gt;=$C$22+$C$15)+(K$45&gt;=$C$23+$C$15)*(K$45&lt;$C$40)))*$C$16</f>
        <v>517500</v>
      </c>
      <c r="L167" s="23" t="n">
        <f aca="false">($C$17+IF(L$45&gt;=$C$19,$C$18,0)+$C$20*((L$45&gt;=$C$21+$C$15)+(L$45&gt;=$C$22+$C$15)+(L$45&gt;=$C$23+$C$15)*(L$45&lt;$C$40)))*$C$16</f>
        <v>517500</v>
      </c>
      <c r="M167" s="23" t="n">
        <f aca="false">($C$17+IF(M$45&gt;=$C$19,$C$18,0)+$C$20*((M$45&gt;=$C$21+$C$15)+(M$45&gt;=$C$22+$C$15)+(M$45&gt;=$C$23+$C$15)*(M$45&lt;$C$40)))*$C$16</f>
        <v>517500</v>
      </c>
      <c r="N167" s="23" t="n">
        <f aca="false">($C$17+IF(N$45&gt;=$C$19,$C$18,0)+$C$20*((N$45&gt;=$C$21+$C$15)+(N$45&gt;=$C$22+$C$15)+(N$45&gt;=$C$23+$C$15)*(N$45&lt;$C$40)))*$C$16</f>
        <v>575000</v>
      </c>
      <c r="O167" s="23" t="n">
        <f aca="false">($C$17+IF(O$45&gt;=$C$19,$C$18,0)+$C$20*((O$45&gt;=$C$21+$C$15)+(O$45&gt;=$C$22+$C$15)+(O$45&gt;=$C$23+$C$15)*(O$45&lt;$C$40)))*$C$16</f>
        <v>575000</v>
      </c>
      <c r="P167" s="23" t="n">
        <f aca="false">($C$17+IF(P$45&gt;=$C$19,$C$18,0)+$C$20*((P$45&gt;=$C$21+$C$15)+(P$45&gt;=$C$22+$C$15)+(P$45&gt;=$C$23+$C$15)*(P$45&lt;$C$40)))*$C$16</f>
        <v>575000</v>
      </c>
      <c r="Q167" s="23" t="n">
        <f aca="false">($C$17+IF(Q$45&gt;=$C$19,$C$18,0)+$C$20*((Q$45&gt;=$C$21+$C$15)+(Q$45&gt;=$C$22+$C$15)+(Q$45&gt;=$C$23+$C$15)*(Q$45&lt;$C$40)))*$C$16</f>
        <v>575000</v>
      </c>
      <c r="R167" s="23" t="n">
        <f aca="false">($C$17+IF(R$45&gt;=$C$19,$C$18,0)+$C$20*((R$45&gt;=$C$21+$C$15)+(R$45&gt;=$C$22+$C$15)+(R$45&gt;=$C$23+$C$15)*(R$45&lt;$C$40)))*$C$16</f>
        <v>575000</v>
      </c>
      <c r="S167" s="23" t="n">
        <f aca="false">($C$17+IF(S$45&gt;=$C$19,$C$18,0)+$C$20*((S$45&gt;=$C$21+$C$15)+(S$45&gt;=$C$22+$C$15)+(S$45&gt;=$C$23+$C$15)*(S$45&lt;$C$40)))*$C$16</f>
        <v>575000</v>
      </c>
      <c r="T167" s="23" t="n">
        <f aca="false">($C$17+IF(T$45&gt;=$C$19,$C$18,0)+$C$20*((T$45&gt;=$C$21+$C$15)+(T$45&gt;=$C$22+$C$15)+(T$45&gt;=$C$23+$C$15)*(T$45&lt;$C$40)))*$C$16</f>
        <v>575000</v>
      </c>
      <c r="U167" s="23" t="n">
        <f aca="false">($C$17+IF(U$45&gt;=$C$19,$C$18,0)+$C$20*((U$45&gt;=$C$21+$C$15)+(U$45&gt;=$C$22+$C$15)+(U$45&gt;=$C$23+$C$15)*(U$45&lt;$C$40)))*$C$16</f>
        <v>575000</v>
      </c>
      <c r="V167" s="23" t="n">
        <f aca="false">($C$17+IF(V$45&gt;=$C$19,$C$18,0)+$C$20*((V$45&gt;=$C$21+$C$15)+(V$45&gt;=$C$22+$C$15)+(V$45&gt;=$C$23+$C$15)*(V$45&lt;$C$40)))*$C$16</f>
        <v>575000</v>
      </c>
      <c r="W167" s="23" t="n">
        <f aca="false">($C$17+IF(W$45&gt;=$C$19,$C$18,0)+$C$20*((W$45&gt;=$C$21+$C$15)+(W$45&gt;=$C$22+$C$15)+(W$45&gt;=$C$23+$C$15)*(W$45&lt;$C$40)))*$C$16</f>
        <v>575000</v>
      </c>
      <c r="X167" s="23" t="n">
        <f aca="false">($C$17+IF(X$45&gt;=$C$19,$C$18,0)+$C$20*((X$45&gt;=$C$21+$C$15)+(X$45&gt;=$C$22+$C$15)+(X$45&gt;=$C$23+$C$15)*(X$45&lt;$C$40)))*$C$16</f>
        <v>575000</v>
      </c>
      <c r="Y167" s="23" t="n">
        <f aca="false">($C$17+IF(Y$45&gt;=$C$19,$C$18,0)+$C$20*((Y$45&gt;=$C$21+$C$15)+(Y$45&gt;=$C$22+$C$15)+(Y$45&gt;=$C$23+$C$15)*(Y$45&lt;$C$40)))*$C$16</f>
        <v>575000</v>
      </c>
    </row>
    <row r="168" customFormat="false" ht="15" hidden="false" customHeight="false" outlineLevel="0" collapsed="false">
      <c r="A168" s="5" t="s">
        <v>214</v>
      </c>
      <c r="B168" s="2"/>
      <c r="C168" s="2"/>
      <c r="D168" s="2"/>
      <c r="E168" s="2"/>
      <c r="F168" s="2"/>
      <c r="G168" s="2"/>
      <c r="H168" s="24" t="n">
        <f aca="false">H159*$C$36*(1-H175)/(1-$C$32)</f>
        <v>26.9325</v>
      </c>
      <c r="I168" s="24" t="n">
        <f aca="false">I159*$C$36*(1-I175)/(1-$C$32)</f>
        <v>28.215</v>
      </c>
      <c r="J168" s="24" t="n">
        <f aca="false">J159*$C$36*(1-J175)/(1-$C$32)</f>
        <v>29.4975</v>
      </c>
      <c r="K168" s="24" t="n">
        <f aca="false">K159*$C$36*(1-K175)/(1-$C$32)</f>
        <v>29.3648275862069</v>
      </c>
      <c r="L168" s="24" t="n">
        <f aca="false">L159*$C$36*(1-L175)/(1-$C$32)</f>
        <v>31.2197648275862</v>
      </c>
      <c r="M168" s="24" t="n">
        <f aca="false">M159*$C$36*(1-M175)/(1-$C$32)</f>
        <v>35.8480862068966</v>
      </c>
      <c r="N168" s="24" t="n">
        <f aca="false">N159*$C$36*(1-N175)/(1-$C$32)</f>
        <v>40.79376</v>
      </c>
      <c r="O168" s="24" t="n">
        <f aca="false">O159*$C$36*(1-O175)/(1-$C$32)</f>
        <v>45.0823073275862</v>
      </c>
      <c r="P168" s="24" t="n">
        <f aca="false">P159*$C$36*(1-P175)/(1-$C$32)</f>
        <v>49.0190074137931</v>
      </c>
      <c r="Q168" s="24" t="n">
        <f aca="false">Q159*$C$36*(1-Q175)/(1-$C$32)</f>
        <v>55.0857852155172</v>
      </c>
      <c r="R168" s="24" t="n">
        <f aca="false">R159*$C$36*(1-R175)/(1-$C$32)</f>
        <v>61.1887825862069</v>
      </c>
      <c r="S168" s="24" t="n">
        <f aca="false">S159*$C$36*(1-S175)/(1-$C$32)</f>
        <v>67.0382429741379</v>
      </c>
      <c r="T168" s="24" t="n">
        <f aca="false">T159*$C$36*(1-T175)/(1-$C$32)</f>
        <v>72.362519612069</v>
      </c>
      <c r="U168" s="24" t="n">
        <f aca="false">U159*$C$36*(1-U175)/(1-$C$32)</f>
        <v>76.5520155310387</v>
      </c>
      <c r="V168" s="24" t="n">
        <f aca="false">V159*$C$36*(1-V175)/(1-$C$32)</f>
        <v>79.4271064281534</v>
      </c>
      <c r="W168" s="24" t="n">
        <f aca="false">W159*$C$36*(1-W175)/(1-$C$32)</f>
        <v>81.1346262352256</v>
      </c>
      <c r="X168" s="24" t="n">
        <f aca="false">X159*$C$36*(1-X175)/(1-$C$32)</f>
        <v>81.7885258045977</v>
      </c>
      <c r="Y168" s="24" t="n">
        <f aca="false">Y159*$C$36*(1-Y175)/(1-$C$32)</f>
        <v>82.1336775340091</v>
      </c>
    </row>
    <row r="169" customFormat="false" ht="15" hidden="false" customHeight="false" outlineLevel="0" collapsed="false">
      <c r="A169" s="5" t="s">
        <v>215</v>
      </c>
      <c r="B169" s="2"/>
      <c r="C169" s="2"/>
      <c r="D169" s="2"/>
      <c r="E169" s="2"/>
      <c r="F169" s="2"/>
      <c r="G169" s="2"/>
      <c r="H169" s="23" t="n">
        <f aca="false">H168*$C$35*(1-$C$37)</f>
        <v>8079.75</v>
      </c>
      <c r="I169" s="23" t="n">
        <f aca="false">I168*$C$35*(1-$C$37)</f>
        <v>8464.5</v>
      </c>
      <c r="J169" s="23" t="n">
        <f aca="false">J168*$C$35*(1-$C$37)</f>
        <v>8849.25</v>
      </c>
      <c r="K169" s="23" t="n">
        <f aca="false">K168*$C$35*(1-$C$37)</f>
        <v>8809.44827586207</v>
      </c>
      <c r="L169" s="23" t="n">
        <f aca="false">L168*$C$35*(1-$C$37)</f>
        <v>9365.92944827586</v>
      </c>
      <c r="M169" s="23" t="n">
        <f aca="false">M168*$C$35*(1-$C$37)</f>
        <v>10754.425862069</v>
      </c>
      <c r="N169" s="23" t="n">
        <f aca="false">N168*$C$35*(1-$C$37)</f>
        <v>12238.128</v>
      </c>
      <c r="O169" s="23" t="n">
        <f aca="false">O168*$C$35*(1-$C$37)</f>
        <v>13524.6921982759</v>
      </c>
      <c r="P169" s="23" t="n">
        <f aca="false">P168*$C$35*(1-$C$37)</f>
        <v>14705.7022241379</v>
      </c>
      <c r="Q169" s="23" t="n">
        <f aca="false">Q168*$C$35*(1-$C$37)</f>
        <v>16525.7355646552</v>
      </c>
      <c r="R169" s="23" t="n">
        <f aca="false">R168*$C$35*(1-$C$37)</f>
        <v>18356.6347758621</v>
      </c>
      <c r="S169" s="23" t="n">
        <f aca="false">S168*$C$35*(1-$C$37)</f>
        <v>20111.4728922414</v>
      </c>
      <c r="T169" s="23" t="n">
        <f aca="false">T168*$C$35*(1-$C$37)</f>
        <v>21708.7558836207</v>
      </c>
      <c r="U169" s="23" t="n">
        <f aca="false">U168*$C$35*(1-$C$37)</f>
        <v>22965.6046593116</v>
      </c>
      <c r="V169" s="23" t="n">
        <f aca="false">V168*$C$35*(1-$C$37)</f>
        <v>23828.131928446</v>
      </c>
      <c r="W169" s="23" t="n">
        <f aca="false">W168*$C$35*(1-$C$37)</f>
        <v>24340.3878705677</v>
      </c>
      <c r="X169" s="23" t="n">
        <f aca="false">X168*$C$35*(1-$C$37)</f>
        <v>24536.5577413793</v>
      </c>
      <c r="Y169" s="23" t="n">
        <f aca="false">Y168*$C$35*(1-$C$37)</f>
        <v>24640.1032602027</v>
      </c>
    </row>
    <row r="170" customFormat="false" ht="15" hidden="false" customHeight="false" outlineLevel="0" collapsed="false">
      <c r="A170" s="5" t="s">
        <v>216</v>
      </c>
      <c r="B170" s="2"/>
      <c r="C170" s="2"/>
      <c r="D170" s="2"/>
      <c r="E170" s="2"/>
      <c r="F170" s="2"/>
      <c r="G170" s="2"/>
      <c r="H170" s="23" t="n">
        <f aca="false">H165-H167-H169</f>
        <v>-350334.5625</v>
      </c>
      <c r="I170" s="23" t="n">
        <f aca="false">I165-I167-I169</f>
        <v>-393302.875</v>
      </c>
      <c r="J170" s="23" t="n">
        <f aca="false">J165-J167-J169</f>
        <v>-390271.1875</v>
      </c>
      <c r="K170" s="23" t="n">
        <f aca="false">K165-K167-K169</f>
        <v>-444314.948275862</v>
      </c>
      <c r="L170" s="23" t="n">
        <f aca="false">L165-L167-L169</f>
        <v>-426384.961448276</v>
      </c>
      <c r="M170" s="23" t="n">
        <f aca="false">M165-M167-M169</f>
        <v>-390800.521862069</v>
      </c>
      <c r="N170" s="23" t="n">
        <f aca="false">N165-N167-N169</f>
        <v>-406649.132</v>
      </c>
      <c r="O170" s="23" t="n">
        <f aca="false">O165-O167-O169</f>
        <v>-369535.594198276</v>
      </c>
      <c r="P170" s="23" t="n">
        <f aca="false">P165-P167-P169</f>
        <v>-340245.943224138</v>
      </c>
      <c r="Q170" s="23" t="n">
        <f aca="false">Q165-Q167-Q169</f>
        <v>-291988.370064655</v>
      </c>
      <c r="R170" s="23" t="n">
        <f aca="false">R165-R167-R169</f>
        <v>-264877.415775862</v>
      </c>
      <c r="S170" s="23" t="n">
        <f aca="false">S165-S167-S169</f>
        <v>-244286.782392241</v>
      </c>
      <c r="T170" s="23" t="n">
        <f aca="false">T165-T167-T169</f>
        <v>-230197.960883621</v>
      </c>
      <c r="U170" s="23" t="n">
        <f aca="false">U165-U167-U169</f>
        <v>-230573.019659312</v>
      </c>
      <c r="V170" s="23" t="n">
        <f aca="false">V165-V167-V169</f>
        <v>-230931.666928446</v>
      </c>
      <c r="W170" s="23" t="n">
        <f aca="false">W165-W167-W169</f>
        <v>-231254.967870568</v>
      </c>
      <c r="X170" s="23" t="n">
        <f aca="false">X165-X167-X169</f>
        <v>-231451.137741379</v>
      </c>
      <c r="Y170" s="23" t="n">
        <f aca="false">Y165-Y167-Y169</f>
        <v>-231554.683260203</v>
      </c>
    </row>
    <row r="171" customFormat="false" ht="15" hidden="false" customHeight="false" outlineLevel="0" collapsed="false">
      <c r="A171" s="5" t="s">
        <v>217</v>
      </c>
      <c r="B171" s="2"/>
      <c r="C171" s="2"/>
      <c r="D171" s="2"/>
      <c r="E171" s="2"/>
      <c r="F171" s="2"/>
      <c r="G171" s="2"/>
      <c r="H171" s="23" t="n">
        <f aca="false">SUM(H114:H133)</f>
        <v>240000</v>
      </c>
      <c r="I171" s="23" t="n">
        <f aca="false">SUM(I114:I133)</f>
        <v>0</v>
      </c>
      <c r="J171" s="23" t="n">
        <f aca="false">SUM(J114:J133)</f>
        <v>0</v>
      </c>
      <c r="K171" s="23" t="n">
        <f aca="false">SUM(K114:K133)</f>
        <v>240000</v>
      </c>
      <c r="L171" s="23" t="n">
        <f aca="false">SUM(L114:L133)</f>
        <v>240000</v>
      </c>
      <c r="M171" s="23" t="n">
        <f aca="false">SUM(M114:M133)</f>
        <v>120000</v>
      </c>
      <c r="N171" s="23" t="n">
        <f aca="false">SUM(N114:N133)</f>
        <v>120000</v>
      </c>
      <c r="O171" s="23" t="n">
        <f aca="false">SUM(O114:O133)</f>
        <v>240000</v>
      </c>
      <c r="P171" s="23" t="n">
        <f aca="false">SUM(P114:P133)</f>
        <v>120000</v>
      </c>
      <c r="Q171" s="23" t="n">
        <f aca="false">SUM(Q114:Q133)</f>
        <v>70000</v>
      </c>
      <c r="R171" s="23" t="n">
        <f aca="false">SUM(R114:R133)</f>
        <v>70000</v>
      </c>
      <c r="S171" s="23" t="n">
        <f aca="false">SUM(S114:S133)</f>
        <v>70000</v>
      </c>
      <c r="T171" s="23" t="n">
        <f aca="false">SUM(T114:T133)</f>
        <v>0</v>
      </c>
      <c r="U171" s="23" t="n">
        <f aca="false">SUM(U114:U133)</f>
        <v>0</v>
      </c>
      <c r="V171" s="23" t="n">
        <f aca="false">SUM(V114:V133)</f>
        <v>0</v>
      </c>
      <c r="W171" s="23" t="n">
        <f aca="false">SUM(W114:W133)</f>
        <v>0</v>
      </c>
      <c r="X171" s="23" t="n">
        <f aca="false">SUM(X114:X133)</f>
        <v>0</v>
      </c>
      <c r="Y171" s="23" t="n">
        <f aca="false">SUM(Y114:Y133)</f>
        <v>0</v>
      </c>
    </row>
    <row r="172" customFormat="false" ht="15" hidden="false" customHeight="false" outlineLevel="0" collapsed="false">
      <c r="A172" s="5" t="s">
        <v>218</v>
      </c>
      <c r="B172" s="2"/>
      <c r="C172" s="2"/>
      <c r="D172" s="2"/>
      <c r="E172" s="2"/>
      <c r="F172" s="2"/>
      <c r="G172" s="2"/>
      <c r="H172" s="23" t="n">
        <f aca="false">H170-H171</f>
        <v>-590334.5625</v>
      </c>
      <c r="I172" s="23" t="n">
        <f aca="false">I170-I171</f>
        <v>-393302.875</v>
      </c>
      <c r="J172" s="23" t="n">
        <f aca="false">J170-J171</f>
        <v>-390271.1875</v>
      </c>
      <c r="K172" s="23" t="n">
        <f aca="false">K170-K171</f>
        <v>-684314.948275862</v>
      </c>
      <c r="L172" s="23" t="n">
        <f aca="false">L170-L171</f>
        <v>-666384.961448276</v>
      </c>
      <c r="M172" s="23" t="n">
        <f aca="false">M170-M171</f>
        <v>-510800.521862069</v>
      </c>
      <c r="N172" s="23" t="n">
        <f aca="false">N170-N171</f>
        <v>-526649.132</v>
      </c>
      <c r="O172" s="23" t="n">
        <f aca="false">O170-O171</f>
        <v>-609535.594198276</v>
      </c>
      <c r="P172" s="23" t="n">
        <f aca="false">P170-P171</f>
        <v>-460245.943224138</v>
      </c>
      <c r="Q172" s="23" t="n">
        <f aca="false">Q170-Q171</f>
        <v>-361988.370064655</v>
      </c>
      <c r="R172" s="23" t="n">
        <f aca="false">R170-R171</f>
        <v>-334877.415775862</v>
      </c>
      <c r="S172" s="23" t="n">
        <f aca="false">S170-S171</f>
        <v>-314286.782392241</v>
      </c>
      <c r="T172" s="23" t="n">
        <f aca="false">T170-T171</f>
        <v>-230197.960883621</v>
      </c>
      <c r="U172" s="23" t="n">
        <f aca="false">U170-U171</f>
        <v>-230573.019659312</v>
      </c>
      <c r="V172" s="23" t="n">
        <f aca="false">V170-V171</f>
        <v>-230931.666928446</v>
      </c>
      <c r="W172" s="23" t="n">
        <f aca="false">W170-W171</f>
        <v>-231254.967870568</v>
      </c>
      <c r="X172" s="23" t="n">
        <f aca="false">X170-X171</f>
        <v>-231451.137741379</v>
      </c>
      <c r="Y172" s="23" t="n">
        <f aca="false">Y170-Y171</f>
        <v>-231554.683260203</v>
      </c>
    </row>
    <row r="173" customFormat="false" ht="15" hidden="false" customHeight="false" outlineLevel="0" collapsed="false">
      <c r="A173" s="5" t="s">
        <v>219</v>
      </c>
      <c r="B173" s="2"/>
      <c r="C173" s="2"/>
      <c r="D173" s="2"/>
      <c r="E173" s="2"/>
      <c r="F173" s="2"/>
      <c r="G173" s="2"/>
      <c r="H173" s="23" t="n">
        <f aca="false">$C$33+H172</f>
        <v>11409665.4375</v>
      </c>
      <c r="I173" s="23" t="n">
        <f aca="false">H173+I172</f>
        <v>11016362.5625</v>
      </c>
      <c r="J173" s="23" t="n">
        <f aca="false">I173+J172</f>
        <v>10626091.375</v>
      </c>
      <c r="K173" s="23" t="n">
        <f aca="false">J173+K172</f>
        <v>9941776.42672414</v>
      </c>
      <c r="L173" s="23" t="n">
        <f aca="false">K173+L172</f>
        <v>9275391.46527586</v>
      </c>
      <c r="M173" s="23" t="n">
        <f aca="false">L173+M172</f>
        <v>8764590.94341379</v>
      </c>
      <c r="N173" s="23" t="n">
        <f aca="false">M173+N172</f>
        <v>8237941.81141379</v>
      </c>
      <c r="O173" s="23" t="n">
        <f aca="false">N173+O172</f>
        <v>7628406.21721552</v>
      </c>
      <c r="P173" s="23" t="n">
        <f aca="false">O173+P172</f>
        <v>7168160.27399138</v>
      </c>
      <c r="Q173" s="23" t="n">
        <f aca="false">P173+Q172</f>
        <v>6806171.90392672</v>
      </c>
      <c r="R173" s="23" t="n">
        <f aca="false">Q173+R172</f>
        <v>6471294.48815086</v>
      </c>
      <c r="S173" s="23" t="n">
        <f aca="false">R173+S172</f>
        <v>6157007.70575862</v>
      </c>
      <c r="T173" s="23" t="n">
        <f aca="false">S173+T172</f>
        <v>5926809.744875</v>
      </c>
      <c r="U173" s="23" t="n">
        <f aca="false">T173+U172</f>
        <v>5696236.72521569</v>
      </c>
      <c r="V173" s="23" t="n">
        <f aca="false">U173+V172</f>
        <v>5465305.05828724</v>
      </c>
      <c r="W173" s="23" t="n">
        <f aca="false">V173+W172</f>
        <v>5234050.09041667</v>
      </c>
      <c r="X173" s="23" t="n">
        <f aca="false">W173+X172</f>
        <v>5002598.9526753</v>
      </c>
      <c r="Y173" s="23" t="n">
        <f aca="false">X173+Y172</f>
        <v>4771044.26941509</v>
      </c>
    </row>
    <row r="174" customFormat="false" ht="15" hidden="false" customHeight="false" outlineLevel="0" collapsed="false">
      <c r="A174" s="5" t="s">
        <v>220</v>
      </c>
      <c r="B174" s="2"/>
      <c r="C174" s="2"/>
      <c r="D174" s="2"/>
      <c r="E174" s="2"/>
      <c r="F174" s="2"/>
      <c r="G174" s="2"/>
      <c r="H174" s="28" t="n">
        <f aca="false">IF(H159=0,0,SUM(H136:H155)/H159)</f>
        <v>0.806666666666667</v>
      </c>
      <c r="I174" s="28" t="n">
        <f aca="false">IF(I159=0,0,SUM(I136:I155)/I159)</f>
        <v>0.833333333333333</v>
      </c>
      <c r="J174" s="28" t="n">
        <f aca="false">IF(J159=0,0,SUM(J136:J155)/J159)</f>
        <v>0.86</v>
      </c>
      <c r="K174" s="28" t="n">
        <f aca="false">IF(K159=0,0,SUM(K136:K155)/K159)</f>
        <v>0.886666666666667</v>
      </c>
      <c r="L174" s="28" t="n">
        <f aca="false">IF(L159=0,0,SUM(L136:L155)/L159)</f>
        <v>0.913333333333333</v>
      </c>
      <c r="M174" s="28" t="n">
        <f aca="false">IF(M159=0,0,SUM(M136:M155)/M159)</f>
        <v>0.94</v>
      </c>
      <c r="N174" s="28" t="n">
        <f aca="false">IF(N159=0,0,SUM(N136:N155)/N159)</f>
        <v>0.94</v>
      </c>
      <c r="O174" s="28" t="n">
        <f aca="false">IF(O159=0,0,SUM(O136:O155)/O159)</f>
        <v>0.94</v>
      </c>
      <c r="P174" s="28" t="n">
        <f aca="false">IF(P159=0,0,SUM(P136:P155)/P159)</f>
        <v>0.94</v>
      </c>
      <c r="Q174" s="28" t="n">
        <f aca="false">IF(Q159=0,0,SUM(Q136:Q155)/Q159)</f>
        <v>0.94</v>
      </c>
      <c r="R174" s="28" t="n">
        <f aca="false">IF(R159=0,0,SUM(R136:R155)/R159)</f>
        <v>0.937869046534924</v>
      </c>
      <c r="S174" s="28" t="n">
        <f aca="false">IF(S159=0,0,SUM(S136:S155)/S159)</f>
        <v>0.934164952309706</v>
      </c>
      <c r="T174" s="28" t="n">
        <f aca="false">IF(T159=0,0,SUM(T136:T155)/T159)</f>
        <v>0.929488882471845</v>
      </c>
      <c r="U174" s="28" t="n">
        <f aca="false">IF(U159=0,0,SUM(U136:U155)/U159)</f>
        <v>0.926019204389575</v>
      </c>
      <c r="V174" s="28" t="n">
        <f aca="false">IF(V159=0,0,SUM(V136:V155)/V159)</f>
        <v>0.924187783408909</v>
      </c>
      <c r="W174" s="28" t="n">
        <f aca="false">IF(W159=0,0,SUM(W136:W155)/W159)</f>
        <v>0.923526927138332</v>
      </c>
      <c r="X174" s="28" t="n">
        <f aca="false">IF(X159=0,0,SUM(X136:X155)/X159)</f>
        <v>0.923526927138332</v>
      </c>
      <c r="Y174" s="28" t="n">
        <f aca="false">IF(Y159=0,0,SUM(Y136:Y155)/Y159)</f>
        <v>0.923526927138332</v>
      </c>
    </row>
    <row r="175" customFormat="false" ht="15" hidden="false" customHeight="false" outlineLevel="0" collapsed="false">
      <c r="A175" s="5" t="s">
        <v>221</v>
      </c>
      <c r="B175" s="2"/>
      <c r="C175" s="2"/>
      <c r="D175" s="2"/>
      <c r="E175" s="2"/>
      <c r="F175" s="2"/>
      <c r="G175" s="2"/>
      <c r="H175" s="28" t="n">
        <f aca="false">$C$32</f>
        <v>0.42</v>
      </c>
      <c r="I175" s="28" t="n">
        <f aca="false">$C$32</f>
        <v>0.42</v>
      </c>
      <c r="J175" s="28" t="n">
        <f aca="false">$C$32</f>
        <v>0.42</v>
      </c>
      <c r="K175" s="28" t="n">
        <f aca="false">$C$32+$C$31*(H174-$C$30)</f>
        <v>0.446666666666667</v>
      </c>
      <c r="L175" s="28" t="n">
        <f aca="false">$C$32+$C$31*(I174-$C$30)</f>
        <v>0.473333333333333</v>
      </c>
      <c r="M175" s="28" t="n">
        <f aca="false">$C$32+$C$31*(J174-$C$30)</f>
        <v>0.5</v>
      </c>
      <c r="N175" s="28" t="n">
        <f aca="false">$C$32+$C$31*(K174-$C$30)</f>
        <v>0.526666666666666</v>
      </c>
      <c r="O175" s="28" t="n">
        <f aca="false">$C$32+$C$31*(L174-$C$30)</f>
        <v>0.553333333333334</v>
      </c>
      <c r="P175" s="28" t="n">
        <f aca="false">$C$32+$C$31*(M174-$C$30)</f>
        <v>0.58</v>
      </c>
      <c r="Q175" s="28" t="n">
        <f aca="false">$C$32+$C$31*(N174-$C$30)</f>
        <v>0.58</v>
      </c>
      <c r="R175" s="28" t="n">
        <f aca="false">$C$32+$C$31*(O174-$C$30)</f>
        <v>0.58</v>
      </c>
      <c r="S175" s="28" t="n">
        <f aca="false">$C$32+$C$31*(P174-$C$30)</f>
        <v>0.58</v>
      </c>
      <c r="T175" s="28" t="n">
        <f aca="false">$C$32+$C$31*(Q174-$C$30)</f>
        <v>0.58</v>
      </c>
      <c r="U175" s="28" t="n">
        <f aca="false">$C$32+$C$31*(R174-$C$30)</f>
        <v>0.577869046534924</v>
      </c>
      <c r="V175" s="28" t="n">
        <f aca="false">$C$32+$C$31*(S174-$C$30)</f>
        <v>0.574164952309706</v>
      </c>
      <c r="W175" s="28" t="n">
        <f aca="false">$C$32+$C$31*(T174-$C$30)</f>
        <v>0.569488882471845</v>
      </c>
      <c r="X175" s="28" t="n">
        <f aca="false">$C$32+$C$31*(U174-$C$30)</f>
        <v>0.566019204389575</v>
      </c>
      <c r="Y175" s="28" t="n">
        <f aca="false">$C$32+$C$31*(V174-$C$30)</f>
        <v>0.564187783408909</v>
      </c>
    </row>
    <row r="176" customFormat="false" ht="15" hidden="false" customHeight="false" outlineLevel="0" collapsed="false">
      <c r="A176" s="5" t="s">
        <v>222</v>
      </c>
      <c r="B176" s="2"/>
      <c r="C176" s="2"/>
      <c r="D176" s="2"/>
      <c r="E176" s="2"/>
      <c r="F176" s="2"/>
      <c r="G176" s="2"/>
      <c r="H176" s="26" t="n">
        <f aca="false">IF(H170&gt;=0,H$45,99)</f>
        <v>99</v>
      </c>
      <c r="I176" s="26" t="n">
        <f aca="false">IF(I170&gt;=0,I$45,99)</f>
        <v>99</v>
      </c>
      <c r="J176" s="26" t="n">
        <f aca="false">IF(J170&gt;=0,J$45,99)</f>
        <v>99</v>
      </c>
      <c r="K176" s="26" t="n">
        <f aca="false">IF(K170&gt;=0,K$45,99)</f>
        <v>99</v>
      </c>
      <c r="L176" s="26" t="n">
        <f aca="false">IF(L170&gt;=0,L$45,99)</f>
        <v>99</v>
      </c>
      <c r="M176" s="26" t="n">
        <f aca="false">IF(M170&gt;=0,M$45,99)</f>
        <v>99</v>
      </c>
      <c r="N176" s="26" t="n">
        <f aca="false">IF(N170&gt;=0,N$45,99)</f>
        <v>99</v>
      </c>
      <c r="O176" s="26" t="n">
        <f aca="false">IF(O170&gt;=0,O$45,99)</f>
        <v>99</v>
      </c>
      <c r="P176" s="26" t="n">
        <f aca="false">IF(P170&gt;=0,P$45,99)</f>
        <v>99</v>
      </c>
      <c r="Q176" s="26" t="n">
        <f aca="false">IF(Q170&gt;=0,Q$45,99)</f>
        <v>99</v>
      </c>
      <c r="R176" s="26" t="n">
        <f aca="false">IF(R170&gt;=0,R$45,99)</f>
        <v>99</v>
      </c>
      <c r="S176" s="26" t="n">
        <f aca="false">IF(S170&gt;=0,S$45,99)</f>
        <v>99</v>
      </c>
      <c r="T176" s="26" t="n">
        <f aca="false">IF(T170&gt;=0,T$45,99)</f>
        <v>99</v>
      </c>
      <c r="U176" s="26" t="n">
        <f aca="false">IF(U170&gt;=0,U$45,99)</f>
        <v>99</v>
      </c>
      <c r="V176" s="26" t="n">
        <f aca="false">IF(V170&gt;=0,V$45,99)</f>
        <v>99</v>
      </c>
      <c r="W176" s="26" t="n">
        <f aca="false">IF(W170&gt;=0,W$45,99)</f>
        <v>99</v>
      </c>
      <c r="X176" s="26" t="n">
        <f aca="false">IF(X170&gt;=0,X$45,99)</f>
        <v>99</v>
      </c>
      <c r="Y176" s="26" t="n">
        <f aca="false">IF(Y170&gt;=0,Y$45,99)</f>
        <v>99</v>
      </c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" hidden="false" customHeight="false" outlineLevel="0" collapsed="false">
      <c r="A178" s="37" t="s">
        <v>223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customFormat="false" ht="15" hidden="false" customHeight="false" outlineLevel="0" collapsed="false">
      <c r="A179" s="5" t="s">
        <v>224</v>
      </c>
      <c r="B179" s="2"/>
      <c r="C179" s="5" t="str">
        <f aca="false">IF(MIN(H176:Y176)=99,"Not by M18",MIN(H176:Y176))</f>
        <v>Not by M18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" hidden="false" customHeight="false" outlineLevel="0" collapsed="false">
      <c r="A180" s="5" t="s">
        <v>225</v>
      </c>
      <c r="B180" s="2"/>
      <c r="C180" s="38" t="n">
        <f aca="false">S158</f>
        <v>15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" hidden="false" customHeight="false" outlineLevel="0" collapsed="false">
      <c r="A181" s="5" t="s">
        <v>226</v>
      </c>
      <c r="B181" s="2"/>
      <c r="C181" s="38" t="n">
        <f aca="false">S160</f>
        <v>1532.73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" hidden="false" customHeight="false" outlineLevel="0" collapsed="false">
      <c r="A182" s="5" t="s">
        <v>227</v>
      </c>
      <c r="B182" s="2"/>
      <c r="C182" s="39" t="n">
        <f aca="false">S174</f>
        <v>0.934164952309706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" hidden="false" customHeight="false" outlineLevel="0" collapsed="false">
      <c r="A183" s="5" t="s">
        <v>228</v>
      </c>
      <c r="B183" s="2"/>
      <c r="C183" s="39" t="n">
        <f aca="false">S175</f>
        <v>0.58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" hidden="false" customHeight="false" outlineLevel="0" collapsed="false">
      <c r="A184" s="5" t="s">
        <v>229</v>
      </c>
      <c r="B184" s="2"/>
      <c r="C184" s="40" t="n">
        <f aca="false">S170</f>
        <v>-244286.782392241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" hidden="false" customHeight="false" outlineLevel="0" collapsed="false">
      <c r="A185" s="5" t="s">
        <v>230</v>
      </c>
      <c r="B185" s="2"/>
      <c r="C185" s="40" t="n">
        <f aca="false">Y170</f>
        <v>-231554.683260203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" hidden="false" customHeight="false" outlineLevel="0" collapsed="false">
      <c r="A186" s="5" t="s">
        <v>231</v>
      </c>
      <c r="B186" s="2"/>
      <c r="C186" s="38" t="n">
        <f aca="false">Y159</f>
        <v>269.895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" hidden="false" customHeight="false" outlineLevel="0" collapsed="false">
      <c r="A187" s="5" t="s">
        <v>232</v>
      </c>
      <c r="B187" s="2"/>
      <c r="C187" s="38" t="n">
        <f aca="false">Y160</f>
        <v>3115.97625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" hidden="false" customHeight="false" outlineLevel="0" collapsed="false">
      <c r="A188" s="5" t="s">
        <v>233</v>
      </c>
      <c r="B188" s="2"/>
      <c r="C188" s="40" t="n">
        <f aca="false">Y166</f>
        <v>1363.80970377369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" hidden="false" customHeight="false" outlineLevel="0" collapsed="false">
      <c r="A189" s="5" t="s">
        <v>234</v>
      </c>
      <c r="B189" s="2"/>
      <c r="C189" s="40" t="n">
        <f aca="false">SUM(H169:Y169)</f>
        <v>291805.210584907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" hidden="false" customHeight="false" outlineLevel="0" collapsed="false">
      <c r="A190" s="5" t="s">
        <v>235</v>
      </c>
      <c r="B190" s="2"/>
      <c r="C190" s="40" t="n">
        <f aca="false">S169</f>
        <v>20111.4728922414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" hidden="false" customHeight="false" outlineLevel="0" collapsed="false">
      <c r="A191" s="5" t="s">
        <v>236</v>
      </c>
      <c r="B191" s="2"/>
      <c r="C191" s="38" t="n">
        <f aca="false">S168</f>
        <v>67.0382429741379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" hidden="false" customHeight="false" outlineLevel="0" collapsed="false">
      <c r="A192" s="5" t="s">
        <v>237</v>
      </c>
      <c r="B192" s="2"/>
      <c r="C192" s="40" t="n">
        <f aca="false">$C$33-Y173</f>
        <v>7228955.73058491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" hidden="false" customHeight="false" outlineLevel="0" collapsed="false">
      <c r="A193" s="5" t="s">
        <v>238</v>
      </c>
      <c r="B193" s="2"/>
      <c r="C193" s="40" t="n">
        <f aca="false">MIN(H173:Y173)</f>
        <v>4771044.26941509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" hidden="false" customHeight="false" outlineLevel="0" collapsed="false">
      <c r="A194" s="5" t="s">
        <v>239</v>
      </c>
      <c r="B194" s="2"/>
      <c r="C194" s="40" t="n">
        <f aca="false">SUM(H171:Y171)</f>
        <v>1530000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" hidden="false" customHeight="false" outlineLevel="0" collapsed="false">
      <c r="A195" s="5" t="s">
        <v>240</v>
      </c>
      <c r="B195" s="2"/>
      <c r="C195" s="40" t="n">
        <f aca="false">MIN(H170:Y170)</f>
        <v>-444314.948275862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" hidden="false" customHeight="false" outlineLevel="0" collapsed="false">
      <c r="A196" s="5" t="s">
        <v>241</v>
      </c>
      <c r="B196" s="2"/>
      <c r="C196" s="40" t="n">
        <f aca="false">$C$33-N173</f>
        <v>3762058.18858621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" hidden="false" customHeight="false" outlineLevel="0" collapsed="false">
      <c r="A197" s="5" t="s">
        <v>242</v>
      </c>
      <c r="B197" s="2"/>
      <c r="C197" s="38" t="n">
        <f aca="false">J158</f>
        <v>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" hidden="false" customHeight="false" outlineLevel="0" collapsed="false">
      <c r="A198" s="5" t="s">
        <v>243</v>
      </c>
      <c r="B198" s="2"/>
      <c r="C198" s="38" t="n">
        <f aca="false">J160</f>
        <v>209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" hidden="false" customHeight="false" outlineLevel="0" collapsed="false">
      <c r="A199" s="5" t="s">
        <v>244</v>
      </c>
      <c r="B199" s="2"/>
      <c r="C199" s="39" t="n">
        <f aca="false">J174</f>
        <v>0.86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" hidden="false" customHeight="false" outlineLevel="0" collapsed="false">
      <c r="A200" s="5" t="s">
        <v>245</v>
      </c>
      <c r="B200" s="2"/>
      <c r="C200" s="38" t="n">
        <f aca="false">M158</f>
        <v>8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" hidden="false" customHeight="false" outlineLevel="0" collapsed="false">
      <c r="A201" s="5" t="s">
        <v>246</v>
      </c>
      <c r="B201" s="2"/>
      <c r="C201" s="38" t="n">
        <f aca="false">M160</f>
        <v>472.568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" hidden="false" customHeight="false" outlineLevel="0" collapsed="false">
      <c r="A202" s="5" t="s">
        <v>247</v>
      </c>
      <c r="B202" s="2"/>
      <c r="C202" s="39" t="n">
        <f aca="false">M174</f>
        <v>0.94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" hidden="false" customHeight="false" outlineLevel="0" collapsed="false">
      <c r="A203" s="5" t="s">
        <v>248</v>
      </c>
      <c r="B203" s="2"/>
      <c r="C203" s="39" t="n">
        <f aca="false">M175</f>
        <v>0.5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" hidden="false" customHeight="false" outlineLevel="0" collapsed="false">
      <c r="A204" s="5" t="s">
        <v>249</v>
      </c>
      <c r="B204" s="2"/>
      <c r="C204" s="38" t="n">
        <f aca="false">Y158</f>
        <v>20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" hidden="false" customHeight="false" outlineLevel="0" collapsed="false">
      <c r="A205" s="5" t="s">
        <v>250</v>
      </c>
      <c r="B205" s="2"/>
      <c r="C205" s="39" t="n">
        <f aca="false">Y174</f>
        <v>0.923526927138332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" hidden="false" customHeight="false" outlineLevel="0" collapsed="false">
      <c r="A206" s="5" t="s">
        <v>251</v>
      </c>
      <c r="B206" s="2"/>
      <c r="C206" s="39" t="n">
        <f aca="false">Y175</f>
        <v>0.564187783408909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" hidden="false" customHeight="false" outlineLevel="0" collapsed="false">
      <c r="A207" s="5" t="s">
        <v>252</v>
      </c>
      <c r="B207" s="2"/>
      <c r="C207" s="40" t="n">
        <f aca="false">M170</f>
        <v>-390800.521862069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3.85" hidden="false" customHeight="false" outlineLevel="0" collapsed="false">
      <c r="A3" s="4" t="s">
        <v>257</v>
      </c>
      <c r="B3" s="4" t="s">
        <v>4</v>
      </c>
      <c r="C3" s="4" t="s">
        <v>5</v>
      </c>
      <c r="D3" s="4" t="s">
        <v>6</v>
      </c>
      <c r="E3" s="4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5" hidden="false" customHeight="false" outlineLevel="0" collapsed="false">
      <c r="A4" s="5" t="s">
        <v>224</v>
      </c>
      <c r="B4" s="29" t="n">
        <f aca="false">Monthly_Base!$C$179</f>
        <v>15</v>
      </c>
      <c r="C4" s="29" t="str">
        <f aca="false">Monthly_Downside!$C$179</f>
        <v>Not by M18</v>
      </c>
      <c r="D4" s="29" t="n">
        <f aca="false">Monthly_Upside!$C$179</f>
        <v>10</v>
      </c>
      <c r="E4" s="29" t="str">
        <f aca="false">Monthly_DownResponse!$C$179</f>
        <v>Not by M18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5" hidden="false" customHeight="false" outlineLevel="0" collapsed="false">
      <c r="A5" s="5" t="s">
        <v>225</v>
      </c>
      <c r="B5" s="32" t="n">
        <f aca="false">Monthly_Base!$C$180</f>
        <v>17</v>
      </c>
      <c r="C5" s="32" t="n">
        <f aca="false">Monthly_Downside!$C$180</f>
        <v>15</v>
      </c>
      <c r="D5" s="32" t="n">
        <f aca="false">Monthly_Upside!$C$180</f>
        <v>17</v>
      </c>
      <c r="E5" s="32" t="n">
        <f aca="false">Monthly_DownResponse!$C$180</f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5" hidden="false" customHeight="false" outlineLevel="0" collapsed="false">
      <c r="A6" s="5" t="s">
        <v>226</v>
      </c>
      <c r="B6" s="32" t="n">
        <f aca="false">Monthly_Base!$C$181</f>
        <v>2316.15</v>
      </c>
      <c r="C6" s="32" t="n">
        <f aca="false">Monthly_Downside!$C$181</f>
        <v>1532.73</v>
      </c>
      <c r="D6" s="32" t="n">
        <f aca="false">Monthly_Upside!$C$181</f>
        <v>2559</v>
      </c>
      <c r="E6" s="32" t="n">
        <f aca="false">Monthly_DownResponse!$C$181</f>
        <v>1532.73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5" hidden="false" customHeight="false" outlineLevel="0" collapsed="false">
      <c r="A7" s="5" t="s">
        <v>227</v>
      </c>
      <c r="B7" s="30" t="n">
        <f aca="false">Monthly_Base!$C$182</f>
        <v>0.922626826224213</v>
      </c>
      <c r="C7" s="30" t="n">
        <f aca="false">Monthly_Downside!$C$182</f>
        <v>0.934164952309706</v>
      </c>
      <c r="D7" s="30" t="n">
        <f aca="false">Monthly_Upside!$C$182</f>
        <v>0.921992238033635</v>
      </c>
      <c r="E7" s="30" t="n">
        <f aca="false">Monthly_DownResponse!$C$182</f>
        <v>0.934164952309706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15" hidden="false" customHeight="false" outlineLevel="0" collapsed="false">
      <c r="A8" s="5" t="s">
        <v>228</v>
      </c>
      <c r="B8" s="30" t="n">
        <f aca="false">Monthly_Base!$C$183</f>
        <v>0.577669281742707</v>
      </c>
      <c r="C8" s="30" t="n">
        <f aca="false">Monthly_Downside!$C$183</f>
        <v>0.58</v>
      </c>
      <c r="D8" s="30" t="n">
        <f aca="false">Monthly_Upside!$C$183</f>
        <v>0.577557666214383</v>
      </c>
      <c r="E8" s="30" t="n">
        <f aca="false">Monthly_DownResponse!$C$183</f>
        <v>0.58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customFormat="false" ht="15" hidden="false" customHeight="false" outlineLevel="0" collapsed="false">
      <c r="A9" s="5" t="s">
        <v>229</v>
      </c>
      <c r="B9" s="34" t="n">
        <f aca="false">Monthly_Base!$C$184</f>
        <v>-27693.0886067235</v>
      </c>
      <c r="C9" s="34" t="n">
        <f aca="false">Monthly_Downside!$C$184</f>
        <v>-301786.782392241</v>
      </c>
      <c r="D9" s="34" t="n">
        <f aca="false">Monthly_Upside!$C$184</f>
        <v>38206.9200276051</v>
      </c>
      <c r="E9" s="34" t="n">
        <f aca="false">Monthly_DownResponse!$C$184</f>
        <v>-244286.782392241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15" hidden="false" customHeight="false" outlineLevel="0" collapsed="false">
      <c r="A10" s="5" t="s">
        <v>230</v>
      </c>
      <c r="B10" s="34" t="n">
        <f aca="false">Monthly_Base!$C$185</f>
        <v>14978.7445642002</v>
      </c>
      <c r="C10" s="34" t="n">
        <f aca="false">Monthly_Downside!$C$185</f>
        <v>-264696.487674005</v>
      </c>
      <c r="D10" s="34" t="n">
        <f aca="false">Monthly_Upside!$C$185</f>
        <v>88404.9036187365</v>
      </c>
      <c r="E10" s="34" t="n">
        <f aca="false">Monthly_DownResponse!$C$185</f>
        <v>-231554.683260203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customFormat="false" ht="15" hidden="false" customHeight="false" outlineLevel="0" collapsed="false">
      <c r="A11" s="5" t="s">
        <v>231</v>
      </c>
      <c r="B11" s="32" t="n">
        <f aca="false">Monthly_Base!$C$186</f>
        <v>448.9</v>
      </c>
      <c r="C11" s="32" t="n">
        <f aca="false">Monthly_Downside!$C$186</f>
        <v>338.4375</v>
      </c>
      <c r="D11" s="32" t="n">
        <f aca="false">Monthly_Upside!$C$186</f>
        <v>514</v>
      </c>
      <c r="E11" s="32" t="n">
        <f aca="false">Monthly_DownResponse!$C$186</f>
        <v>269.895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15" hidden="false" customHeight="false" outlineLevel="0" collapsed="false">
      <c r="A12" s="5" t="s">
        <v>233</v>
      </c>
      <c r="B12" s="34" t="n">
        <f aca="false">Monthly_Base!$C$188</f>
        <v>1354.19024281577</v>
      </c>
      <c r="C12" s="34" t="n">
        <f aca="false">Monthly_Downside!$C$188</f>
        <v>1179.3467700831</v>
      </c>
      <c r="D12" s="34" t="n">
        <f aca="false">Monthly_Upside!$C$188</f>
        <v>1337.85992217899</v>
      </c>
      <c r="E12" s="34" t="n">
        <f aca="false">Monthly_DownResponse!$C$188</f>
        <v>1363.80970377369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5" hidden="false" customHeight="false" outlineLevel="0" collapsed="false">
      <c r="A13" s="5" t="s">
        <v>237</v>
      </c>
      <c r="B13" s="34" t="n">
        <f aca="false">Monthly_Base!$C$192</f>
        <v>3861013.73378488</v>
      </c>
      <c r="C13" s="34" t="n">
        <f aca="false">Monthly_Downside!$C$192</f>
        <v>7859921.115345</v>
      </c>
      <c r="D13" s="34" t="n">
        <f aca="false">Monthly_Upside!$C$192</f>
        <v>2996233.80628212</v>
      </c>
      <c r="E13" s="34" t="n">
        <f aca="false">Monthly_DownResponse!$C$192</f>
        <v>7228955.73058491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15" hidden="false" customHeight="false" outlineLevel="0" collapsed="false">
      <c r="A14" s="5" t="s">
        <v>238</v>
      </c>
      <c r="B14" s="34" t="n">
        <f aca="false">Monthly_Base!$C$193</f>
        <v>8090798.99634032</v>
      </c>
      <c r="C14" s="34" t="n">
        <f aca="false">Monthly_Downside!$C$193</f>
        <v>4140078.884655</v>
      </c>
      <c r="D14" s="34" t="n">
        <f aca="false">Monthly_Upside!$C$193</f>
        <v>8600849.89637882</v>
      </c>
      <c r="E14" s="34" t="n">
        <f aca="false">Monthly_DownResponse!$C$193</f>
        <v>4771044.26941509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5" hidden="false" customHeight="false" outlineLevel="0" collapsed="false">
      <c r="A15" s="5" t="s">
        <v>239</v>
      </c>
      <c r="B15" s="34" t="n">
        <f aca="false">Monthly_Base!$C$194</f>
        <v>1710000</v>
      </c>
      <c r="C15" s="34" t="n">
        <f aca="false">Monthly_Downside!$C$194</f>
        <v>1710000</v>
      </c>
      <c r="D15" s="34" t="n">
        <f aca="false">Monthly_Upside!$C$194</f>
        <v>1710000</v>
      </c>
      <c r="E15" s="34" t="n">
        <f aca="false">Monthly_DownResponse!$C$194</f>
        <v>1530000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5" hidden="false" customHeight="false" outlineLevel="0" collapsed="false">
      <c r="A16" s="5" t="s">
        <v>240</v>
      </c>
      <c r="B16" s="34" t="n">
        <f aca="false">Monthly_Base!$C$195</f>
        <v>-360001.666666667</v>
      </c>
      <c r="C16" s="34" t="n">
        <f aca="false">Monthly_Downside!$C$195</f>
        <v>-444314.948275862</v>
      </c>
      <c r="D16" s="34" t="n">
        <f aca="false">Monthly_Upside!$C$195</f>
        <v>-360001.666666667</v>
      </c>
      <c r="E16" s="34" t="n">
        <f aca="false">Monthly_DownResponse!$C$195</f>
        <v>-444314.948275862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5" hidden="false" customHeight="false" outlineLevel="0" collapsed="false">
      <c r="A17" s="5" t="s">
        <v>241</v>
      </c>
      <c r="B17" s="34" t="n">
        <f aca="false">Monthly_Base!$C$196</f>
        <v>3118421.59086207</v>
      </c>
      <c r="C17" s="34" t="n">
        <f aca="false">Monthly_Downside!$C$196</f>
        <v>3762058.18858621</v>
      </c>
      <c r="D17" s="34" t="n">
        <f aca="false">Monthly_Upside!$C$196</f>
        <v>2987057.86551724</v>
      </c>
      <c r="E17" s="34" t="n">
        <f aca="false">Monthly_DownResponse!$C$196</f>
        <v>3762058.18858621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5" hidden="false" customHeight="false" outlineLevel="0" collapsed="false">
      <c r="A18" s="5" t="s">
        <v>234</v>
      </c>
      <c r="B18" s="34" t="n">
        <f aca="false">Monthly_Base!$C$189</f>
        <v>458747.483784877</v>
      </c>
      <c r="C18" s="34" t="n">
        <f aca="false">Monthly_Downside!$C$189</f>
        <v>309188.845345</v>
      </c>
      <c r="D18" s="34" t="n">
        <f aca="false">Monthly_Upside!$C$189</f>
        <v>515233.806282123</v>
      </c>
      <c r="E18" s="34" t="n">
        <f aca="false">Monthly_DownResponse!$C$189</f>
        <v>291805.210584907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15" hidden="false" customHeight="false" outlineLevel="0" collapsed="false">
      <c r="A20" s="5" t="s">
        <v>258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15" hidden="false" customHeight="false" outlineLevel="0" collapsed="false">
      <c r="A21" s="2" t="s">
        <v>259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customFormat="false" ht="15" hidden="false" customHeight="false" outlineLevel="0" collapsed="false">
      <c r="A24" s="5" t="s">
        <v>260</v>
      </c>
      <c r="B24" s="5" t="n">
        <v>1</v>
      </c>
      <c r="C24" s="5" t="n">
        <v>2</v>
      </c>
      <c r="D24" s="5" t="n">
        <v>3</v>
      </c>
      <c r="E24" s="5" t="n">
        <v>4</v>
      </c>
      <c r="F24" s="5" t="n">
        <v>5</v>
      </c>
      <c r="G24" s="5" t="n">
        <v>6</v>
      </c>
      <c r="H24" s="5" t="n">
        <v>7</v>
      </c>
      <c r="I24" s="5" t="n">
        <v>8</v>
      </c>
      <c r="J24" s="5" t="n">
        <v>9</v>
      </c>
      <c r="K24" s="5" t="n">
        <v>10</v>
      </c>
      <c r="L24" s="5" t="n">
        <v>11</v>
      </c>
      <c r="M24" s="5" t="n">
        <v>12</v>
      </c>
      <c r="N24" s="5" t="n">
        <v>13</v>
      </c>
      <c r="O24" s="5" t="n">
        <v>14</v>
      </c>
      <c r="P24" s="5" t="n">
        <v>15</v>
      </c>
      <c r="Q24" s="5" t="n">
        <v>16</v>
      </c>
      <c r="R24" s="5" t="n">
        <v>17</v>
      </c>
      <c r="S24" s="5" t="n">
        <v>18</v>
      </c>
    </row>
    <row r="25" customFormat="false" ht="15" hidden="false" customHeight="false" outlineLevel="0" collapsed="false">
      <c r="A25" s="2" t="s">
        <v>4</v>
      </c>
      <c r="B25" s="34" t="n">
        <f aca="false">Monthly_Base!H170</f>
        <v>-274092.5</v>
      </c>
      <c r="C25" s="34" t="n">
        <f aca="false">Monthly_Base!I170</f>
        <v>-360001.666666667</v>
      </c>
      <c r="D25" s="34" t="n">
        <f aca="false">Monthly_Base!J170</f>
        <v>-327287.593333333</v>
      </c>
      <c r="E25" s="34" t="n">
        <f aca="false">Monthly_Base!K170</f>
        <v>-265298.257931035</v>
      </c>
      <c r="F25" s="34" t="n">
        <f aca="false">Monthly_Base!L170</f>
        <v>-247539.591724138</v>
      </c>
      <c r="G25" s="34" t="n">
        <f aca="false">Monthly_Base!M170</f>
        <v>-186680.759482759</v>
      </c>
      <c r="H25" s="34" t="n">
        <f aca="false">Monthly_Base!N170</f>
        <v>-137521.221724138</v>
      </c>
      <c r="I25" s="34" t="n">
        <f aca="false">Monthly_Base!O170</f>
        <v>-151266.405948276</v>
      </c>
      <c r="J25" s="34" t="n">
        <f aca="false">Monthly_Base!P170</f>
        <v>-114577.812758621</v>
      </c>
      <c r="K25" s="34" t="n">
        <f aca="false">Monthly_Base!Q170</f>
        <v>-48630.1793965517</v>
      </c>
      <c r="L25" s="34" t="n">
        <f aca="false">Monthly_Base!R170</f>
        <v>-31785.7685344828</v>
      </c>
      <c r="M25" s="34" t="n">
        <f aca="false">Monthly_Base!S170</f>
        <v>-27693.0886067235</v>
      </c>
      <c r="N25" s="34" t="n">
        <f aca="false">Monthly_Base!T170</f>
        <v>-20310.7685799588</v>
      </c>
      <c r="O25" s="34" t="n">
        <f aca="false">Monthly_Base!U170</f>
        <v>-6515.38897299473</v>
      </c>
      <c r="P25" s="34" t="n">
        <f aca="false">Monthly_Base!V170</f>
        <v>5178.11812474528</v>
      </c>
      <c r="Q25" s="34" t="n">
        <f aca="false">Monthly_Base!W170</f>
        <v>12549.3845109624</v>
      </c>
      <c r="R25" s="34" t="n">
        <f aca="false">Monthly_Base!X170</f>
        <v>15481.022674892</v>
      </c>
      <c r="S25" s="34" t="n">
        <f aca="false">Monthly_Base!Y170</f>
        <v>14978.7445642002</v>
      </c>
    </row>
    <row r="26" customFormat="false" ht="15" hidden="false" customHeight="false" outlineLevel="0" collapsed="false">
      <c r="A26" s="2" t="s">
        <v>5</v>
      </c>
      <c r="B26" s="34" t="n">
        <f aca="false">Monthly_Downside!H170</f>
        <v>-350334.5625</v>
      </c>
      <c r="C26" s="34" t="n">
        <f aca="false">Monthly_Downside!I170</f>
        <v>-393302.875</v>
      </c>
      <c r="D26" s="34" t="n">
        <f aca="false">Monthly_Downside!J170</f>
        <v>-390271.1875</v>
      </c>
      <c r="E26" s="34" t="n">
        <f aca="false">Monthly_Downside!K170</f>
        <v>-444314.948275862</v>
      </c>
      <c r="F26" s="34" t="n">
        <f aca="false">Monthly_Downside!L170</f>
        <v>-426384.961448276</v>
      </c>
      <c r="G26" s="34" t="n">
        <f aca="false">Monthly_Downside!M170</f>
        <v>-390800.521862069</v>
      </c>
      <c r="H26" s="34" t="n">
        <f aca="false">Monthly_Downside!N170</f>
        <v>-406649.132</v>
      </c>
      <c r="I26" s="34" t="n">
        <f aca="false">Monthly_Downside!O170</f>
        <v>-369535.594198276</v>
      </c>
      <c r="J26" s="34" t="n">
        <f aca="false">Monthly_Downside!P170</f>
        <v>-340245.943224138</v>
      </c>
      <c r="K26" s="34" t="n">
        <f aca="false">Monthly_Downside!Q170</f>
        <v>-349488.370064655</v>
      </c>
      <c r="L26" s="34" t="n">
        <f aca="false">Monthly_Downside!R170</f>
        <v>-322377.415775862</v>
      </c>
      <c r="M26" s="34" t="n">
        <f aca="false">Monthly_Downside!S170</f>
        <v>-301786.782392241</v>
      </c>
      <c r="N26" s="34" t="n">
        <f aca="false">Monthly_Downside!T170</f>
        <v>-287697.960883621</v>
      </c>
      <c r="O26" s="34" t="n">
        <f aca="false">Monthly_Downside!U170</f>
        <v>-286046.917197289</v>
      </c>
      <c r="P26" s="34" t="n">
        <f aca="false">Monthly_Downside!V170</f>
        <v>-282366.296466658</v>
      </c>
      <c r="Q26" s="34" t="n">
        <f aca="false">Monthly_Downside!W170</f>
        <v>-274976.601682609</v>
      </c>
      <c r="R26" s="34" t="n">
        <f aca="false">Monthly_Downside!X170</f>
        <v>-268644.557199439</v>
      </c>
      <c r="S26" s="34" t="n">
        <f aca="false">Monthly_Downside!Y170</f>
        <v>-264696.487674005</v>
      </c>
    </row>
    <row r="27" customFormat="false" ht="15" hidden="false" customHeight="false" outlineLevel="0" collapsed="false">
      <c r="A27" s="2" t="s">
        <v>6</v>
      </c>
      <c r="B27" s="34" t="n">
        <f aca="false">Monthly_Upside!H170</f>
        <v>-274092.5</v>
      </c>
      <c r="C27" s="34" t="n">
        <f aca="false">Monthly_Upside!I170</f>
        <v>-360001.666666667</v>
      </c>
      <c r="D27" s="34" t="n">
        <f aca="false">Monthly_Upside!J170</f>
        <v>-322236.433333333</v>
      </c>
      <c r="E27" s="34" t="n">
        <f aca="false">Monthly_Upside!K170</f>
        <v>-250108.579310345</v>
      </c>
      <c r="F27" s="34" t="n">
        <f aca="false">Monthly_Upside!L170</f>
        <v>-220471.365517241</v>
      </c>
      <c r="G27" s="34" t="n">
        <f aca="false">Monthly_Upside!M170</f>
        <v>-148951.603448276</v>
      </c>
      <c r="H27" s="34" t="n">
        <f aca="false">Monthly_Upside!N170</f>
        <v>-91195.7172413792</v>
      </c>
      <c r="I27" s="34" t="n">
        <f aca="false">Monthly_Upside!O170</f>
        <v>-98621.8568965516</v>
      </c>
      <c r="J27" s="34" t="n">
        <f aca="false">Monthly_Upside!P170</f>
        <v>-57655.3172413792</v>
      </c>
      <c r="K27" s="34" t="n">
        <f aca="false">Monthly_Upside!Q170</f>
        <v>15694.8396551725</v>
      </c>
      <c r="L27" s="34" t="n">
        <f aca="false">Monthly_Upside!R170</f>
        <v>33394.1465517243</v>
      </c>
      <c r="M27" s="34" t="n">
        <f aca="false">Monthly_Upside!S170</f>
        <v>38206.9200276051</v>
      </c>
      <c r="N27" s="34" t="n">
        <f aca="false">Monthly_Upside!T170</f>
        <v>46889.0297994919</v>
      </c>
      <c r="O27" s="34" t="n">
        <f aca="false">Monthly_Upside!U170</f>
        <v>63114.6978647773</v>
      </c>
      <c r="P27" s="34" t="n">
        <f aca="false">Monthly_Upside!V170</f>
        <v>76867.9114399786</v>
      </c>
      <c r="Q27" s="34" t="n">
        <f aca="false">Monthly_Upside!W170</f>
        <v>85538.4403071574</v>
      </c>
      <c r="R27" s="34" t="n">
        <f aca="false">Monthly_Upside!X170</f>
        <v>88990.3441084068</v>
      </c>
      <c r="S27" s="34" t="n">
        <f aca="false">Monthly_Upside!Y170</f>
        <v>88404.9036187365</v>
      </c>
    </row>
    <row r="28" customFormat="false" ht="15" hidden="false" customHeight="false" outlineLevel="0" collapsed="false">
      <c r="A28" s="2" t="s">
        <v>7</v>
      </c>
      <c r="B28" s="34" t="n">
        <f aca="false">Monthly_DownResponse!H170</f>
        <v>-350334.5625</v>
      </c>
      <c r="C28" s="34" t="n">
        <f aca="false">Monthly_DownResponse!I170</f>
        <v>-393302.875</v>
      </c>
      <c r="D28" s="34" t="n">
        <f aca="false">Monthly_DownResponse!J170</f>
        <v>-390271.1875</v>
      </c>
      <c r="E28" s="34" t="n">
        <f aca="false">Monthly_DownResponse!K170</f>
        <v>-444314.948275862</v>
      </c>
      <c r="F28" s="34" t="n">
        <f aca="false">Monthly_DownResponse!L170</f>
        <v>-426384.961448276</v>
      </c>
      <c r="G28" s="34" t="n">
        <f aca="false">Monthly_DownResponse!M170</f>
        <v>-390800.521862069</v>
      </c>
      <c r="H28" s="34" t="n">
        <f aca="false">Monthly_DownResponse!N170</f>
        <v>-406649.132</v>
      </c>
      <c r="I28" s="34" t="n">
        <f aca="false">Monthly_DownResponse!O170</f>
        <v>-369535.594198276</v>
      </c>
      <c r="J28" s="34" t="n">
        <f aca="false">Monthly_DownResponse!P170</f>
        <v>-340245.943224138</v>
      </c>
      <c r="K28" s="34" t="n">
        <f aca="false">Monthly_DownResponse!Q170</f>
        <v>-291988.370064655</v>
      </c>
      <c r="L28" s="34" t="n">
        <f aca="false">Monthly_DownResponse!R170</f>
        <v>-264877.415775862</v>
      </c>
      <c r="M28" s="34" t="n">
        <f aca="false">Monthly_DownResponse!S170</f>
        <v>-244286.782392241</v>
      </c>
      <c r="N28" s="34" t="n">
        <f aca="false">Monthly_DownResponse!T170</f>
        <v>-230197.960883621</v>
      </c>
      <c r="O28" s="34" t="n">
        <f aca="false">Monthly_DownResponse!U170</f>
        <v>-230573.019659312</v>
      </c>
      <c r="P28" s="34" t="n">
        <f aca="false">Monthly_DownResponse!V170</f>
        <v>-230931.666928446</v>
      </c>
      <c r="Q28" s="34" t="n">
        <f aca="false">Monthly_DownResponse!W170</f>
        <v>-231254.967870568</v>
      </c>
      <c r="R28" s="34" t="n">
        <f aca="false">Monthly_DownResponse!X170</f>
        <v>-231451.137741379</v>
      </c>
      <c r="S28" s="34" t="n">
        <f aca="false">Monthly_DownResponse!Y170</f>
        <v>-231554.683260203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15" hidden="false" customHeight="false" outlineLevel="0" collapsed="false">
      <c r="A30" s="5" t="s">
        <v>261</v>
      </c>
      <c r="B30" s="5" t="n">
        <v>1</v>
      </c>
      <c r="C30" s="5" t="n">
        <v>2</v>
      </c>
      <c r="D30" s="5" t="n">
        <v>3</v>
      </c>
      <c r="E30" s="5" t="n">
        <v>4</v>
      </c>
      <c r="F30" s="5" t="n">
        <v>5</v>
      </c>
      <c r="G30" s="5" t="n">
        <v>6</v>
      </c>
      <c r="H30" s="5" t="n">
        <v>7</v>
      </c>
      <c r="I30" s="5" t="n">
        <v>8</v>
      </c>
      <c r="J30" s="5" t="n">
        <v>9</v>
      </c>
      <c r="K30" s="5" t="n">
        <v>10</v>
      </c>
      <c r="L30" s="5" t="n">
        <v>11</v>
      </c>
      <c r="M30" s="5" t="n">
        <v>12</v>
      </c>
      <c r="N30" s="5" t="n">
        <v>13</v>
      </c>
      <c r="O30" s="5" t="n">
        <v>14</v>
      </c>
      <c r="P30" s="5" t="n">
        <v>15</v>
      </c>
      <c r="Q30" s="5" t="n">
        <v>16</v>
      </c>
      <c r="R30" s="5" t="n">
        <v>17</v>
      </c>
      <c r="S30" s="5" t="n">
        <v>18</v>
      </c>
    </row>
    <row r="31" customFormat="false" ht="15" hidden="false" customHeight="false" outlineLevel="0" collapsed="false">
      <c r="A31" s="2" t="s">
        <v>4</v>
      </c>
      <c r="B31" s="32" t="n">
        <f aca="false">Monthly_Base!H159</f>
        <v>70</v>
      </c>
      <c r="C31" s="32" t="n">
        <f aca="false">Monthly_Base!I159</f>
        <v>73.3333333333333</v>
      </c>
      <c r="D31" s="32" t="n">
        <f aca="false">Monthly_Base!J159</f>
        <v>88.9066666666667</v>
      </c>
      <c r="E31" s="32" t="n">
        <f aca="false">Monthly_Base!K159</f>
        <v>116.72</v>
      </c>
      <c r="F31" s="32" t="n">
        <f aca="false">Monthly_Base!L159</f>
        <v>145.28</v>
      </c>
      <c r="G31" s="32" t="n">
        <f aca="false">Monthly_Base!M159</f>
        <v>174.35</v>
      </c>
      <c r="H31" s="32" t="n">
        <f aca="false">Monthly_Base!N159</f>
        <v>205.46</v>
      </c>
      <c r="I31" s="32" t="n">
        <f aca="false">Monthly_Base!O159</f>
        <v>233.935</v>
      </c>
      <c r="J31" s="32" t="n">
        <f aca="false">Monthly_Base!P159</f>
        <v>262.58</v>
      </c>
      <c r="K31" s="32" t="n">
        <f aca="false">Monthly_Base!Q159</f>
        <v>290.035</v>
      </c>
      <c r="L31" s="32" t="n">
        <f aca="false">Monthly_Base!R159</f>
        <v>315.025</v>
      </c>
      <c r="M31" s="32" t="n">
        <f aca="false">Monthly_Base!S159</f>
        <v>340.525</v>
      </c>
      <c r="N31" s="32" t="n">
        <f aca="false">Monthly_Base!T159</f>
        <v>366.025</v>
      </c>
      <c r="O31" s="32" t="n">
        <f aca="false">Monthly_Base!U159</f>
        <v>399.175</v>
      </c>
      <c r="P31" s="32" t="n">
        <f aca="false">Monthly_Base!V159</f>
        <v>424.675</v>
      </c>
      <c r="Q31" s="32" t="n">
        <f aca="false">Monthly_Base!W159</f>
        <v>441.25</v>
      </c>
      <c r="R31" s="32" t="n">
        <f aca="false">Monthly_Base!X159</f>
        <v>448.9</v>
      </c>
      <c r="S31" s="32" t="n">
        <f aca="false">Monthly_Base!Y159</f>
        <v>448.9</v>
      </c>
    </row>
    <row r="32" customFormat="false" ht="15" hidden="false" customHeight="false" outlineLevel="0" collapsed="false">
      <c r="A32" s="2" t="s">
        <v>5</v>
      </c>
      <c r="B32" s="32" t="n">
        <f aca="false">Monthly_Downside!H159</f>
        <v>66.5</v>
      </c>
      <c r="C32" s="32" t="n">
        <f aca="false">Monthly_Downside!I159</f>
        <v>69.6666666666667</v>
      </c>
      <c r="D32" s="32" t="n">
        <f aca="false">Monthly_Downside!J159</f>
        <v>72.8333333333333</v>
      </c>
      <c r="E32" s="32" t="n">
        <f aca="false">Monthly_Downside!K159</f>
        <v>76</v>
      </c>
      <c r="F32" s="32" t="n">
        <f aca="false">Monthly_Downside!L159</f>
        <v>84.892</v>
      </c>
      <c r="G32" s="32" t="n">
        <f aca="false">Monthly_Downside!M159</f>
        <v>102.676</v>
      </c>
      <c r="H32" s="32" t="n">
        <f aca="false">Monthly_Downside!N159</f>
        <v>123.424</v>
      </c>
      <c r="I32" s="32" t="n">
        <f aca="false">Monthly_Downside!O159</f>
        <v>144.5425</v>
      </c>
      <c r="J32" s="32" t="n">
        <f aca="false">Monthly_Downside!P159</f>
        <v>167.143</v>
      </c>
      <c r="K32" s="32" t="n">
        <f aca="false">Monthly_Downside!Q159</f>
        <v>187.82925</v>
      </c>
      <c r="L32" s="32" t="n">
        <f aca="false">Monthly_Downside!R159</f>
        <v>208.639</v>
      </c>
      <c r="M32" s="32" t="n">
        <f aca="false">Monthly_Downside!S159</f>
        <v>228.58425</v>
      </c>
      <c r="N32" s="32" t="n">
        <f aca="false">Monthly_Downside!T159</f>
        <v>246.73875</v>
      </c>
      <c r="O32" s="32" t="n">
        <f aca="false">Monthly_Downside!U159</f>
        <v>265.26375</v>
      </c>
      <c r="P32" s="32" t="n">
        <f aca="false">Monthly_Downside!V159</f>
        <v>283.78875</v>
      </c>
      <c r="Q32" s="32" t="n">
        <f aca="false">Monthly_Downside!W159</f>
        <v>307.87125</v>
      </c>
      <c r="R32" s="32" t="n">
        <f aca="false">Monthly_Downside!X159</f>
        <v>326.39625</v>
      </c>
      <c r="S32" s="32" t="n">
        <f aca="false">Monthly_Downside!Y159</f>
        <v>338.4375</v>
      </c>
    </row>
    <row r="33" customFormat="false" ht="15" hidden="false" customHeight="false" outlineLevel="0" collapsed="false">
      <c r="A33" s="2" t="s">
        <v>6</v>
      </c>
      <c r="B33" s="32" t="n">
        <f aca="false">Monthly_Upside!H159</f>
        <v>70</v>
      </c>
      <c r="C33" s="32" t="n">
        <f aca="false">Monthly_Upside!I159</f>
        <v>73.3333333333333</v>
      </c>
      <c r="D33" s="32" t="n">
        <f aca="false">Monthly_Upside!J159</f>
        <v>91.0666666666667</v>
      </c>
      <c r="E33" s="32" t="n">
        <f aca="false">Monthly_Upside!K159</f>
        <v>123.2</v>
      </c>
      <c r="F33" s="32" t="n">
        <f aca="false">Monthly_Upside!L159</f>
        <v>156.8</v>
      </c>
      <c r="G33" s="32" t="n">
        <f aca="false">Monthly_Upside!M159</f>
        <v>191</v>
      </c>
      <c r="H33" s="32" t="n">
        <f aca="false">Monthly_Upside!N159</f>
        <v>227.6</v>
      </c>
      <c r="I33" s="32" t="n">
        <f aca="false">Monthly_Upside!O159</f>
        <v>261.1</v>
      </c>
      <c r="J33" s="32" t="n">
        <f aca="false">Monthly_Upside!P159</f>
        <v>294.8</v>
      </c>
      <c r="K33" s="32" t="n">
        <f aca="false">Monthly_Upside!Q159</f>
        <v>327.1</v>
      </c>
      <c r="L33" s="32" t="n">
        <f aca="false">Monthly_Upside!R159</f>
        <v>356.5</v>
      </c>
      <c r="M33" s="32" t="n">
        <f aca="false">Monthly_Upside!S159</f>
        <v>386.5</v>
      </c>
      <c r="N33" s="32" t="n">
        <f aca="false">Monthly_Upside!T159</f>
        <v>416.5</v>
      </c>
      <c r="O33" s="32" t="n">
        <f aca="false">Monthly_Upside!U159</f>
        <v>455.5</v>
      </c>
      <c r="P33" s="32" t="n">
        <f aca="false">Monthly_Upside!V159</f>
        <v>485.5</v>
      </c>
      <c r="Q33" s="32" t="n">
        <f aca="false">Monthly_Upside!W159</f>
        <v>505</v>
      </c>
      <c r="R33" s="32" t="n">
        <f aca="false">Monthly_Upside!X159</f>
        <v>514</v>
      </c>
      <c r="S33" s="32" t="n">
        <f aca="false">Monthly_Upside!Y159</f>
        <v>514</v>
      </c>
    </row>
    <row r="34" customFormat="false" ht="15" hidden="false" customHeight="false" outlineLevel="0" collapsed="false">
      <c r="A34" s="2" t="s">
        <v>7</v>
      </c>
      <c r="B34" s="32" t="n">
        <f aca="false">Monthly_DownResponse!H159</f>
        <v>66.5</v>
      </c>
      <c r="C34" s="32" t="n">
        <f aca="false">Monthly_DownResponse!I159</f>
        <v>69.6666666666667</v>
      </c>
      <c r="D34" s="32" t="n">
        <f aca="false">Monthly_DownResponse!J159</f>
        <v>72.8333333333333</v>
      </c>
      <c r="E34" s="32" t="n">
        <f aca="false">Monthly_DownResponse!K159</f>
        <v>76</v>
      </c>
      <c r="F34" s="32" t="n">
        <f aca="false">Monthly_DownResponse!L159</f>
        <v>84.892</v>
      </c>
      <c r="G34" s="32" t="n">
        <f aca="false">Monthly_DownResponse!M159</f>
        <v>102.676</v>
      </c>
      <c r="H34" s="32" t="n">
        <f aca="false">Monthly_DownResponse!N159</f>
        <v>123.424</v>
      </c>
      <c r="I34" s="32" t="n">
        <f aca="false">Monthly_DownResponse!O159</f>
        <v>144.5425</v>
      </c>
      <c r="J34" s="32" t="n">
        <f aca="false">Monthly_DownResponse!P159</f>
        <v>167.143</v>
      </c>
      <c r="K34" s="32" t="n">
        <f aca="false">Monthly_DownResponse!Q159</f>
        <v>187.82925</v>
      </c>
      <c r="L34" s="32" t="n">
        <f aca="false">Monthly_DownResponse!R159</f>
        <v>208.639</v>
      </c>
      <c r="M34" s="32" t="n">
        <f aca="false">Monthly_DownResponse!S159</f>
        <v>228.58425</v>
      </c>
      <c r="N34" s="32" t="n">
        <f aca="false">Monthly_DownResponse!T159</f>
        <v>246.73875</v>
      </c>
      <c r="O34" s="32" t="n">
        <f aca="false">Monthly_DownResponse!U159</f>
        <v>259.70625</v>
      </c>
      <c r="P34" s="32" t="n">
        <f aca="false">Monthly_DownResponse!V159</f>
        <v>267.11625</v>
      </c>
      <c r="Q34" s="32" t="n">
        <f aca="false">Monthly_DownResponse!W159</f>
        <v>269.895</v>
      </c>
      <c r="R34" s="32" t="n">
        <f aca="false">Monthly_DownResponse!X159</f>
        <v>269.895</v>
      </c>
      <c r="S34" s="32" t="n">
        <f aca="false">Monthly_DownResponse!Y159</f>
        <v>269.895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false" outlineLevel="0" collapsed="false">
      <c r="A36" s="5" t="s">
        <v>262</v>
      </c>
      <c r="B36" s="5" t="n">
        <v>1</v>
      </c>
      <c r="C36" s="5" t="n">
        <v>2</v>
      </c>
      <c r="D36" s="5" t="n">
        <v>3</v>
      </c>
      <c r="E36" s="5" t="n">
        <v>4</v>
      </c>
      <c r="F36" s="5" t="n">
        <v>5</v>
      </c>
      <c r="G36" s="5" t="n">
        <v>6</v>
      </c>
      <c r="H36" s="5" t="n">
        <v>7</v>
      </c>
      <c r="I36" s="5" t="n">
        <v>8</v>
      </c>
      <c r="J36" s="5" t="n">
        <v>9</v>
      </c>
      <c r="K36" s="5" t="n">
        <v>10</v>
      </c>
      <c r="L36" s="5" t="n">
        <v>11</v>
      </c>
      <c r="M36" s="5" t="n">
        <v>12</v>
      </c>
      <c r="N36" s="5" t="n">
        <v>13</v>
      </c>
      <c r="O36" s="5" t="n">
        <v>14</v>
      </c>
      <c r="P36" s="5" t="n">
        <v>15</v>
      </c>
      <c r="Q36" s="5" t="n">
        <v>16</v>
      </c>
      <c r="R36" s="5" t="n">
        <v>17</v>
      </c>
      <c r="S36" s="5" t="n">
        <v>18</v>
      </c>
    </row>
    <row r="37" customFormat="false" ht="15" hidden="false" customHeight="false" outlineLevel="0" collapsed="false">
      <c r="A37" s="2" t="s">
        <v>220</v>
      </c>
      <c r="B37" s="30" t="n">
        <f aca="false">Monthly_Base!H174</f>
        <v>0.806666666666667</v>
      </c>
      <c r="C37" s="30" t="n">
        <f aca="false">Monthly_Base!I174</f>
        <v>0.833333333333333</v>
      </c>
      <c r="D37" s="30" t="n">
        <f aca="false">Monthly_Base!J174</f>
        <v>0.86</v>
      </c>
      <c r="E37" s="30" t="n">
        <f aca="false">Monthly_Base!K174</f>
        <v>0.886666666666667</v>
      </c>
      <c r="F37" s="30" t="n">
        <f aca="false">Monthly_Base!L174</f>
        <v>0.913333333333333</v>
      </c>
      <c r="G37" s="30" t="n">
        <f aca="false">Monthly_Base!M174</f>
        <v>0.94</v>
      </c>
      <c r="H37" s="30" t="n">
        <f aca="false">Monthly_Base!N174</f>
        <v>0.94</v>
      </c>
      <c r="I37" s="30" t="n">
        <f aca="false">Monthly_Base!O174</f>
        <v>0.94</v>
      </c>
      <c r="J37" s="30" t="n">
        <f aca="false">Monthly_Base!P174</f>
        <v>0.937669281742707</v>
      </c>
      <c r="K37" s="30" t="n">
        <f aca="false">Monthly_Base!Q174</f>
        <v>0.933669729515403</v>
      </c>
      <c r="L37" s="30" t="n">
        <f aca="false">Monthly_Base!R174</f>
        <v>0.928667566066185</v>
      </c>
      <c r="M37" s="30" t="n">
        <f aca="false">Monthly_Base!S174</f>
        <v>0.922626826224213</v>
      </c>
      <c r="N37" s="30" t="n">
        <f aca="false">Monthly_Base!T174</f>
        <v>0.916591762857728</v>
      </c>
      <c r="O37" s="30" t="n">
        <f aca="false">Monthly_Base!U174</f>
        <v>0.908953466524707</v>
      </c>
      <c r="P37" s="30" t="n">
        <f aca="false">Monthly_Base!V174</f>
        <v>0.903612174015424</v>
      </c>
      <c r="Q37" s="30" t="n">
        <f aca="false">Monthly_Base!W174</f>
        <v>0.900471388101983</v>
      </c>
      <c r="R37" s="30" t="n">
        <f aca="false">Monthly_Base!X174</f>
        <v>0.899100022276676</v>
      </c>
      <c r="S37" s="30" t="n">
        <f aca="false">Monthly_Base!Y174</f>
        <v>0.899100022276676</v>
      </c>
    </row>
    <row r="38" customFormat="false" ht="15" hidden="false" customHeight="false" outlineLevel="0" collapsed="false">
      <c r="A38" s="2" t="s">
        <v>221</v>
      </c>
      <c r="B38" s="30" t="n">
        <f aca="false">Monthly_Base!H175</f>
        <v>0.42</v>
      </c>
      <c r="C38" s="30" t="n">
        <f aca="false">Monthly_Base!I175</f>
        <v>0.42</v>
      </c>
      <c r="D38" s="30" t="n">
        <f aca="false">Monthly_Base!J175</f>
        <v>0.42</v>
      </c>
      <c r="E38" s="30" t="n">
        <f aca="false">Monthly_Base!K175</f>
        <v>0.446666666666667</v>
      </c>
      <c r="F38" s="30" t="n">
        <f aca="false">Monthly_Base!L175</f>
        <v>0.473333333333333</v>
      </c>
      <c r="G38" s="30" t="n">
        <f aca="false">Monthly_Base!M175</f>
        <v>0.5</v>
      </c>
      <c r="H38" s="30" t="n">
        <f aca="false">Monthly_Base!N175</f>
        <v>0.526666666666666</v>
      </c>
      <c r="I38" s="30" t="n">
        <f aca="false">Monthly_Base!O175</f>
        <v>0.553333333333333</v>
      </c>
      <c r="J38" s="30" t="n">
        <f aca="false">Monthly_Base!P175</f>
        <v>0.58</v>
      </c>
      <c r="K38" s="30" t="n">
        <f aca="false">Monthly_Base!Q175</f>
        <v>0.58</v>
      </c>
      <c r="L38" s="30" t="n">
        <f aca="false">Monthly_Base!R175</f>
        <v>0.58</v>
      </c>
      <c r="M38" s="30" t="n">
        <f aca="false">Monthly_Base!S175</f>
        <v>0.577669281742707</v>
      </c>
      <c r="N38" s="30" t="n">
        <f aca="false">Monthly_Base!T175</f>
        <v>0.573669729515403</v>
      </c>
      <c r="O38" s="30" t="n">
        <f aca="false">Monthly_Base!U175</f>
        <v>0.568667566066185</v>
      </c>
      <c r="P38" s="30" t="n">
        <f aca="false">Monthly_Base!V175</f>
        <v>0.562626826224213</v>
      </c>
      <c r="Q38" s="30" t="n">
        <f aca="false">Monthly_Base!W175</f>
        <v>0.556591762857728</v>
      </c>
      <c r="R38" s="30" t="n">
        <f aca="false">Monthly_Base!X175</f>
        <v>0.548953466524707</v>
      </c>
      <c r="S38" s="30" t="n">
        <f aca="false">Monthly_Base!Y175</f>
        <v>0.543612174015423</v>
      </c>
    </row>
    <row r="39" customFormat="false" ht="15" hidden="false" customHeight="false" outlineLevel="0" collapsed="false">
      <c r="A39" s="2" t="s">
        <v>204</v>
      </c>
      <c r="B39" s="32" t="n">
        <f aca="false">Monthly_Base!H158</f>
        <v>4</v>
      </c>
      <c r="C39" s="32" t="n">
        <f aca="false">Monthly_Base!I158</f>
        <v>4</v>
      </c>
      <c r="D39" s="32" t="n">
        <f aca="false">Monthly_Base!J158</f>
        <v>6</v>
      </c>
      <c r="E39" s="32" t="n">
        <f aca="false">Monthly_Base!K158</f>
        <v>8</v>
      </c>
      <c r="F39" s="32" t="n">
        <f aca="false">Monthly_Base!L158</f>
        <v>9</v>
      </c>
      <c r="G39" s="32" t="n">
        <f aca="false">Monthly_Base!M158</f>
        <v>10</v>
      </c>
      <c r="H39" s="32" t="n">
        <f aca="false">Monthly_Base!N158</f>
        <v>12</v>
      </c>
      <c r="I39" s="32" t="n">
        <f aca="false">Monthly_Base!O158</f>
        <v>13</v>
      </c>
      <c r="J39" s="32" t="n">
        <f aca="false">Monthly_Base!P158</f>
        <v>14</v>
      </c>
      <c r="K39" s="32" t="n">
        <f aca="false">Monthly_Base!Q158</f>
        <v>15</v>
      </c>
      <c r="L39" s="32" t="n">
        <f aca="false">Monthly_Base!R158</f>
        <v>16</v>
      </c>
      <c r="M39" s="32" t="n">
        <f aca="false">Monthly_Base!S158</f>
        <v>17</v>
      </c>
      <c r="N39" s="32" t="n">
        <f aca="false">Monthly_Base!T158</f>
        <v>18</v>
      </c>
      <c r="O39" s="32" t="n">
        <f aca="false">Monthly_Base!U158</f>
        <v>20</v>
      </c>
      <c r="P39" s="32" t="n">
        <f aca="false">Monthly_Base!V158</f>
        <v>20</v>
      </c>
      <c r="Q39" s="32" t="n">
        <f aca="false">Monthly_Base!W158</f>
        <v>20</v>
      </c>
      <c r="R39" s="32" t="n">
        <f aca="false">Monthly_Base!X158</f>
        <v>20</v>
      </c>
      <c r="S39" s="32" t="n">
        <f aca="false">Monthly_Base!Y158</f>
        <v>20</v>
      </c>
    </row>
    <row r="40" customFormat="false" ht="15" hidden="false" customHeight="false" outlineLevel="0" collapsed="false">
      <c r="A40" s="2" t="s">
        <v>219</v>
      </c>
      <c r="B40" s="34" t="n">
        <f aca="false">Monthly_Base!H173</f>
        <v>11485907.5</v>
      </c>
      <c r="C40" s="34" t="n">
        <f aca="false">Monthly_Base!I173</f>
        <v>10885905.8333333</v>
      </c>
      <c r="D40" s="34" t="n">
        <f aca="false">Monthly_Base!J173</f>
        <v>10318618.24</v>
      </c>
      <c r="E40" s="34" t="n">
        <f aca="false">Monthly_Base!K173</f>
        <v>9933319.98206897</v>
      </c>
      <c r="F40" s="34" t="n">
        <f aca="false">Monthly_Base!L173</f>
        <v>9565780.39034483</v>
      </c>
      <c r="G40" s="34" t="n">
        <f aca="false">Monthly_Base!M173</f>
        <v>9139099.63086207</v>
      </c>
      <c r="H40" s="34" t="n">
        <f aca="false">Monthly_Base!N173</f>
        <v>8881578.40913793</v>
      </c>
      <c r="I40" s="34" t="n">
        <f aca="false">Monthly_Base!O173</f>
        <v>8660312.00318966</v>
      </c>
      <c r="J40" s="34" t="n">
        <f aca="false">Monthly_Base!P173</f>
        <v>8475734.19043103</v>
      </c>
      <c r="K40" s="34" t="n">
        <f aca="false">Monthly_Base!Q173</f>
        <v>8357104.01103448</v>
      </c>
      <c r="L40" s="34" t="n">
        <f aca="false">Monthly_Base!R173</f>
        <v>8280318.2425</v>
      </c>
      <c r="M40" s="34" t="n">
        <f aca="false">Monthly_Base!S173</f>
        <v>8207625.15389328</v>
      </c>
      <c r="N40" s="34" t="n">
        <f aca="false">Monthly_Base!T173</f>
        <v>8097314.38531332</v>
      </c>
      <c r="O40" s="34" t="n">
        <f aca="false">Monthly_Base!U173</f>
        <v>8090798.99634032</v>
      </c>
      <c r="P40" s="34" t="n">
        <f aca="false">Monthly_Base!V173</f>
        <v>8095977.11446507</v>
      </c>
      <c r="Q40" s="34" t="n">
        <f aca="false">Monthly_Base!W173</f>
        <v>8108526.49897603</v>
      </c>
      <c r="R40" s="34" t="n">
        <f aca="false">Monthly_Base!X173</f>
        <v>8124007.52165092</v>
      </c>
      <c r="S40" s="34" t="n">
        <f aca="false">Monthly_Base!Y173</f>
        <v>8138986.26621512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263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264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265</v>
      </c>
      <c r="B4" s="34" t="n">
        <f aca="false">Monthly_Base!$C$185</f>
        <v>14978.7445642002</v>
      </c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23.85" hidden="false" customHeight="false" outlineLevel="0" collapsed="false">
      <c r="A6" s="4" t="s">
        <v>266</v>
      </c>
      <c r="B6" s="4" t="s">
        <v>267</v>
      </c>
      <c r="C6" s="4" t="s">
        <v>268</v>
      </c>
      <c r="D6" s="4" t="s">
        <v>269</v>
      </c>
      <c r="E6" s="4" t="s">
        <v>270</v>
      </c>
      <c r="F6" s="4" t="s">
        <v>271</v>
      </c>
    </row>
    <row r="7" customFormat="false" ht="15" hidden="false" customHeight="false" outlineLevel="0" collapsed="false">
      <c r="A7" s="6" t="s">
        <v>272</v>
      </c>
      <c r="B7" s="6" t="s">
        <v>273</v>
      </c>
      <c r="C7" s="6" t="s">
        <v>274</v>
      </c>
      <c r="D7" s="18" t="n">
        <v>-83814</v>
      </c>
      <c r="E7" s="18" t="n">
        <v>113822</v>
      </c>
      <c r="F7" s="23" t="n">
        <f aca="false">ABS(E7-D7)</f>
        <v>197636</v>
      </c>
    </row>
    <row r="8" customFormat="false" ht="15" hidden="false" customHeight="false" outlineLevel="0" collapsed="false">
      <c r="A8" s="6" t="s">
        <v>275</v>
      </c>
      <c r="B8" s="6" t="s">
        <v>276</v>
      </c>
      <c r="C8" s="6" t="s">
        <v>277</v>
      </c>
      <c r="D8" s="18" t="n">
        <v>-82916</v>
      </c>
      <c r="E8" s="18" t="n">
        <v>112924</v>
      </c>
      <c r="F8" s="23" t="n">
        <f aca="false">ABS(E8-D8)</f>
        <v>195840</v>
      </c>
    </row>
    <row r="9" customFormat="false" ht="15" hidden="false" customHeight="false" outlineLevel="0" collapsed="false">
      <c r="A9" s="6" t="s">
        <v>278</v>
      </c>
      <c r="B9" s="6" t="s">
        <v>279</v>
      </c>
      <c r="C9" s="6" t="s">
        <v>280</v>
      </c>
      <c r="D9" s="18" t="n">
        <v>-58426</v>
      </c>
      <c r="E9" s="18" t="n">
        <v>88434</v>
      </c>
      <c r="F9" s="23" t="n">
        <f aca="false">ABS(E9-D9)</f>
        <v>146860</v>
      </c>
    </row>
    <row r="10" customFormat="false" ht="15" hidden="false" customHeight="false" outlineLevel="0" collapsed="false">
      <c r="A10" s="6" t="s">
        <v>281</v>
      </c>
      <c r="B10" s="6" t="s">
        <v>282</v>
      </c>
      <c r="C10" s="6" t="s">
        <v>273</v>
      </c>
      <c r="D10" s="18" t="n">
        <v>-67496</v>
      </c>
      <c r="E10" s="18" t="n">
        <v>70004</v>
      </c>
      <c r="F10" s="23" t="n">
        <f aca="false">ABS(E10-D10)</f>
        <v>137500</v>
      </c>
    </row>
    <row r="11" customFormat="false" ht="15" hidden="false" customHeight="false" outlineLevel="0" collapsed="false">
      <c r="A11" s="6" t="s">
        <v>283</v>
      </c>
      <c r="B11" s="6" t="s">
        <v>284</v>
      </c>
      <c r="C11" s="6" t="s">
        <v>285</v>
      </c>
      <c r="D11" s="18" t="n">
        <v>-25556</v>
      </c>
      <c r="E11" s="18" t="n">
        <v>42044</v>
      </c>
      <c r="F11" s="23" t="n">
        <f aca="false">ABS(E11-D11)</f>
        <v>67600</v>
      </c>
    </row>
    <row r="12" customFormat="false" ht="15" hidden="false" customHeight="false" outlineLevel="0" collapsed="false">
      <c r="A12" s="6" t="s">
        <v>286</v>
      </c>
      <c r="B12" s="6" t="s">
        <v>287</v>
      </c>
      <c r="C12" s="6" t="s">
        <v>288</v>
      </c>
      <c r="D12" s="18" t="n">
        <v>-27888</v>
      </c>
      <c r="E12" s="18" t="n">
        <v>36450</v>
      </c>
      <c r="F12" s="23" t="n">
        <f aca="false">ABS(E12-D12)</f>
        <v>64338</v>
      </c>
    </row>
    <row r="13" customFormat="false" ht="15" hidden="false" customHeight="false" outlineLevel="0" collapsed="false">
      <c r="A13" s="6" t="s">
        <v>289</v>
      </c>
      <c r="B13" s="6" t="s">
        <v>290</v>
      </c>
      <c r="C13" s="6" t="s">
        <v>291</v>
      </c>
      <c r="D13" s="18" t="n">
        <v>-27888</v>
      </c>
      <c r="E13" s="18" t="n">
        <v>36450</v>
      </c>
      <c r="F13" s="23" t="n">
        <f aca="false">ABS(E13-D13)</f>
        <v>64338</v>
      </c>
    </row>
    <row r="14" customFormat="false" ht="15" hidden="false" customHeight="false" outlineLevel="0" collapsed="false">
      <c r="A14" s="6" t="s">
        <v>292</v>
      </c>
      <c r="B14" s="6" t="s">
        <v>293</v>
      </c>
      <c r="C14" s="6" t="s">
        <v>294</v>
      </c>
      <c r="D14" s="18" t="n">
        <v>12573</v>
      </c>
      <c r="E14" s="18" t="n">
        <v>15004</v>
      </c>
      <c r="F14" s="23" t="n">
        <f aca="false">ABS(E14-D14)</f>
        <v>2431</v>
      </c>
    </row>
    <row r="15" customFormat="false" ht="15" hidden="false" customHeight="false" outlineLevel="0" collapsed="false">
      <c r="A15" s="6" t="s">
        <v>295</v>
      </c>
      <c r="B15" s="6" t="s">
        <v>296</v>
      </c>
      <c r="C15" s="6" t="s">
        <v>297</v>
      </c>
      <c r="D15" s="18" t="n">
        <v>-123476</v>
      </c>
      <c r="E15" s="18" t="n">
        <v>15004</v>
      </c>
      <c r="F15" s="23" t="n">
        <f aca="false">ABS(E15-D15)</f>
        <v>138480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298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299</v>
      </c>
      <c r="B3" s="4" t="s">
        <v>300</v>
      </c>
      <c r="C3" s="4" t="s">
        <v>301</v>
      </c>
      <c r="D3" s="4" t="s">
        <v>302</v>
      </c>
      <c r="E3" s="4" t="s">
        <v>303</v>
      </c>
      <c r="F3" s="4" t="s">
        <v>304</v>
      </c>
    </row>
    <row r="4" customFormat="false" ht="15" hidden="false" customHeight="false" outlineLevel="0" collapsed="false">
      <c r="A4" s="5" t="s">
        <v>305</v>
      </c>
      <c r="B4" s="13" t="n">
        <v>12</v>
      </c>
      <c r="C4" s="32" t="n">
        <f aca="false">Monthly_Base!$C$180</f>
        <v>17</v>
      </c>
      <c r="D4" s="32" t="n">
        <f aca="false">Monthly_Downside!$C$180</f>
        <v>15</v>
      </c>
      <c r="E4" s="5" t="str">
        <f aca="false">IF(C4&gt;=B4,"Yes","No")</f>
        <v>Yes</v>
      </c>
      <c r="F4" s="2" t="s">
        <v>306</v>
      </c>
    </row>
    <row r="5" customFormat="false" ht="15" hidden="false" customHeight="false" outlineLevel="0" collapsed="false">
      <c r="A5" s="5" t="s">
        <v>226</v>
      </c>
      <c r="B5" s="13" t="n">
        <v>2400</v>
      </c>
      <c r="C5" s="32" t="n">
        <f aca="false">Monthly_Base!$C$181</f>
        <v>2316.15</v>
      </c>
      <c r="D5" s="32" t="n">
        <f aca="false">Monthly_Downside!$C$181</f>
        <v>1532.73</v>
      </c>
      <c r="E5" s="5" t="str">
        <f aca="false">IF(C5&gt;=B5,"Yes","No")</f>
        <v>No</v>
      </c>
      <c r="F5" s="2" t="s">
        <v>307</v>
      </c>
    </row>
    <row r="6" customFormat="false" ht="15" hidden="false" customHeight="false" outlineLevel="0" collapsed="false">
      <c r="A6" s="5" t="s">
        <v>308</v>
      </c>
      <c r="B6" s="8" t="n">
        <v>0.9</v>
      </c>
      <c r="C6" s="30" t="n">
        <f aca="false">Monthly_Base!$C$182</f>
        <v>0.922626826224213</v>
      </c>
      <c r="D6" s="30" t="n">
        <f aca="false">Monthly_Downside!$C$182</f>
        <v>0.934164952309706</v>
      </c>
      <c r="E6" s="5" t="str">
        <f aca="false">IF(C6&gt;=B6,"Yes","No")</f>
        <v>Yes</v>
      </c>
      <c r="F6" s="2" t="s">
        <v>309</v>
      </c>
    </row>
    <row r="7" customFormat="false" ht="15" hidden="false" customHeight="false" outlineLevel="0" collapsed="false">
      <c r="A7" s="5" t="s">
        <v>228</v>
      </c>
      <c r="B7" s="8" t="n">
        <v>0.6</v>
      </c>
      <c r="C7" s="30" t="n">
        <f aca="false">Monthly_Base!$C$183</f>
        <v>0.577669281742707</v>
      </c>
      <c r="D7" s="30" t="n">
        <f aca="false">Monthly_Downside!$C$183</f>
        <v>0.58</v>
      </c>
      <c r="E7" s="5" t="str">
        <f aca="false">IF(C7&gt;=B7,"Yes","No")</f>
        <v>No</v>
      </c>
      <c r="F7" s="2" t="s">
        <v>310</v>
      </c>
    </row>
    <row r="8" customFormat="false" ht="15" hidden="false" customHeight="false" outlineLevel="0" collapsed="false">
      <c r="A8" s="5" t="s">
        <v>311</v>
      </c>
      <c r="B8" s="22" t="n">
        <v>18</v>
      </c>
      <c r="C8" s="29" t="n">
        <f aca="false">Monthly_Base!$C$179</f>
        <v>15</v>
      </c>
      <c r="D8" s="29" t="str">
        <f aca="false">Monthly_Downside!$C$179</f>
        <v>Not by M18</v>
      </c>
      <c r="E8" s="5" t="str">
        <f aca="false">IF(ISNUMBER(C8),IF(C8&lt;=B8,"Yes","No"),"No")</f>
        <v>Yes</v>
      </c>
      <c r="F8" s="2" t="s">
        <v>312</v>
      </c>
    </row>
    <row r="9" customFormat="false" ht="15" hidden="false" customHeight="false" outlineLevel="0" collapsed="false">
      <c r="A9" s="5" t="s">
        <v>313</v>
      </c>
      <c r="B9" s="18" t="n">
        <v>12000000</v>
      </c>
      <c r="C9" s="34" t="n">
        <f aca="false">Monthly_Base!$C$192</f>
        <v>3861013.73378488</v>
      </c>
      <c r="D9" s="34" t="n">
        <f aca="false">Monthly_Downside!$C$192</f>
        <v>7859921.115345</v>
      </c>
      <c r="E9" s="5" t="str">
        <f aca="false">IF(C9&lt;=B9,"Yes (uses "&amp;TEXT(C9/B9,"0%")&amp;")","No")</f>
        <v>Yes (uses 32%)</v>
      </c>
      <c r="F9" s="2" t="s">
        <v>314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5" t="s">
        <v>315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2" t="s">
        <v>316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2" t="s">
        <v>317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2" t="s">
        <v>318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2" t="s">
        <v>319</v>
      </c>
      <c r="B15" s="2"/>
      <c r="C15" s="2"/>
      <c r="D15" s="2"/>
      <c r="E15" s="2"/>
      <c r="F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320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23.85" hidden="false" customHeight="false" outlineLevel="0" collapsed="false">
      <c r="A3" s="4" t="s">
        <v>321</v>
      </c>
      <c r="B3" s="4" t="s">
        <v>322</v>
      </c>
      <c r="C3" s="4" t="s">
        <v>323</v>
      </c>
      <c r="D3" s="4" t="s">
        <v>324</v>
      </c>
      <c r="E3" s="4" t="s">
        <v>325</v>
      </c>
    </row>
    <row r="4" customFormat="false" ht="15" hidden="false" customHeight="false" outlineLevel="0" collapsed="false">
      <c r="A4" s="5" t="s">
        <v>326</v>
      </c>
      <c r="B4" s="30" t="n">
        <f aca="false">Assumptions!C38</f>
        <v>0.3</v>
      </c>
      <c r="C4" s="14" t="n">
        <f aca="false">C5/B4</f>
        <v>266.666666666667</v>
      </c>
      <c r="D4" s="24" t="n">
        <f aca="false">C4/13</f>
        <v>20.5128205128205</v>
      </c>
      <c r="E4" s="10" t="s">
        <v>327</v>
      </c>
    </row>
    <row r="5" customFormat="false" ht="15" hidden="false" customHeight="false" outlineLevel="0" collapsed="false">
      <c r="A5" s="5" t="s">
        <v>328</v>
      </c>
      <c r="B5" s="8" t="n">
        <v>0.25</v>
      </c>
      <c r="C5" s="14" t="n">
        <f aca="false">C6/B5</f>
        <v>80</v>
      </c>
      <c r="D5" s="24" t="n">
        <f aca="false">C5/13</f>
        <v>6.15384615384615</v>
      </c>
      <c r="E5" s="10" t="s">
        <v>19</v>
      </c>
    </row>
    <row r="6" customFormat="false" ht="15" hidden="false" customHeight="false" outlineLevel="0" collapsed="false">
      <c r="A6" s="5" t="s">
        <v>329</v>
      </c>
      <c r="B6" s="8" t="n">
        <v>0.8</v>
      </c>
      <c r="C6" s="14" t="n">
        <f aca="false">C7/B6</f>
        <v>20</v>
      </c>
      <c r="D6" s="24" t="n">
        <f aca="false">C6/13</f>
        <v>1.53846153846154</v>
      </c>
      <c r="E6" s="10" t="s">
        <v>19</v>
      </c>
    </row>
    <row r="7" customFormat="false" ht="15" hidden="false" customHeight="false" outlineLevel="0" collapsed="false">
      <c r="A7" s="5" t="s">
        <v>330</v>
      </c>
      <c r="B7" s="2"/>
      <c r="C7" s="13" t="n">
        <v>16</v>
      </c>
      <c r="D7" s="24" t="n">
        <f aca="false">C7/13</f>
        <v>1.23076923076923</v>
      </c>
      <c r="E7" s="10" t="s">
        <v>331</v>
      </c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2" t="s">
        <v>332</v>
      </c>
      <c r="B10" s="28" t="n">
        <f aca="false">B4*B5*B6</f>
        <v>0.06</v>
      </c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5" t="s">
        <v>333</v>
      </c>
      <c r="B12" s="2"/>
      <c r="C12" s="2"/>
      <c r="D12" s="2"/>
      <c r="E12" s="2"/>
    </row>
    <row r="13" customFormat="false" ht="23.85" hidden="false" customHeight="false" outlineLevel="0" collapsed="false">
      <c r="A13" s="4" t="s">
        <v>257</v>
      </c>
      <c r="B13" s="4" t="s">
        <v>334</v>
      </c>
      <c r="C13" s="4" t="s">
        <v>335</v>
      </c>
      <c r="D13" s="2"/>
      <c r="E13" s="2"/>
    </row>
    <row r="14" customFormat="false" ht="15" hidden="false" customHeight="false" outlineLevel="0" collapsed="false">
      <c r="A14" s="5" t="s">
        <v>224</v>
      </c>
      <c r="B14" s="13" t="n">
        <v>15</v>
      </c>
      <c r="C14" s="22" t="s">
        <v>336</v>
      </c>
      <c r="D14" s="2"/>
      <c r="E14" s="2"/>
    </row>
    <row r="15" customFormat="false" ht="15" hidden="false" customHeight="false" outlineLevel="0" collapsed="false">
      <c r="A15" s="5" t="s">
        <v>337</v>
      </c>
      <c r="B15" s="18" t="n">
        <v>15004</v>
      </c>
      <c r="C15" s="18" t="n">
        <v>-32029</v>
      </c>
      <c r="D15" s="2"/>
      <c r="E15" s="2"/>
    </row>
    <row r="16" customFormat="false" ht="15" hidden="false" customHeight="false" outlineLevel="0" collapsed="false">
      <c r="A16" s="5" t="s">
        <v>338</v>
      </c>
      <c r="B16" s="18" t="n">
        <v>8090972</v>
      </c>
      <c r="C16" s="18" t="n">
        <v>8103305</v>
      </c>
      <c r="D16" s="2"/>
      <c r="E16" s="2"/>
    </row>
    <row r="17" customFormat="false" ht="15" hidden="false" customHeight="false" outlineLevel="0" collapsed="false">
      <c r="A17" s="5" t="s">
        <v>339</v>
      </c>
      <c r="B17" s="13" t="n">
        <v>2316</v>
      </c>
      <c r="C17" s="13" t="n">
        <v>2309</v>
      </c>
      <c r="D17" s="2"/>
      <c r="E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340</v>
      </c>
      <c r="B1" s="2"/>
      <c r="C1" s="2"/>
    </row>
    <row r="2" customFormat="false" ht="15" hidden="false" customHeight="false" outlineLevel="0" collapsed="false">
      <c r="A2" s="3" t="s">
        <v>341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342</v>
      </c>
      <c r="B4" s="4" t="s">
        <v>343</v>
      </c>
      <c r="C4" s="4" t="s">
        <v>251</v>
      </c>
    </row>
    <row r="5" customFormat="false" ht="15" hidden="false" customHeight="false" outlineLevel="0" collapsed="false">
      <c r="A5" s="5" t="s">
        <v>344</v>
      </c>
      <c r="B5" s="8" t="n">
        <v>0.499</v>
      </c>
      <c r="C5" s="8" t="n">
        <v>0.482</v>
      </c>
    </row>
    <row r="6" customFormat="false" ht="15" hidden="false" customHeight="false" outlineLevel="0" collapsed="false">
      <c r="A6" s="5" t="s">
        <v>345</v>
      </c>
      <c r="B6" s="8" t="n">
        <v>0.578</v>
      </c>
      <c r="C6" s="8" t="n">
        <v>0.544</v>
      </c>
    </row>
    <row r="7" customFormat="false" ht="15" hidden="false" customHeight="false" outlineLevel="0" collapsed="false">
      <c r="A7" s="5" t="s">
        <v>346</v>
      </c>
      <c r="B7" s="8" t="n">
        <v>0.657</v>
      </c>
      <c r="C7" s="8" t="n">
        <v>0.605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2026-10-27T16:06:40Z</dcterms:created>
  <dc:creator>openpyxl</dc:creator>
  <dc:description/>
  <dc:language>en-US</dc:language>
  <cp:lastModifiedBy/>
  <dcterms:modified xsi:type="dcterms:W3CDTF">2026-10-27T16:06:40Z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